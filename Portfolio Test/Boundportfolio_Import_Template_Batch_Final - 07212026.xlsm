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Automation\"/>
    </mc:Choice>
  </mc:AlternateContent>
  <xr:revisionPtr revIDLastSave="0" documentId="13_ncr:1_{FDC9CCCE-D114-43D6-B574-085AE78C89D3}" xr6:coauthVersionLast="47" xr6:coauthVersionMax="47" xr10:uidLastSave="{00000000-0000-0000-0000-000000000000}"/>
  <bookViews>
    <workbookView xWindow="-108" yWindow="-108" windowWidth="23256" windowHeight="12456" tabRatio="857" firstSheet="2" activeTab="6" xr2:uid="{00000000-000D-0000-FFFF-FFFF00000000}"/>
  </bookViews>
  <sheets>
    <sheet name="Control Checks" sheetId="1" state="hidden" r:id="rId1"/>
    <sheet name="Bound Portfolio Report" sheetId="2" state="hidden" r:id="rId2"/>
    <sheet name="BoundPortfolio" sheetId="3" r:id="rId3"/>
    <sheet name="ETF Portfolio" sheetId="4" r:id="rId4"/>
    <sheet name="ILS Data pull" sheetId="5" r:id="rId5"/>
    <sheet name="TestCasePositions" sheetId="6" r:id="rId6"/>
    <sheet name="TestCaseHeaders" sheetId="7" r:id="rId7"/>
    <sheet name="Profit and Loss" sheetId="8" r:id="rId8"/>
    <sheet name="Historical Events Adjustment" sheetId="9" state="hidden" r:id="rId9"/>
    <sheet name="Guidelines" sheetId="10" r:id="rId10"/>
    <sheet name="BoundPortfolioDetails" sheetId="11" r:id="rId11"/>
    <sheet name="Setup" sheetId="12" r:id="rId12"/>
  </sheets>
  <functionGroups builtInGroupCount="19"/>
  <externalReferences>
    <externalReference r:id="rId13"/>
    <externalReference r:id="rId14"/>
    <externalReference r:id="rId15"/>
  </externalReferences>
  <definedNames>
    <definedName name="_100__Premium">#REF!</definedName>
    <definedName name="_100_AEP">#REF!</definedName>
    <definedName name="_500_AEP">#REF!</definedName>
    <definedName name="_xlnm._FilterDatabase" localSheetId="5" hidden="1">TestCasePositions!$A$1:$AT$1</definedName>
    <definedName name="Actual___of_AUM">#REF!</definedName>
    <definedName name="Aggregate_Limit__100">#REF!</definedName>
    <definedName name="AIR_ARe_LayerID">[1]BoundLayerDB!$D$3:$D$1048576</definedName>
    <definedName name="Avg_Rate_Change_Projection">#REF!</definedName>
    <definedName name="Bond_Price__Binding">#REF!</definedName>
    <definedName name="Bound_Date">#REF!</definedName>
    <definedName name="CipherID">#REF!</definedName>
    <definedName name="CIQWBGuid" hidden="1">"f0b1c0f7-41d0-47c3-b294-5242a657cad6"</definedName>
    <definedName name="Co_TVAR_100">#REF!</definedName>
    <definedName name="Co_TVAR_1000">#REF!</definedName>
    <definedName name="Collateral__Fronted">#REF!</definedName>
    <definedName name="Collateral_Fee">#REF!</definedName>
    <definedName name="Collateral_Premium">#REF!</definedName>
    <definedName name="Comment">#REF!</definedName>
    <definedName name="dMillion">1000000</definedName>
    <definedName name="dNoSH">#REF!</definedName>
    <definedName name="dSharePrice">#REF!</definedName>
    <definedName name="Exception_Approval">#REF!</definedName>
    <definedName name="Exp._Loss">#REF!</definedName>
    <definedName name="Expiration_Date">#REF!</definedName>
    <definedName name="Fronted">#REF!</definedName>
    <definedName name="Fronting">#REF!</definedName>
    <definedName name="Fronting_Fee">#REF!</definedName>
    <definedName name="Guideline_Check">#REF!</definedName>
    <definedName name="Hedges">#REF!</definedName>
    <definedName name="Initial_Fees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>#REF!</definedName>
    <definedName name="Layer_with_Analysis_Profile">#REF!</definedName>
    <definedName name="Layer_with_participation">#REF!</definedName>
    <definedName name="Layer_with_updated_expiry">#REF!</definedName>
    <definedName name="Loss_Ratio">#REF!</definedName>
    <definedName name="Name">#REF!</definedName>
    <definedName name="Non_Modeled___PIMCO_View">#REF!</definedName>
    <definedName name="Occ_Limit__100">#REF!</definedName>
    <definedName name="Original_Layer_ID">#REF!</definedName>
    <definedName name="Original_Layer_with_Participation">#REF!</definedName>
    <definedName name="PIMCO_Agg_Limit">#REF!</definedName>
    <definedName name="PIMCO_ARe_LayerID">[1]BoundLayerDB!$B$3:$B$1048576</definedName>
    <definedName name="PIMCO_Occ_Limit">#REF!</definedName>
    <definedName name="PIMCO_Share">#REF!</definedName>
    <definedName name="Premium">#REF!</definedName>
    <definedName name="Profit">#REF!</definedName>
    <definedName name="Return">#REF!</definedName>
    <definedName name="Return_on_Co_TVAR_100">#REF!</definedName>
    <definedName name="ROL">#REF!</definedName>
    <definedName name="SD">#REF!</definedName>
    <definedName name="Security_Instrument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TTM">#REF!</definedName>
    <definedName name="UW_Expens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0" l="1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3" i="10"/>
  <c r="D2" i="10"/>
  <c r="D3" i="6"/>
  <c r="E3" i="6"/>
  <c r="F3" i="6"/>
  <c r="D4" i="6"/>
  <c r="E4" i="6"/>
  <c r="F4" i="6"/>
  <c r="D5" i="6"/>
  <c r="E5" i="6"/>
  <c r="F5" i="6"/>
  <c r="D6" i="6"/>
  <c r="E6" i="6"/>
  <c r="F6" i="6"/>
  <c r="D7" i="6"/>
  <c r="E7" i="6"/>
  <c r="F7" i="6"/>
  <c r="D8" i="6"/>
  <c r="E8" i="6"/>
  <c r="F8" i="6"/>
  <c r="D9" i="6"/>
  <c r="E9" i="6"/>
  <c r="F9" i="6"/>
  <c r="D10" i="6"/>
  <c r="E10" i="6"/>
  <c r="F10" i="6"/>
  <c r="D11" i="6"/>
  <c r="E11" i="6"/>
  <c r="F11" i="6"/>
  <c r="D12" i="6"/>
  <c r="E12" i="6"/>
  <c r="F12" i="6"/>
  <c r="D13" i="6"/>
  <c r="E13" i="6"/>
  <c r="F13" i="6"/>
  <c r="D14" i="6"/>
  <c r="E14" i="6"/>
  <c r="F14" i="6"/>
  <c r="D15" i="6"/>
  <c r="E15" i="6"/>
  <c r="F15" i="6"/>
  <c r="D16" i="6"/>
  <c r="E16" i="6"/>
  <c r="F16" i="6"/>
  <c r="D17" i="6"/>
  <c r="E17" i="6"/>
  <c r="F17" i="6"/>
  <c r="D18" i="6"/>
  <c r="E18" i="6"/>
  <c r="F18" i="6"/>
  <c r="D19" i="6"/>
  <c r="E19" i="6"/>
  <c r="F19" i="6"/>
  <c r="D20" i="6"/>
  <c r="E20" i="6"/>
  <c r="F20" i="6"/>
  <c r="D21" i="6"/>
  <c r="E21" i="6"/>
  <c r="F21" i="6"/>
  <c r="D22" i="6"/>
  <c r="E22" i="6"/>
  <c r="F22" i="6"/>
  <c r="D23" i="6"/>
  <c r="E23" i="6"/>
  <c r="F23" i="6"/>
  <c r="D24" i="6"/>
  <c r="E24" i="6"/>
  <c r="F24" i="6"/>
  <c r="D25" i="6"/>
  <c r="E25" i="6"/>
  <c r="F25" i="6"/>
  <c r="D26" i="6"/>
  <c r="E26" i="6"/>
  <c r="F26" i="6"/>
  <c r="D27" i="6"/>
  <c r="E27" i="6"/>
  <c r="F27" i="6"/>
  <c r="D28" i="6"/>
  <c r="E28" i="6"/>
  <c r="F28" i="6"/>
  <c r="D29" i="6"/>
  <c r="E29" i="6"/>
  <c r="F29" i="6"/>
  <c r="D30" i="6"/>
  <c r="E30" i="6"/>
  <c r="F30" i="6"/>
  <c r="D31" i="6"/>
  <c r="E31" i="6"/>
  <c r="F31" i="6"/>
  <c r="D32" i="6"/>
  <c r="E32" i="6"/>
  <c r="F32" i="6"/>
  <c r="D33" i="6"/>
  <c r="E33" i="6"/>
  <c r="F33" i="6"/>
  <c r="D34" i="6"/>
  <c r="E34" i="6"/>
  <c r="F34" i="6"/>
  <c r="D35" i="6"/>
  <c r="E35" i="6"/>
  <c r="F35" i="6"/>
  <c r="D36" i="6"/>
  <c r="E36" i="6"/>
  <c r="F36" i="6"/>
  <c r="D37" i="6"/>
  <c r="E37" i="6"/>
  <c r="F37" i="6"/>
  <c r="D38" i="6"/>
  <c r="E38" i="6"/>
  <c r="F38" i="6"/>
  <c r="D39" i="6"/>
  <c r="E39" i="6"/>
  <c r="F39" i="6"/>
  <c r="D40" i="6"/>
  <c r="E40" i="6"/>
  <c r="F40" i="6"/>
  <c r="D41" i="6"/>
  <c r="E41" i="6"/>
  <c r="F41" i="6"/>
  <c r="D42" i="6"/>
  <c r="E42" i="6"/>
  <c r="F42" i="6"/>
  <c r="D43" i="6"/>
  <c r="E43" i="6"/>
  <c r="F43" i="6"/>
  <c r="D44" i="6"/>
  <c r="E44" i="6"/>
  <c r="F44" i="6"/>
  <c r="D45" i="6"/>
  <c r="E45" i="6"/>
  <c r="F45" i="6"/>
  <c r="D46" i="6"/>
  <c r="E46" i="6"/>
  <c r="F46" i="6"/>
  <c r="D47" i="6"/>
  <c r="E47" i="6"/>
  <c r="F47" i="6"/>
  <c r="D48" i="6"/>
  <c r="E48" i="6"/>
  <c r="F48" i="6"/>
  <c r="D49" i="6"/>
  <c r="E49" i="6"/>
  <c r="F49" i="6"/>
  <c r="D50" i="6"/>
  <c r="E50" i="6"/>
  <c r="F50" i="6"/>
  <c r="D51" i="6"/>
  <c r="E51" i="6"/>
  <c r="F51" i="6"/>
  <c r="D52" i="6"/>
  <c r="E52" i="6"/>
  <c r="F52" i="6"/>
  <c r="D53" i="6"/>
  <c r="E53" i="6"/>
  <c r="F53" i="6"/>
  <c r="D54" i="6"/>
  <c r="E54" i="6"/>
  <c r="F54" i="6"/>
  <c r="D55" i="6"/>
  <c r="E55" i="6"/>
  <c r="F55" i="6"/>
  <c r="D56" i="6"/>
  <c r="E56" i="6"/>
  <c r="F56" i="6"/>
  <c r="D57" i="6"/>
  <c r="E57" i="6"/>
  <c r="F57" i="6"/>
  <c r="D58" i="6"/>
  <c r="E58" i="6"/>
  <c r="F58" i="6"/>
  <c r="D59" i="6"/>
  <c r="E59" i="6"/>
  <c r="F59" i="6"/>
  <c r="D60" i="6"/>
  <c r="E60" i="6"/>
  <c r="F60" i="6"/>
  <c r="D61" i="6"/>
  <c r="E61" i="6"/>
  <c r="F61" i="6"/>
  <c r="D62" i="6"/>
  <c r="E62" i="6"/>
  <c r="F62" i="6"/>
  <c r="D63" i="6"/>
  <c r="E63" i="6"/>
  <c r="F63" i="6"/>
  <c r="D64" i="6"/>
  <c r="E64" i="6"/>
  <c r="F64" i="6"/>
  <c r="D65" i="6"/>
  <c r="E65" i="6"/>
  <c r="F65" i="6"/>
  <c r="D66" i="6"/>
  <c r="E66" i="6"/>
  <c r="F66" i="6"/>
  <c r="D67" i="6"/>
  <c r="E67" i="6"/>
  <c r="F67" i="6"/>
  <c r="D68" i="6"/>
  <c r="E68" i="6"/>
  <c r="F68" i="6"/>
  <c r="D69" i="6"/>
  <c r="E69" i="6"/>
  <c r="F69" i="6"/>
  <c r="D70" i="6"/>
  <c r="E70" i="6"/>
  <c r="F70" i="6"/>
  <c r="D71" i="6"/>
  <c r="E71" i="6"/>
  <c r="F71" i="6"/>
  <c r="D72" i="6"/>
  <c r="E72" i="6"/>
  <c r="F72" i="6"/>
  <c r="D73" i="6"/>
  <c r="E73" i="6"/>
  <c r="F73" i="6"/>
  <c r="D74" i="6"/>
  <c r="E74" i="6"/>
  <c r="F74" i="6"/>
  <c r="D75" i="6"/>
  <c r="E75" i="6"/>
  <c r="F75" i="6"/>
  <c r="D76" i="6"/>
  <c r="E76" i="6"/>
  <c r="F76" i="6"/>
  <c r="D77" i="6"/>
  <c r="E77" i="6"/>
  <c r="F77" i="6"/>
  <c r="D78" i="6"/>
  <c r="E78" i="6"/>
  <c r="F78" i="6"/>
  <c r="D79" i="6"/>
  <c r="E79" i="6"/>
  <c r="F79" i="6"/>
  <c r="D80" i="6"/>
  <c r="E80" i="6"/>
  <c r="F80" i="6"/>
  <c r="D81" i="6"/>
  <c r="E81" i="6"/>
  <c r="F81" i="6"/>
  <c r="D82" i="6"/>
  <c r="E82" i="6"/>
  <c r="F82" i="6"/>
  <c r="D83" i="6"/>
  <c r="E83" i="6"/>
  <c r="F83" i="6"/>
  <c r="D84" i="6"/>
  <c r="E84" i="6"/>
  <c r="F84" i="6"/>
  <c r="D85" i="6"/>
  <c r="E85" i="6"/>
  <c r="F85" i="6"/>
  <c r="F2" i="6"/>
  <c r="E2" i="6"/>
  <c r="D2" i="6"/>
  <c r="P85" i="6" l="1" a="1"/>
  <c r="P85" i="6" s="1"/>
  <c r="P84" i="6" a="1"/>
  <c r="P84" i="6" s="1"/>
  <c r="P83" i="6" a="1"/>
  <c r="P83" i="6" s="1"/>
  <c r="P82" i="6" a="1"/>
  <c r="P82" i="6" s="1"/>
  <c r="P81" i="6" a="1"/>
  <c r="P81" i="6" s="1"/>
  <c r="P80" i="6" a="1"/>
  <c r="P80" i="6" s="1"/>
  <c r="P79" i="6" a="1"/>
  <c r="P79" i="6" s="1"/>
  <c r="P78" i="6" a="1"/>
  <c r="P78" i="6" s="1"/>
  <c r="P77" i="6" a="1"/>
  <c r="P77" i="6" s="1"/>
  <c r="P76" i="6" a="1"/>
  <c r="P76" i="6" s="1"/>
  <c r="P75" i="6" a="1"/>
  <c r="P75" i="6" s="1"/>
  <c r="P74" i="6" a="1"/>
  <c r="P74" i="6" s="1"/>
  <c r="P73" i="6" a="1"/>
  <c r="P73" i="6" s="1"/>
  <c r="P72" i="6" a="1"/>
  <c r="P72" i="6" s="1"/>
  <c r="P71" i="6" a="1"/>
  <c r="P71" i="6" s="1"/>
  <c r="P70" i="6" a="1"/>
  <c r="P70" i="6" s="1"/>
  <c r="P69" i="6" a="1"/>
  <c r="P69" i="6" s="1"/>
  <c r="P68" i="6" a="1"/>
  <c r="P68" i="6" s="1"/>
  <c r="P67" i="6" a="1"/>
  <c r="P67" i="6" s="1"/>
  <c r="P66" i="6" a="1"/>
  <c r="P66" i="6" s="1"/>
  <c r="P65" i="6" a="1"/>
  <c r="P65" i="6" s="1"/>
  <c r="P64" i="6" a="1"/>
  <c r="P64" i="6" s="1"/>
  <c r="P63" i="6" a="1"/>
  <c r="P63" i="6" s="1"/>
  <c r="P62" i="6" a="1"/>
  <c r="P62" i="6" s="1"/>
  <c r="P61" i="6" a="1"/>
  <c r="P61" i="6" s="1"/>
  <c r="P60" i="6" a="1"/>
  <c r="P60" i="6" s="1"/>
  <c r="P59" i="6" a="1"/>
  <c r="P59" i="6" s="1"/>
  <c r="P58" i="6" a="1"/>
  <c r="P58" i="6" s="1"/>
  <c r="P57" i="6" a="1"/>
  <c r="P57" i="6" s="1"/>
  <c r="P56" i="6" a="1"/>
  <c r="P56" i="6" s="1"/>
  <c r="P55" i="6" a="1"/>
  <c r="P55" i="6" s="1"/>
  <c r="P54" i="6" a="1"/>
  <c r="P54" i="6" s="1"/>
  <c r="Z53" i="6"/>
  <c r="P53" i="6" a="1"/>
  <c r="P53" i="6" s="1"/>
  <c r="Z52" i="6"/>
  <c r="P52" i="6" a="1"/>
  <c r="P52" i="6" s="1"/>
  <c r="Z51" i="6"/>
  <c r="P51" i="6" a="1"/>
  <c r="P51" i="6" s="1"/>
  <c r="Z50" i="6"/>
  <c r="P50" i="6" a="1"/>
  <c r="P50" i="6" s="1"/>
  <c r="Z49" i="6"/>
  <c r="P49" i="6" a="1"/>
  <c r="P49" i="6" s="1"/>
  <c r="Z48" i="6"/>
  <c r="P48" i="6" a="1"/>
  <c r="P48" i="6" s="1"/>
  <c r="Z47" i="6"/>
  <c r="P47" i="6" a="1"/>
  <c r="P47" i="6" s="1"/>
  <c r="Z46" i="6"/>
  <c r="P46" i="6" a="1"/>
  <c r="P46" i="6" s="1"/>
  <c r="Z45" i="6"/>
  <c r="P45" i="6" a="1"/>
  <c r="P45" i="6" s="1"/>
  <c r="Z44" i="6"/>
  <c r="P44" i="6" a="1"/>
  <c r="P44" i="6" s="1"/>
  <c r="P43" i="6" a="1"/>
  <c r="P43" i="6" s="1"/>
  <c r="P42" i="6" a="1"/>
  <c r="P42" i="6" s="1"/>
  <c r="P41" i="6" a="1"/>
  <c r="P41" i="6" s="1"/>
  <c r="P40" i="6" a="1"/>
  <c r="P40" i="6" s="1"/>
  <c r="P39" i="6" a="1"/>
  <c r="P39" i="6" s="1"/>
  <c r="P38" i="6" a="1"/>
  <c r="P38" i="6" s="1"/>
  <c r="P37" i="6" a="1"/>
  <c r="P37" i="6" s="1"/>
  <c r="P36" i="6" a="1"/>
  <c r="P36" i="6" s="1"/>
  <c r="P35" i="6" a="1"/>
  <c r="P35" i="6" s="1"/>
  <c r="Z34" i="6"/>
  <c r="P34" i="6" a="1"/>
  <c r="P34" i="6" s="1"/>
  <c r="Z33" i="6"/>
  <c r="P33" i="6" a="1"/>
  <c r="P33" i="6" s="1"/>
  <c r="Z32" i="6"/>
  <c r="P32" i="6" a="1"/>
  <c r="P32" i="6" s="1"/>
  <c r="Z31" i="6"/>
  <c r="P31" i="6" a="1"/>
  <c r="P31" i="6" s="1"/>
  <c r="Z30" i="6"/>
  <c r="P30" i="6" a="1"/>
  <c r="P30" i="6" s="1"/>
  <c r="Z29" i="6"/>
  <c r="P29" i="6" a="1"/>
  <c r="P29" i="6" s="1"/>
  <c r="Z28" i="6"/>
  <c r="P28" i="6" a="1"/>
  <c r="P28" i="6" s="1"/>
  <c r="Z27" i="6"/>
  <c r="P27" i="6" a="1"/>
  <c r="P27" i="6" s="1"/>
  <c r="Z26" i="6"/>
  <c r="P26" i="6" a="1"/>
  <c r="P26" i="6" s="1"/>
  <c r="Z25" i="6"/>
  <c r="P25" i="6" a="1"/>
  <c r="P25" i="6" s="1"/>
  <c r="Z24" i="6" l="1"/>
  <c r="P24" i="6" a="1"/>
  <c r="P24" i="6" s="1"/>
  <c r="Z23" i="6"/>
  <c r="P23" i="6" a="1"/>
  <c r="P23" i="6" s="1"/>
  <c r="Z22" i="6"/>
  <c r="P22" i="6" a="1"/>
  <c r="P22" i="6" s="1"/>
  <c r="Z21" i="6"/>
  <c r="P21" i="6" a="1"/>
  <c r="P21" i="6" s="1"/>
  <c r="Z20" i="6"/>
  <c r="P20" i="6" a="1"/>
  <c r="P20" i="6" s="1"/>
  <c r="Z19" i="6"/>
  <c r="P19" i="6" a="1"/>
  <c r="P19" i="6" s="1"/>
  <c r="Z18" i="6"/>
  <c r="P18" i="6" a="1"/>
  <c r="P18" i="6" s="1"/>
  <c r="Z17" i="6"/>
  <c r="P17" i="6" a="1"/>
  <c r="P17" i="6" s="1"/>
  <c r="Z16" i="6"/>
  <c r="P16" i="6" a="1"/>
  <c r="P16" i="6" s="1"/>
  <c r="Z15" i="6"/>
  <c r="P15" i="6" a="1"/>
  <c r="P15" i="6" s="1"/>
  <c r="Z14" i="6"/>
  <c r="P14" i="6" a="1"/>
  <c r="P14" i="6" s="1"/>
  <c r="Z13" i="6"/>
  <c r="P13" i="6" a="1"/>
  <c r="P13" i="6" s="1"/>
  <c r="Z12" i="6"/>
  <c r="P12" i="6" a="1"/>
  <c r="P12" i="6" s="1"/>
  <c r="Z11" i="6"/>
  <c r="P11" i="6" a="1"/>
  <c r="P11" i="6" s="1"/>
  <c r="Z10" i="6"/>
  <c r="P10" i="6" a="1"/>
  <c r="P10" i="6" s="1"/>
  <c r="Z9" i="6"/>
  <c r="P9" i="6" a="1"/>
  <c r="P9" i="6" s="1"/>
  <c r="Z8" i="6"/>
  <c r="P8" i="6" a="1"/>
  <c r="P8" i="6" s="1"/>
  <c r="Z7" i="6"/>
  <c r="P7" i="6" a="1"/>
  <c r="P7" i="6" s="1"/>
  <c r="Z6" i="6"/>
  <c r="P6" i="6" a="1"/>
  <c r="P6" i="6" s="1"/>
  <c r="Z5" i="6"/>
  <c r="P5" i="6" a="1"/>
  <c r="P5" i="6" s="1"/>
  <c r="Z4" i="6"/>
  <c r="P4" i="6" a="1"/>
  <c r="P4" i="6" s="1"/>
  <c r="Z3" i="6"/>
  <c r="P3" i="6" a="1"/>
  <c r="P3" i="6" s="1"/>
  <c r="Z2" i="6"/>
  <c r="P2" i="6" a="1"/>
  <c r="P2" i="6" s="1"/>
  <c r="E19" i="12"/>
  <c r="D19" i="12"/>
  <c r="C19" i="12"/>
  <c r="E18" i="12"/>
  <c r="C18" i="12"/>
  <c r="D18" i="12" s="1"/>
  <c r="E17" i="12"/>
  <c r="D17" i="12"/>
  <c r="C17" i="12"/>
  <c r="E16" i="12"/>
  <c r="C16" i="12"/>
  <c r="D16" i="12" s="1"/>
  <c r="E15" i="12"/>
  <c r="D15" i="12"/>
  <c r="C15" i="12"/>
  <c r="E81" i="11"/>
  <c r="E80" i="11"/>
  <c r="E79" i="11"/>
  <c r="E78" i="11"/>
  <c r="E77" i="11"/>
  <c r="E76" i="11"/>
  <c r="E71" i="11"/>
  <c r="E70" i="11"/>
  <c r="E69" i="11"/>
  <c r="E68" i="11"/>
  <c r="E59" i="11"/>
  <c r="E58" i="11"/>
  <c r="E57" i="11"/>
  <c r="E56" i="11"/>
  <c r="E55" i="11"/>
  <c r="E54" i="11"/>
  <c r="E52" i="11"/>
  <c r="E51" i="11"/>
  <c r="AK56" i="4"/>
  <c r="AJ56" i="4"/>
  <c r="AI56" i="4"/>
  <c r="AH56" i="4"/>
  <c r="AG56" i="4"/>
  <c r="AA56" i="4"/>
  <c r="AB56" i="4" s="1"/>
  <c r="AK55" i="4"/>
  <c r="AJ55" i="4"/>
  <c r="AI55" i="4"/>
  <c r="AH55" i="4"/>
  <c r="AG55" i="4"/>
  <c r="AA55" i="4"/>
  <c r="AB55" i="4" s="1"/>
  <c r="AK54" i="4"/>
  <c r="AJ54" i="4"/>
  <c r="AI54" i="4"/>
  <c r="AH54" i="4"/>
  <c r="AG54" i="4"/>
  <c r="AA54" i="4"/>
  <c r="AB54" i="4" s="1"/>
  <c r="AK53" i="4"/>
  <c r="AJ53" i="4"/>
  <c r="AH53" i="4"/>
  <c r="AI53" i="4" s="1"/>
  <c r="AG53" i="4"/>
  <c r="AA53" i="4"/>
  <c r="AB53" i="4" s="1"/>
  <c r="AK52" i="4"/>
  <c r="AJ52" i="4"/>
  <c r="AH52" i="4"/>
  <c r="AI52" i="4" s="1"/>
  <c r="AG52" i="4"/>
  <c r="AA52" i="4"/>
  <c r="AB52" i="4" s="1"/>
  <c r="AK51" i="4"/>
  <c r="AJ51" i="4"/>
  <c r="AH51" i="4"/>
  <c r="AI51" i="4" s="1"/>
  <c r="AG51" i="4"/>
  <c r="AB51" i="4"/>
  <c r="AA51" i="4"/>
  <c r="AK50" i="4"/>
  <c r="AJ50" i="4"/>
  <c r="AH50" i="4"/>
  <c r="AI50" i="4" s="1"/>
  <c r="AG50" i="4"/>
  <c r="AA50" i="4"/>
  <c r="AB50" i="4" s="1"/>
  <c r="AK49" i="4"/>
  <c r="AJ49" i="4"/>
  <c r="AH49" i="4"/>
  <c r="AI49" i="4" s="1"/>
  <c r="AG49" i="4"/>
  <c r="AA49" i="4"/>
  <c r="AB49" i="4" s="1"/>
  <c r="AK48" i="4"/>
  <c r="AJ48" i="4"/>
  <c r="AI48" i="4"/>
  <c r="AH48" i="4"/>
  <c r="AG48" i="4"/>
  <c r="AA48" i="4"/>
  <c r="AB48" i="4" s="1"/>
  <c r="AK47" i="4"/>
  <c r="AJ47" i="4"/>
  <c r="AH47" i="4"/>
  <c r="AI47" i="4" s="1"/>
  <c r="AG47" i="4"/>
  <c r="AB47" i="4"/>
  <c r="AA47" i="4"/>
  <c r="AK46" i="4"/>
  <c r="AJ46" i="4"/>
  <c r="AH46" i="4"/>
  <c r="AI46" i="4" s="1"/>
  <c r="AG46" i="4"/>
  <c r="AA46" i="4"/>
  <c r="AB46" i="4" s="1"/>
  <c r="AK45" i="4"/>
  <c r="AJ45" i="4"/>
  <c r="AH45" i="4"/>
  <c r="AI45" i="4" s="1"/>
  <c r="AG45" i="4"/>
  <c r="AA45" i="4"/>
  <c r="AB45" i="4" s="1"/>
  <c r="AK44" i="4"/>
  <c r="AJ44" i="4"/>
  <c r="AI44" i="4"/>
  <c r="AH44" i="4"/>
  <c r="AG44" i="4"/>
  <c r="AA44" i="4"/>
  <c r="AB44" i="4" s="1"/>
  <c r="AK43" i="4"/>
  <c r="AJ43" i="4"/>
  <c r="AH43" i="4"/>
  <c r="AI43" i="4" s="1"/>
  <c r="AG43" i="4"/>
  <c r="AB43" i="4"/>
  <c r="AA43" i="4"/>
  <c r="AK42" i="4"/>
  <c r="AJ42" i="4"/>
  <c r="AH42" i="4"/>
  <c r="AI42" i="4" s="1"/>
  <c r="AG42" i="4"/>
  <c r="AA42" i="4"/>
  <c r="AB42" i="4" s="1"/>
  <c r="AK41" i="4"/>
  <c r="AJ41" i="4"/>
  <c r="AH41" i="4"/>
  <c r="AI41" i="4" s="1"/>
  <c r="AG41" i="4"/>
  <c r="AB41" i="4"/>
  <c r="AA41" i="4"/>
  <c r="AK40" i="4"/>
  <c r="AJ40" i="4"/>
  <c r="AI40" i="4"/>
  <c r="AH40" i="4"/>
  <c r="AG40" i="4"/>
  <c r="AB40" i="4"/>
  <c r="AA40" i="4"/>
  <c r="AK39" i="4"/>
  <c r="AJ39" i="4"/>
  <c r="AH39" i="4"/>
  <c r="AI39" i="4" s="1"/>
  <c r="AG39" i="4"/>
  <c r="AB39" i="4"/>
  <c r="AA39" i="4"/>
  <c r="AK38" i="4"/>
  <c r="AJ38" i="4"/>
  <c r="AI38" i="4"/>
  <c r="AH38" i="4"/>
  <c r="AG38" i="4"/>
  <c r="AA38" i="4"/>
  <c r="AB38" i="4" s="1"/>
  <c r="AK37" i="4"/>
  <c r="AJ37" i="4"/>
  <c r="AI37" i="4"/>
  <c r="AH37" i="4"/>
  <c r="AG37" i="4"/>
  <c r="AA37" i="4"/>
  <c r="AB37" i="4" s="1"/>
  <c r="AK36" i="4"/>
  <c r="AJ36" i="4"/>
  <c r="AI36" i="4"/>
  <c r="AH36" i="4"/>
  <c r="AG36" i="4"/>
  <c r="AA36" i="4"/>
  <c r="AB36" i="4" s="1"/>
  <c r="AK35" i="4"/>
  <c r="AJ35" i="4"/>
  <c r="AH35" i="4"/>
  <c r="AI35" i="4" s="1"/>
  <c r="AG35" i="4"/>
  <c r="AA35" i="4"/>
  <c r="AB35" i="4" s="1"/>
  <c r="AK34" i="4"/>
  <c r="AJ34" i="4"/>
  <c r="AH34" i="4"/>
  <c r="AI34" i="4" s="1"/>
  <c r="AG34" i="4"/>
  <c r="AA34" i="4"/>
  <c r="AB34" i="4" s="1"/>
  <c r="AK33" i="4"/>
  <c r="AJ33" i="4"/>
  <c r="AH33" i="4"/>
  <c r="AI33" i="4" s="1"/>
  <c r="AG33" i="4"/>
  <c r="AB33" i="4"/>
  <c r="AA33" i="4"/>
  <c r="AK32" i="4"/>
  <c r="AJ32" i="4"/>
  <c r="AH32" i="4"/>
  <c r="AI32" i="4" s="1"/>
  <c r="AG32" i="4"/>
  <c r="AA32" i="4"/>
  <c r="AB32" i="4" s="1"/>
  <c r="AK31" i="4"/>
  <c r="AJ31" i="4"/>
  <c r="AH31" i="4"/>
  <c r="AI31" i="4" s="1"/>
  <c r="AG31" i="4"/>
  <c r="AA31" i="4"/>
  <c r="AB31" i="4" s="1"/>
  <c r="AK30" i="4"/>
  <c r="AJ30" i="4"/>
  <c r="AI30" i="4"/>
  <c r="AH30" i="4"/>
  <c r="AG30" i="4"/>
  <c r="AA30" i="4"/>
  <c r="AB30" i="4" s="1"/>
  <c r="AK29" i="4"/>
  <c r="AJ29" i="4"/>
  <c r="AH29" i="4"/>
  <c r="AI29" i="4" s="1"/>
  <c r="AG29" i="4"/>
  <c r="AB29" i="4"/>
  <c r="AA29" i="4"/>
  <c r="AK28" i="4"/>
  <c r="AJ28" i="4"/>
  <c r="AH28" i="4"/>
  <c r="AI28" i="4" s="1"/>
  <c r="AG28" i="4"/>
  <c r="AA28" i="4"/>
  <c r="AB28" i="4" s="1"/>
  <c r="AK27" i="4"/>
  <c r="AJ27" i="4"/>
  <c r="AH27" i="4"/>
  <c r="AI27" i="4" s="1"/>
  <c r="AG27" i="4"/>
  <c r="AA27" i="4"/>
  <c r="AB27" i="4" s="1"/>
  <c r="AK26" i="4"/>
  <c r="AJ26" i="4"/>
  <c r="AI26" i="4"/>
  <c r="AH26" i="4"/>
  <c r="AG26" i="4"/>
  <c r="AA26" i="4"/>
  <c r="AB26" i="4" s="1"/>
  <c r="AK25" i="4"/>
  <c r="AJ25" i="4"/>
  <c r="AH25" i="4"/>
  <c r="AI25" i="4" s="1"/>
  <c r="AG25" i="4"/>
  <c r="AB25" i="4"/>
  <c r="AA25" i="4"/>
  <c r="AK24" i="4"/>
  <c r="AJ24" i="4"/>
  <c r="AH24" i="4"/>
  <c r="AI24" i="4" s="1"/>
  <c r="AG24" i="4"/>
  <c r="AA24" i="4"/>
  <c r="AB24" i="4" s="1"/>
  <c r="AK23" i="4"/>
  <c r="AJ23" i="4"/>
  <c r="AH23" i="4"/>
  <c r="AI23" i="4" s="1"/>
  <c r="AG23" i="4"/>
  <c r="AB23" i="4"/>
  <c r="AA23" i="4"/>
  <c r="AK22" i="4"/>
  <c r="AJ22" i="4"/>
  <c r="AI22" i="4"/>
  <c r="AH22" i="4"/>
  <c r="AG22" i="4"/>
  <c r="AB22" i="4"/>
  <c r="AA22" i="4"/>
  <c r="AK21" i="4"/>
  <c r="AJ21" i="4"/>
  <c r="AH21" i="4"/>
  <c r="AI21" i="4" s="1"/>
  <c r="AG21" i="4"/>
  <c r="AB21" i="4"/>
  <c r="AA21" i="4"/>
  <c r="AK20" i="4"/>
  <c r="AJ20" i="4"/>
  <c r="AI20" i="4"/>
  <c r="AH20" i="4"/>
  <c r="AG20" i="4"/>
  <c r="AA20" i="4"/>
  <c r="AB20" i="4" s="1"/>
  <c r="AK19" i="4"/>
  <c r="AJ19" i="4"/>
  <c r="AI19" i="4"/>
  <c r="AH19" i="4"/>
  <c r="AG19" i="4"/>
  <c r="AA19" i="4"/>
  <c r="AB19" i="4" s="1"/>
  <c r="AK18" i="4"/>
  <c r="AJ18" i="4"/>
  <c r="AI18" i="4"/>
  <c r="AH18" i="4"/>
  <c r="AG18" i="4"/>
  <c r="AA18" i="4"/>
  <c r="AB18" i="4" s="1"/>
  <c r="AK17" i="4"/>
  <c r="AJ17" i="4"/>
  <c r="AJ4" i="4" s="1"/>
  <c r="AH17" i="4"/>
  <c r="AI17" i="4" s="1"/>
  <c r="AG17" i="4"/>
  <c r="AA17" i="4"/>
  <c r="AB17" i="4" s="1"/>
  <c r="AK16" i="4"/>
  <c r="AJ16" i="4"/>
  <c r="AH16" i="4"/>
  <c r="AI16" i="4" s="1"/>
  <c r="AG16" i="4"/>
  <c r="AA16" i="4"/>
  <c r="AB16" i="4" s="1"/>
  <c r="AK15" i="4"/>
  <c r="AJ15" i="4"/>
  <c r="AH15" i="4"/>
  <c r="AI15" i="4" s="1"/>
  <c r="AG15" i="4"/>
  <c r="AB15" i="4"/>
  <c r="AA15" i="4"/>
  <c r="AK14" i="4"/>
  <c r="AJ14" i="4"/>
  <c r="AH14" i="4"/>
  <c r="AI14" i="4" s="1"/>
  <c r="AG14" i="4"/>
  <c r="AA14" i="4"/>
  <c r="AB14" i="4" s="1"/>
  <c r="AK13" i="4"/>
  <c r="AJ13" i="4"/>
  <c r="AH13" i="4"/>
  <c r="AI13" i="4" s="1"/>
  <c r="AG13" i="4"/>
  <c r="AA13" i="4"/>
  <c r="AB13" i="4" s="1"/>
  <c r="AK12" i="4"/>
  <c r="AJ12" i="4"/>
  <c r="AI12" i="4"/>
  <c r="AH12" i="4"/>
  <c r="AG12" i="4"/>
  <c r="AA12" i="4"/>
  <c r="AB12" i="4" s="1"/>
  <c r="AK11" i="4"/>
  <c r="AJ11" i="4"/>
  <c r="AH11" i="4"/>
  <c r="AI11" i="4" s="1"/>
  <c r="AG11" i="4"/>
  <c r="AB11" i="4"/>
  <c r="AA11" i="4"/>
  <c r="AK10" i="4"/>
  <c r="AK5" i="4" s="1"/>
  <c r="AJ10" i="4"/>
  <c r="AH10" i="4"/>
  <c r="AI10" i="4" s="1"/>
  <c r="AG10" i="4"/>
  <c r="AA10" i="4"/>
  <c r="AB10" i="4" s="1"/>
  <c r="AK9" i="4"/>
  <c r="AJ9" i="4"/>
  <c r="AH9" i="4"/>
  <c r="AI9" i="4" s="1"/>
  <c r="AG9" i="4"/>
  <c r="AA9" i="4"/>
  <c r="AB9" i="4" s="1"/>
  <c r="AK8" i="4"/>
  <c r="AJ8" i="4"/>
  <c r="AI8" i="4"/>
  <c r="AH8" i="4"/>
  <c r="AG8" i="4"/>
  <c r="AA8" i="4"/>
  <c r="AB8" i="4" s="1"/>
  <c r="AC5" i="4"/>
  <c r="V5" i="4"/>
  <c r="AK4" i="4"/>
  <c r="AC4" i="4"/>
  <c r="V4" i="4"/>
  <c r="J19" i="1"/>
  <c r="J18" i="1"/>
  <c r="J17" i="1"/>
  <c r="J16" i="1"/>
  <c r="J15" i="1"/>
  <c r="J14" i="1"/>
  <c r="J13" i="1"/>
  <c r="I12" i="1"/>
  <c r="J12" i="1" s="1"/>
  <c r="J11" i="1"/>
  <c r="J9" i="1"/>
  <c r="J8" i="1"/>
  <c r="J7" i="1"/>
  <c r="J5" i="1"/>
  <c r="AB57" i="4" l="1"/>
  <c r="AB5" i="4"/>
  <c r="AB4" i="4"/>
  <c r="AJ5" i="4"/>
  <c r="AA4" i="4"/>
  <c r="AA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<sst xmlns="http://schemas.openxmlformats.org/spreadsheetml/2006/main" count="3267" uniqueCount="1225">
  <si>
    <t>ILSInstrumentID</t>
  </si>
  <si>
    <t>CUSIP_ID</t>
  </si>
  <si>
    <t>ILSName</t>
  </si>
  <si>
    <t>OccurrenceLimit</t>
  </si>
  <si>
    <t>OccurrenceRetention</t>
  </si>
  <si>
    <t>AggregateLimit</t>
  </si>
  <si>
    <t>AggregateRetention</t>
  </si>
  <si>
    <t>PrincipalAmount</t>
  </si>
  <si>
    <t>03843AAA0</t>
  </si>
  <si>
    <t>CB-Aquila Re I Ltd. Series 2023-1 Class A-1 Reset 2025</t>
  </si>
  <si>
    <t>03843AAB8</t>
  </si>
  <si>
    <t>CB-Aquila Re I Ltd. Series 2023-1 Class B-1 Reset 2025</t>
  </si>
  <si>
    <t>03843AAC6</t>
  </si>
  <si>
    <t>CB-Aquila Re I Ltd. Series 2023-1 Class C-1 Reset 2025</t>
  </si>
  <si>
    <t>037987AA2</t>
  </si>
  <si>
    <t>CB-Aquila Re I Ltd. Series 2024-1 Class A-1 Reset 2025</t>
  </si>
  <si>
    <t>037987AB0</t>
  </si>
  <si>
    <t>CB-Aquila Re I Ltd. Series 2024-1 Class B-1 Reset 2025</t>
  </si>
  <si>
    <t>68302QAA2</t>
  </si>
  <si>
    <t>CB-123 Lights Re Ltd. Series 2025-1 Class A</t>
  </si>
  <si>
    <t>79381MAC8</t>
  </si>
  <si>
    <t>CB-Sakura Re Ltd. Series 2022-1 Class A Reset 2024</t>
  </si>
  <si>
    <t>571253AA1</t>
  </si>
  <si>
    <t>CB-Marlon Ltd. Series 2024-1 Class A Reset 2025</t>
  </si>
  <si>
    <t>571253AB9</t>
  </si>
  <si>
    <t>CB-Marlon Ltd. Series 2024-1 Class B Reset 2025</t>
  </si>
  <si>
    <t>532242AA2</t>
  </si>
  <si>
    <t>CB-Lightning Re Ltd. Series 2023-1 Class A Reset 2025</t>
  </si>
  <si>
    <t>755933AA6</t>
  </si>
  <si>
    <t>CB-Recoletos Re DAC Series 2024-1 Class A</t>
  </si>
  <si>
    <t>85237TAA0</t>
  </si>
  <si>
    <t>CB-Stabilitas Re Ltd. Series 2023-1 Class A Reset 2025</t>
  </si>
  <si>
    <t>13947LAE2</t>
  </si>
  <si>
    <t>CB-Cape Lookout Re Ltd. Series 2023-1 Class A Reset 2025</t>
  </si>
  <si>
    <t>13947LAF9</t>
  </si>
  <si>
    <t>CB-Cape Lookout Re Ltd. Series 2024-1 Class A Reset 2025</t>
  </si>
  <si>
    <t>04401RAA5</t>
  </si>
  <si>
    <t>CB-Ashera Re Ltd. Series 2024-1 Class A Reset 2025</t>
  </si>
  <si>
    <t>751443AA0</t>
  </si>
  <si>
    <t>CB-Ramble Re Ltd. Series 2024-1 Class A Reset 2025</t>
  </si>
  <si>
    <t>36354TAN2</t>
  </si>
  <si>
    <t>CB-Galileo Re Ltd. Series 2023-1 Class A Reset 2025</t>
  </si>
  <si>
    <t>36354TAP7</t>
  </si>
  <si>
    <t>CB-Galileo Re Ltd. Series 2023-1 Class B Reset 2025</t>
  </si>
  <si>
    <t>XS2969300081</t>
  </si>
  <si>
    <t>CB-MMIFS Re Ltd. Series 2025-1 Class A</t>
  </si>
  <si>
    <t>09785EAN1</t>
  </si>
  <si>
    <t>CB-Bonanza Re Ltd. Series 2024-1 Class A</t>
  </si>
  <si>
    <t>09785EAP6</t>
  </si>
  <si>
    <t>CB-Bonanza Re Ltd. Series 2024-1 Class B</t>
  </si>
  <si>
    <t>09785EAQ4</t>
  </si>
  <si>
    <t>CB-Bonanza Re Ltd. Series 2024-1 Class C</t>
  </si>
  <si>
    <t>80001RAB7</t>
  </si>
  <si>
    <t>CB-Sanders Re II Ltd. Series 2024-3 Class B Reset 2025</t>
  </si>
  <si>
    <t>80001RAA9</t>
  </si>
  <si>
    <t>CB-Sanders Re II Ltd. Series 2024-3 Class A Reset 2025</t>
  </si>
  <si>
    <t>747977AA4</t>
  </si>
  <si>
    <t>CB-Queen Street 2023 Re DAC Reset 2025</t>
  </si>
  <si>
    <t>76091DAA9</t>
  </si>
  <si>
    <t>CB-Res Re 2025 Ltd. Series 2025-I Class 13</t>
  </si>
  <si>
    <t>76091DAB7</t>
  </si>
  <si>
    <t>CB-Res Re 2025 Ltd. Series 2025-I Class 14</t>
  </si>
  <si>
    <t>76091DAC5</t>
  </si>
  <si>
    <t>CB-Res Re 2025 Ltd. Series 2025-I Class 15</t>
  </si>
  <si>
    <t>27777AAA9</t>
  </si>
  <si>
    <t>CB-Easton Re Ltd. Series 2024-1 Class A Reset 2025</t>
  </si>
  <si>
    <t>10807LAA5</t>
  </si>
  <si>
    <t>CB-Bridge Street Re Ltd. Series 2025-1 Class A</t>
  </si>
  <si>
    <t>76114NAE2</t>
  </si>
  <si>
    <t>CB-Res Re 2021 Ltd. Series 2021-II Class 2 Reset 2025</t>
  </si>
  <si>
    <t>76114NAF9</t>
  </si>
  <si>
    <t>CB-Res Re 2021 Ltd. Series 2021-II Class 3 Reset 2025</t>
  </si>
  <si>
    <t>76119YAF0</t>
  </si>
  <si>
    <t>CB-Res Re 2022 Ltd. Series 2022-II Class 3 Reset 2025</t>
  </si>
  <si>
    <t>76119YAG8</t>
  </si>
  <si>
    <t>CB-Res Re 2022 Ltd. Series 2022-II Class 5 Reset 2025</t>
  </si>
  <si>
    <t>76090WAB6</t>
  </si>
  <si>
    <t>CB-Res Re 2023 Ltd. Series 2023-II Class 3 Reset 2025</t>
  </si>
  <si>
    <t>76090WAC4</t>
  </si>
  <si>
    <t>CB-Res Re 2023 Ltd. Series 2023-II Class 5 Reset 2025</t>
  </si>
  <si>
    <t>76112AAC6</t>
  </si>
  <si>
    <t>CB-Res Re 2024 Ltd. Series 2024-II Class 2 Reset 2025</t>
  </si>
  <si>
    <t>76112AAD4</t>
  </si>
  <si>
    <t>CB-Res Re 2024 Ltd. Series 2024-II Class 3 Reset 2025</t>
  </si>
  <si>
    <t>76112AAE2</t>
  </si>
  <si>
    <t>CB-Res Re 2024 Ltd. Series 2024-II Class 4 Reset 2025</t>
  </si>
  <si>
    <t>05826BAC0</t>
  </si>
  <si>
    <t>CB-Baldwin Re Ltd. Series 2025-1 Class A</t>
  </si>
  <si>
    <t>05826BAB2</t>
  </si>
  <si>
    <t>CB-Baldwin Re Ltd. Series 2023-1 Class A Reset 2025</t>
  </si>
  <si>
    <t>57839MAA6</t>
  </si>
  <si>
    <t>CB-Mayflower Re Ltd. Series 2023-1 Class A Reset 2025</t>
  </si>
  <si>
    <t>57839MAB4</t>
  </si>
  <si>
    <t>CB-Mayflower Re Ltd. Series 2023-1 Class B Reset 2025</t>
  </si>
  <si>
    <t>57839MAC2</t>
  </si>
  <si>
    <t>CB-Mayflower Re Ltd. Series 2024-1 Class A Reset 2025</t>
  </si>
  <si>
    <t>57839MAD0</t>
  </si>
  <si>
    <t>CB-Mayflower Re Ltd. Series 2025-1 Class A</t>
  </si>
  <si>
    <t>76119YAB9</t>
  </si>
  <si>
    <t>CB-Res Re 2022 Ltd. Series 2022-I Class 11 Reset 2025</t>
  </si>
  <si>
    <t>76119YAC7</t>
  </si>
  <si>
    <t>CB-Res Re 2022 Ltd. Series 2022-I Class 12 Reset 2025</t>
  </si>
  <si>
    <t>76119YAD5</t>
  </si>
  <si>
    <t>CB-Res Re 2022 Ltd. Series 2022-I Class 13 Reset 2025</t>
  </si>
  <si>
    <t>76119YAE3</t>
  </si>
  <si>
    <t>CB-Res Re 2022 Ltd. Series 2022-I Class 14 Reset 2025</t>
  </si>
  <si>
    <t>76133XAA5</t>
  </si>
  <si>
    <t>CB-Res Re 2023 Ltd. Series 2023-I Class 13 Reset 2025</t>
  </si>
  <si>
    <t>76133XAB3</t>
  </si>
  <si>
    <t>CB-Res Re 2023 Ltd. Series 2023-I Class 14 Reset 2025</t>
  </si>
  <si>
    <t>76091BAB1</t>
  </si>
  <si>
    <t>CB-Res Re 2024 Ltd. Series 2024-I Class 13 Reset 2025</t>
  </si>
  <si>
    <t>76091BAC9</t>
  </si>
  <si>
    <t>CB-Res Re 2024 Ltd. Series 2024-I Class 14 Reset 2025</t>
  </si>
  <si>
    <t>36779CAM8</t>
  </si>
  <si>
    <t>CB-Gateway Re Ltd. Series 2025-1 Class AAA</t>
  </si>
  <si>
    <t>36779CAR7</t>
  </si>
  <si>
    <t>CB-Gateway Re Ltd. Series 2025-1 Class C1</t>
  </si>
  <si>
    <t>36779CAP1</t>
  </si>
  <si>
    <t>CB-Gateway Re Ltd. Series 2025-1 Class AA</t>
  </si>
  <si>
    <t>36779CAQ9</t>
  </si>
  <si>
    <t>CB-Gateway Re Ltd. Series 2025-1 Class A</t>
  </si>
  <si>
    <t>36779CAN6</t>
  </si>
  <si>
    <t>CB-Gateway Re Ltd. Series 2025-1 Class C2</t>
  </si>
  <si>
    <t>36779CAS5</t>
  </si>
  <si>
    <t>CB-Gateway Re Ltd. Series 2025-2 Class A</t>
  </si>
  <si>
    <t>59165HAD1</t>
  </si>
  <si>
    <t>CB-MetroCat Re Ltd. Series 2023-1 Class A</t>
  </si>
  <si>
    <t>XS2806459314</t>
  </si>
  <si>
    <t>CB-IBRD CAR Jamaica 2024</t>
  </si>
  <si>
    <t>XS2599161192</t>
  </si>
  <si>
    <t>CB-IBRD CAR Chile 2023</t>
  </si>
  <si>
    <t>37173WAA0</t>
  </si>
  <si>
    <t>CB-Genesee Street Re Ltd. Series 2025-1 Class A</t>
  </si>
  <si>
    <t>799927AA6</t>
  </si>
  <si>
    <t>CB-Sanders Re III Ltd. Series 2024-1 Class A Reset 2025</t>
  </si>
  <si>
    <t>80001QAA1</t>
  </si>
  <si>
    <t>CB-Sanders Re III Ltd. Series 2023-1 Class A Reset 2025</t>
  </si>
  <si>
    <t>80001QAB9</t>
  </si>
  <si>
    <t>CB-Sanders Re III Ltd. Series 2023-1 Class B Reset 2025</t>
  </si>
  <si>
    <t>80000YAA5</t>
  </si>
  <si>
    <t>CB-Sanders Re III Ltd. Series 2022-3 Class A Reset 2025</t>
  </si>
  <si>
    <t>80000XAA7</t>
  </si>
  <si>
    <t>CB-Sanders Re III Ltd. Series 2022-1 Class A Reset 2025</t>
  </si>
  <si>
    <t>CB-Sanders Re III Ltd. Series 2022-1 Class B Reset 2025</t>
  </si>
  <si>
    <t>80000XAC3</t>
  </si>
  <si>
    <t>CB-Sanders Re III Ltd. Series 2022-1 Class C Reset 2025</t>
  </si>
  <si>
    <t>80001TAA5</t>
  </si>
  <si>
    <t>CB-Sanders Re II Ltd. Series 2025-1 Class A-1</t>
  </si>
  <si>
    <t>80001TAC1</t>
  </si>
  <si>
    <t>CB-Sanders Re II Ltd. Series 2025-1 Class B-1</t>
  </si>
  <si>
    <t>80001TAB3</t>
  </si>
  <si>
    <t>CB-Sanders Re II Ltd. Series 2025-1 Class A-2</t>
  </si>
  <si>
    <t>80001TAD9</t>
  </si>
  <si>
    <t>CB-Sanders Re II Ltd. Series 2025-1 Class B-2</t>
  </si>
  <si>
    <t>577092AZ2</t>
  </si>
  <si>
    <t>CB-Matterhorn Re Ltd. Series 2025-3 Class A</t>
  </si>
  <si>
    <t>577092BA6</t>
  </si>
  <si>
    <t>CB-Matterhorn Re Ltd. Series 2025-3 Class B</t>
  </si>
  <si>
    <t>04681FAA2</t>
  </si>
  <si>
    <t>CB-Atela Re Ltd. Series 2024-1 Class A Reset 2025</t>
  </si>
  <si>
    <t>04681FAB0</t>
  </si>
  <si>
    <t>CB-Atela Re Ltd. Series 2024-1 Class B Reset 2025</t>
  </si>
  <si>
    <t>83427GAA3</t>
  </si>
  <si>
    <t>CB-Solomon Re Ltd. Series 2023-1 Class A Reset 2025</t>
  </si>
  <si>
    <t>35087TAD0</t>
  </si>
  <si>
    <t>CB-Four Lakes Re Ltd. Series 2022-1 Class A Reset 2025</t>
  </si>
  <si>
    <t>35087TAE8</t>
  </si>
  <si>
    <t>CB-Four Lakes Re Ltd. Series 2023-1 Class A Reset 2025</t>
  </si>
  <si>
    <t>35087TAF5</t>
  </si>
  <si>
    <t>CB-Four Lakes Re Ltd. Series 2023-1 Class B Reset 2025</t>
  </si>
  <si>
    <t>35087TAG3</t>
  </si>
  <si>
    <t>CB-Four Lakes Re Ltd. Series 2024-1 Class A</t>
  </si>
  <si>
    <t>35087TAH1</t>
  </si>
  <si>
    <t>CB-Four Lakes Re Ltd. Series 2024-1 Class B</t>
  </si>
  <si>
    <t>49407QAJ7</t>
  </si>
  <si>
    <t>CB-Kilimanjaro II Re Ltd. Series 2025-1 Class A-1</t>
  </si>
  <si>
    <t>49407QAK4</t>
  </si>
  <si>
    <t>CB-Kilimanjaro II Re Ltd. Series 2025-1 Class B-1</t>
  </si>
  <si>
    <t>49407QAL2</t>
  </si>
  <si>
    <t>CB-Kilimanjaro II Re Ltd. Series 2025-1 Class C-1</t>
  </si>
  <si>
    <t>49407QAM0</t>
  </si>
  <si>
    <t>CB-Kilimanjaro II Re Ltd. Series 2025-1 Class D-1</t>
  </si>
  <si>
    <t>49407QAN8</t>
  </si>
  <si>
    <t>CB-Kilimanjaro II Re Ltd. Series 2025-2 Class A-2</t>
  </si>
  <si>
    <t>49407QAP3</t>
  </si>
  <si>
    <t>CB-Kilimanjaro II Re Ltd. Series 2025-2 Class B-2</t>
  </si>
  <si>
    <t>49407QAQ1</t>
  </si>
  <si>
    <t>CB-Kilimanjaro II Re Ltd. Series 2025-2 Class C-2</t>
  </si>
  <si>
    <t>49407QAR9</t>
  </si>
  <si>
    <t>CB-Kilimanjaro II Re Ltd. Series 2025-2 Class D-2</t>
  </si>
  <si>
    <t>49407QAG3</t>
  </si>
  <si>
    <t>CB-Kilimanjaro II Re Ltd. Series 2024-1 Class A Reset 2025</t>
  </si>
  <si>
    <t>49407QAH1</t>
  </si>
  <si>
    <t>CB-Kilimanjaro II Re Ltd. Series 2024-1 Class B Reset 2025</t>
  </si>
  <si>
    <t>49407PAH3</t>
  </si>
  <si>
    <t>CB-Kilimanjaro III Re Ltd. Series 2021-2 Class A-2 Reset 2025</t>
  </si>
  <si>
    <t>49407PAJ9</t>
  </si>
  <si>
    <t>CB-Kilimanjaro III Re Ltd. Series 2021-2 Class B-2 Reset 2025</t>
  </si>
  <si>
    <t>49407PAK6</t>
  </si>
  <si>
    <t>CB-Kilimanjaro III Re Ltd. Series 2021-2 Class C-2 Reset 2025</t>
  </si>
  <si>
    <t>76870YAG7</t>
  </si>
  <si>
    <t>CB-Riverfront Re Ltd. Series 2025-1 Class B</t>
  </si>
  <si>
    <t>76870YAF9</t>
  </si>
  <si>
    <t>CB-Riverfront Re Ltd. Series 2025-1 Class A</t>
  </si>
  <si>
    <t>63901CAD3</t>
  </si>
  <si>
    <t>CB-Nature Coast Re Ltd. Series 2025-1 Class A Reset 2025</t>
  </si>
  <si>
    <t>54180CAA0</t>
  </si>
  <si>
    <t>CB-Lapis 2025-1 Series 2025-1</t>
  </si>
  <si>
    <t>36779CAF3</t>
  </si>
  <si>
    <t>CB-Gateway Re Ltd. Series 2023-3 Class A Reset 2025</t>
  </si>
  <si>
    <t>68252UAA3</t>
  </si>
  <si>
    <t>CB-1886 Re Ltd. Series 2025-1 Class A</t>
  </si>
  <si>
    <t>03851YAA7</t>
  </si>
  <si>
    <t>CB-Aragonite Re Ltd. Series 2024-1 Class A Reset 2025</t>
  </si>
  <si>
    <t>04227FAE5</t>
  </si>
  <si>
    <t>CB-Armor Re II Ltd. Series 2024-1 Class A Reset 2025</t>
  </si>
  <si>
    <t>89141WAF9</t>
  </si>
  <si>
    <t>CB-Torrey Pines Re Ltd. Series 2023-1 Class A Reset 2025</t>
  </si>
  <si>
    <t>89141WAG7</t>
  </si>
  <si>
    <t>CB-Torrey Pines Re Ltd. Series 2023-1 Class B Reset 2025</t>
  </si>
  <si>
    <t>89141WAH5</t>
  </si>
  <si>
    <t>CB-Torrey Pines Re Ltd. Series 2024-1 Class A Reset 2025</t>
  </si>
  <si>
    <t>89141WAJ1</t>
  </si>
  <si>
    <t>CB-Torrey Pines Re Ltd. Series 2024-1 Class B Reset 2025</t>
  </si>
  <si>
    <t>89141WAK8</t>
  </si>
  <si>
    <t>CB-Torrey Pines Re Ltd. Series 2024-1 Class C Reset 2025</t>
  </si>
  <si>
    <t>89141WAL6</t>
  </si>
  <si>
    <t>CB-Torrey Pines Re Ltd. Series 2025-1 Class A</t>
  </si>
  <si>
    <t>89141WAM4</t>
  </si>
  <si>
    <t>CB-Torrey Pines Re Ltd. Series 2025-1 Class B</t>
  </si>
  <si>
    <t>89141WAN2</t>
  </si>
  <si>
    <t>CB-Torrey Pines Re Ltd. Series 2025-1 Class C</t>
  </si>
  <si>
    <t>31771QAB0</t>
  </si>
  <si>
    <t>CB-Finca Re Ltd. Series 2025-1 Class A</t>
  </si>
  <si>
    <t>XS2799645515</t>
  </si>
  <si>
    <t>CB-IBRD CAR Mexico 2024 Class A</t>
  </si>
  <si>
    <t>XS2799645606</t>
  </si>
  <si>
    <t>CB-IBRD CAR Mexico 2024 Class B</t>
  </si>
  <si>
    <t>XS2799645788</t>
  </si>
  <si>
    <t>CB-IBRD CAR Mexico 2024 Class C</t>
  </si>
  <si>
    <t>XS2809694198</t>
  </si>
  <si>
    <t>CB-IBRD CAR Mexico 2024 Class D</t>
  </si>
  <si>
    <t>88577CAC5</t>
  </si>
  <si>
    <t>CB-3264 Re Ltd. Series 2024-1 Class A Reset 2025</t>
  </si>
  <si>
    <t>88577CAD3</t>
  </si>
  <si>
    <t>CB-3264 Re Ltd. Series 2024-1 Class B Reset 2025</t>
  </si>
  <si>
    <t>88577CAG6</t>
  </si>
  <si>
    <t>CB-3264 Re Ltd. Series 2025-2 Class A</t>
  </si>
  <si>
    <t>31969UAA5</t>
  </si>
  <si>
    <t>CB-First Coast Re IV Ltd. Series 2023-1 Class A Reset 2025</t>
  </si>
  <si>
    <t>54307MAA6</t>
  </si>
  <si>
    <t>CB-Longleaf Pine Re Ltd. Series 2024-1 Class A Reset 2025</t>
  </si>
  <si>
    <t>92335TAA7</t>
  </si>
  <si>
    <t>CB-Veraison Re Ltd. Series 2023-1 Class A Reset 2025</t>
  </si>
  <si>
    <t>92335TAB5</t>
  </si>
  <si>
    <t>CB-Veraison Re Ltd. Series 2023-1 Class B Reset 2025</t>
  </si>
  <si>
    <t>92335TAC3</t>
  </si>
  <si>
    <t>CB-Veraison Re Ltd. Series 2024-1 Class A Reset 2025</t>
  </si>
  <si>
    <t>92335TAD1</t>
  </si>
  <si>
    <t>CB-Veraison Re Ltd. Series 2025-1 Class A</t>
  </si>
  <si>
    <t>92335TAE9</t>
  </si>
  <si>
    <t>CB-Veraison Re Ltd. Series 2025-1 Class B</t>
  </si>
  <si>
    <t>XS3019877813</t>
  </si>
  <si>
    <t>CB-Vision 2039 Series 2025-1 Class A</t>
  </si>
  <si>
    <t>74528TAA2</t>
  </si>
  <si>
    <t>CB-Puerto Rico Parametric Re Ltd. Series 2024-1 Class A</t>
  </si>
  <si>
    <t>092168AB9</t>
  </si>
  <si>
    <t>CB-Black Kite Re Ltd. Series 2025-1 Class A</t>
  </si>
  <si>
    <t>177510AQ7</t>
  </si>
  <si>
    <t>CB-Citrus Re Ltd. Series 2025-1 Class A</t>
  </si>
  <si>
    <t>177510AR5</t>
  </si>
  <si>
    <t>CB-Citrus Re Ltd. Series 2025-1 Class B</t>
  </si>
  <si>
    <t>177510AL8</t>
  </si>
  <si>
    <t>CB-Citrus Re Ltd. Series 2023-1 Class A Reset 2025</t>
  </si>
  <si>
    <t>177510AM6</t>
  </si>
  <si>
    <t>CB-Citrus Re Ltd. Series 2023-1 Class B Reset 2025</t>
  </si>
  <si>
    <t>177510AN4</t>
  </si>
  <si>
    <t>CB-Citrus Re Ltd. Series 2024-1 Class A Reset 2025</t>
  </si>
  <si>
    <t>177510AP9</t>
  </si>
  <si>
    <t>CB-Citrus Re Ltd. Series 2024-1 Class B Reset 2025</t>
  </si>
  <si>
    <t>096003AA6</t>
  </si>
  <si>
    <t>CB-Blue Ridge Re Ltd. Series 2023-1 Class A Reset 2025</t>
  </si>
  <si>
    <t>096003AB4</t>
  </si>
  <si>
    <t>CB-Blue Ridge Re Ltd. Series 2023-1 Class B Reset 2025</t>
  </si>
  <si>
    <t>04227FAF2</t>
  </si>
  <si>
    <t>CB-Armor Re II Ltd. Series 2024-2 Class A</t>
  </si>
  <si>
    <t>13947LAG7</t>
  </si>
  <si>
    <t>CB-Cape Lookout Re Ltd. Series 2025-1 Class A</t>
  </si>
  <si>
    <t>07304LAA9</t>
  </si>
  <si>
    <t>CB-Bayou Re Ltd. Series 2023-1 Class A Reset 2025</t>
  </si>
  <si>
    <t>07304LAB7</t>
  </si>
  <si>
    <t>CB-Bayou Re Ltd. Series 2023-1 Class B Reset 2025</t>
  </si>
  <si>
    <t>74639NAD5</t>
  </si>
  <si>
    <t>CB-Purple Re Ltd. Series 2025-1 Class A</t>
  </si>
  <si>
    <t>74639NAE3</t>
  </si>
  <si>
    <t>CB-Purple Re Ltd. Series 2025-1 Class B</t>
  </si>
  <si>
    <t>74639NAC7</t>
  </si>
  <si>
    <t>CB-Purple Re Ltd. Series 2024-1 Class A Reset 2025</t>
  </si>
  <si>
    <t>74639NAB9</t>
  </si>
  <si>
    <t>CB-Purple Re Ltd. Series 2023-2 Class A Reset 2025</t>
  </si>
  <si>
    <t>74639NAA1</t>
  </si>
  <si>
    <t>CB-Purple Re Ltd. Series 2023-1 Class A Reset 2025</t>
  </si>
  <si>
    <t>62983QAN3</t>
  </si>
  <si>
    <t>CB-Nakama Re Ltd. Series 2023-1 Class 1 Reset 2025</t>
  </si>
  <si>
    <t>62983QAP8</t>
  </si>
  <si>
    <t>CB-Nakama Re Ltd. Series 2023-1 Class 2 Reset 2025</t>
  </si>
  <si>
    <t>62984JAC2</t>
  </si>
  <si>
    <t>CB-Nakama Re Pte. Ltd. Series 2024-1 Class 1 Reset 2025</t>
  </si>
  <si>
    <t>62984JAD0</t>
  </si>
  <si>
    <t>CB-Nakama Re Pte. Ltd. Series 2025-1 Class 1</t>
  </si>
  <si>
    <t>62984JAA6</t>
  </si>
  <si>
    <t>CB-Nakama Re Pte. Ltd. Series 2021-1 Class 1 Reset 2023</t>
  </si>
  <si>
    <t>62984JAB4</t>
  </si>
  <si>
    <t>CB-Nakama Re Pte. Ltd. Series 2021-1 Class 2 Reset 2023</t>
  </si>
  <si>
    <t>049207AB9</t>
  </si>
  <si>
    <t>CB-Atlas Capital DAC Series 2024-1 Class A Reset 2025</t>
  </si>
  <si>
    <t>XS2411652642</t>
  </si>
  <si>
    <t>CB-Hexagon III Re Pte. Ltd. Series 2021-1 Class A Reset 2025</t>
  </si>
  <si>
    <t>XS2411653293</t>
  </si>
  <si>
    <t>CB-Hexagon III Re Pte. Ltd. Series 2021-1 Class B Reset 2025</t>
  </si>
  <si>
    <t>428270AA0</t>
  </si>
  <si>
    <t>CB-Hexagon IV Re Ltd. Series 2023-1 Class A Reset 2025</t>
  </si>
  <si>
    <t>428270AB8</t>
  </si>
  <si>
    <t>CB-Hexagon IV Re Ltd. Series 2023-1 Class B Reset 2025</t>
  </si>
  <si>
    <t>09610NAA0</t>
  </si>
  <si>
    <t>CB-Bluebonnet Re Ltd. Series 2025-1 Class A</t>
  </si>
  <si>
    <t>09610NAB8</t>
  </si>
  <si>
    <t>CB-Bluebonnet Re Ltd. Series 2025-1 Class B</t>
  </si>
  <si>
    <t>09610NAC6</t>
  </si>
  <si>
    <t>CB-Bluebonnet Re Ltd. Series 2025-1 Class C</t>
  </si>
  <si>
    <t>09610NAD4</t>
  </si>
  <si>
    <t>CB-Bluebonnet Re Ltd. Series 2025-2 Class A</t>
  </si>
  <si>
    <t>42815KAC6</t>
  </si>
  <si>
    <t>CB-Hestia Re Ltd. Series 2025-1 Class A</t>
  </si>
  <si>
    <t>42815KAD4</t>
  </si>
  <si>
    <t>CB-Hestia Re Ltd. Series 2025-1 Class B</t>
  </si>
  <si>
    <t>42815KAB8</t>
  </si>
  <si>
    <t>CB-Hestia Re Ltd. Series 2023-1 Class A Reset 2025</t>
  </si>
  <si>
    <t>44914CAD8</t>
  </si>
  <si>
    <t>CB-Hypatia Ltd. Series 2025-1 Class A</t>
  </si>
  <si>
    <t>36779CAT3</t>
  </si>
  <si>
    <t>CB-Gateway Re Ltd. Series 2025-3 Class A</t>
  </si>
  <si>
    <t>45870GAA4</t>
  </si>
  <si>
    <t>CB-Integrity Re III Ltd. Series 2025-1 Class A-1 Reset 2025</t>
  </si>
  <si>
    <t>45870GAC0</t>
  </si>
  <si>
    <t>CB-Integrity Re III Ltd. Series 2025-1 Class B-1 Reset 2025</t>
  </si>
  <si>
    <t>45870GAE6</t>
  </si>
  <si>
    <t>CB-Integrity Re III Ltd. Series 2025-1 Class C Reset 2025</t>
  </si>
  <si>
    <t>45870GAF3</t>
  </si>
  <si>
    <t>CB-Integrity Re III Ltd. Series 2025-1 Class D Reset 2025</t>
  </si>
  <si>
    <t>45870GAB2</t>
  </si>
  <si>
    <t>CB-Integrity Re III Ltd. Series 2025-1 Class A-2 Reset 2025</t>
  </si>
  <si>
    <t>45870GAD8</t>
  </si>
  <si>
    <t>CB-Integrity Re III Ltd. Series 2025-1 Class B-2 Reset 2025</t>
  </si>
  <si>
    <t>45833UAJ0</t>
  </si>
  <si>
    <t>CB-Integrity Re Ltd. Series 2024-1 Class A Reset 2025</t>
  </si>
  <si>
    <t>45833UAK7</t>
  </si>
  <si>
    <t>CB-Integrity Re Ltd. Series 2024-1 Class B Reset 2025</t>
  </si>
  <si>
    <t>45833UAL5</t>
  </si>
  <si>
    <t>CB-Integrity Re Ltd. Series 2024-1 Class C Reset 2025</t>
  </si>
  <si>
    <t>45833UAM3</t>
  </si>
  <si>
    <t>CB-Integrity Re Ltd. Series 2024-1 Class D Reset 2025</t>
  </si>
  <si>
    <t>675951AA5</t>
  </si>
  <si>
    <t>CB-Ocelot Re Ltd. Series 2023-1 Class A Reset 2025</t>
  </si>
  <si>
    <t>675951AB3</t>
  </si>
  <si>
    <t>CB-Ocelot Re Ltd. Series 2025-1 Class A</t>
  </si>
  <si>
    <t>675951AC1</t>
  </si>
  <si>
    <t>CB-Ocelot Re Ltd. Series 2025-1 Class B</t>
  </si>
  <si>
    <t>07304LAC5</t>
  </si>
  <si>
    <t>CB-Bayou Re Ltd. Series 2024-1 Class A Reset 2025</t>
  </si>
  <si>
    <t>07304LAD3</t>
  </si>
  <si>
    <t>CB-Bayou Re Ltd. Series 2024-1 Class B Reset 2025</t>
  </si>
  <si>
    <t>07304LAE1</t>
  </si>
  <si>
    <t>CB-Bayou Re Ltd. Series 2025-1 Class A</t>
  </si>
  <si>
    <t>54143LAB4</t>
  </si>
  <si>
    <t>CB-Logistics Re Ltd. Series 2024-1 Class A</t>
  </si>
  <si>
    <t>547915AA6</t>
  </si>
  <si>
    <t>CB-Lower Ferry Re Ltd. Series 2023-1 Class A Reset 2025</t>
  </si>
  <si>
    <t>547915AB4</t>
  </si>
  <si>
    <t>CB-Lower Ferry Re Ltd. Series 2023-1 Class B Reset 2025</t>
  </si>
  <si>
    <t>54930CAA3</t>
  </si>
  <si>
    <t>CB-Luca Re Ltd. Series 2025-1 Class A</t>
  </si>
  <si>
    <t>577092AN9</t>
  </si>
  <si>
    <t>CB-Matterhorn Re Ltd. Series 2021-1 Class A Reset 2025</t>
  </si>
  <si>
    <t>577092AW9</t>
  </si>
  <si>
    <t>CB-Matterhorn Re Ltd. Series 2025-1 Class A</t>
  </si>
  <si>
    <t>577092AX7</t>
  </si>
  <si>
    <t>CB-Matterhorn Re Ltd. Series 2025-1 Class B</t>
  </si>
  <si>
    <t>577092AY5</t>
  </si>
  <si>
    <t>CB-Matterhorn Re Ltd. Series 2025-2 Class A</t>
  </si>
  <si>
    <t>49835JAB2</t>
  </si>
  <si>
    <t>CB-Kizuna Re III Pte. Ltd. Series 2024-1 Class A Reset 2025</t>
  </si>
  <si>
    <t>49835JAA4</t>
  </si>
  <si>
    <t>CB-Kizuna Re III Pte. Ltd. Series 2021-1 Class A Reset 2023</t>
  </si>
  <si>
    <t>89009PAA6</t>
  </si>
  <si>
    <t>CB-Tomoni Re Pte. Ltd. Series 2022-1 Class A-1 Reset 2025</t>
  </si>
  <si>
    <t>89009PAB4</t>
  </si>
  <si>
    <t>CB-Tomoni Re Pte. Ltd. Series 2022-1 Class B-1 Reset 2025</t>
  </si>
  <si>
    <t>89009PAE8</t>
  </si>
  <si>
    <t>CB-Tomoni Re Pte. Ltd. Series 2024-1 Class A Reset 2025</t>
  </si>
  <si>
    <t>89009PAF5</t>
  </si>
  <si>
    <t>CB-Tomoni Re Pte. Ltd. Series 2024-1 Class B Reset 2025</t>
  </si>
  <si>
    <t>63901CAA9</t>
  </si>
  <si>
    <t>CB-Nature Coast Re Ltd. Series 2023-1 Class A Reset 2025</t>
  </si>
  <si>
    <t>63901CAB7</t>
  </si>
  <si>
    <t>CB-Nature Coast Re Ltd. Series 2023-1 Class B Reset 2025</t>
  </si>
  <si>
    <t>63901CAC5</t>
  </si>
  <si>
    <t>CB-Nature Coast Re Ltd. Series 2024-1 Class A Reset 2025</t>
  </si>
  <si>
    <t>63901CAE1</t>
  </si>
  <si>
    <t>CB-Nature Coast Re Ltd. Series 2025-2 Class A</t>
  </si>
  <si>
    <t>159873AA6</t>
  </si>
  <si>
    <t>CB-Charles River Re Ltd. Series 2024-1 Class A Reset 2025</t>
  </si>
  <si>
    <t>367927AA8</t>
  </si>
  <si>
    <t>CB-Gateway Re II Ltd. Series 2023-1 Class A Reset 2025</t>
  </si>
  <si>
    <t>36779CAC0</t>
  </si>
  <si>
    <t>CB-Gateway Re Ltd. Series 2023-1 Class A Reset 2025</t>
  </si>
  <si>
    <t>36779CAD8</t>
  </si>
  <si>
    <t>CB-Gateway Re Ltd. Series 2023-1 Class B Reset 2025</t>
  </si>
  <si>
    <t>36779CAG1</t>
  </si>
  <si>
    <t>CB-Gateway Re Ltd. Series 2024-1 Class AA Reset 2025</t>
  </si>
  <si>
    <t>574591AA1</t>
  </si>
  <si>
    <t>CB-Maschpark Re Ltd. Series 2024-1 Class A</t>
  </si>
  <si>
    <t>62865LAD9</t>
  </si>
  <si>
    <t>CB-Mystic Re IV Ltd. Series 2023-1 Class A Reset 2025</t>
  </si>
  <si>
    <t>39526JAA9</t>
  </si>
  <si>
    <t>CB-Greengrove Re Ltd. Series 2025-1 Class A</t>
  </si>
  <si>
    <t>XS3075449036</t>
  </si>
  <si>
    <t>CB-Lion Re DAC Series 2025-1 Class A</t>
  </si>
  <si>
    <t>XS3075450471</t>
  </si>
  <si>
    <t>CB-Lion Re DAC Series 2025-1 Class B</t>
  </si>
  <si>
    <t>53625HAA4</t>
  </si>
  <si>
    <t>CB-Liongate Re DAC</t>
  </si>
  <si>
    <t>16140YAC6</t>
  </si>
  <si>
    <t>CB-Chartwell Re Ltd. Series 2025-1 Class C</t>
  </si>
  <si>
    <t>16140YAB8</t>
  </si>
  <si>
    <t>CB-Chartwell Re Ltd. Series 2025-1 Class B</t>
  </si>
  <si>
    <t>16140YAA0</t>
  </si>
  <si>
    <t>CB-Chartwell Re Ltd. Series 2025-1 Class A</t>
  </si>
  <si>
    <t>44914CAC0</t>
  </si>
  <si>
    <t>CB-Hypatia Ltd. Series 2023-1 Class A Reset 2025</t>
  </si>
  <si>
    <t>203235AB2</t>
  </si>
  <si>
    <t>CB-Commonwealth Re Ltd. Series 2023-1 Class A Reset 2025</t>
  </si>
  <si>
    <t>30014LAM6</t>
  </si>
  <si>
    <t>CB-Everglades Re II Ltd. Series 2024-1 Class A Reset 2025</t>
  </si>
  <si>
    <t>30014LAN4</t>
  </si>
  <si>
    <t>CB-Everglades Re II Ltd. Series 2024-1 Class B Reset 2025</t>
  </si>
  <si>
    <t>30014LAP9</t>
  </si>
  <si>
    <t>CB-Everglades Re II Ltd. Series 2024-1 Class C Reset 2025</t>
  </si>
  <si>
    <t>30014LAT1</t>
  </si>
  <si>
    <t>CB-Everglades Re II Ltd. Series 2025-1 Class A</t>
  </si>
  <si>
    <t>30014LAU8</t>
  </si>
  <si>
    <t>CB-Everglades Re II Ltd. Series 2025-1 Class B</t>
  </si>
  <si>
    <t>30014LAV6</t>
  </si>
  <si>
    <t>CB-Everglades Re II Ltd. Series 2025-1 Class C</t>
  </si>
  <si>
    <t>30014LAW4</t>
  </si>
  <si>
    <t>CB-Everglades Re II Ltd. Series 2025-1 Class D</t>
  </si>
  <si>
    <t>33774EAA2</t>
  </si>
  <si>
    <t>CB-Fish Pond Re Ltd. Series 2024-1 Class A Reset 2025</t>
  </si>
  <si>
    <t>62426LAA7</t>
  </si>
  <si>
    <t>CB-Mountain Re Ltd. Series 2023-1 Class A Reset 2025</t>
  </si>
  <si>
    <t>62865LAE7</t>
  </si>
  <si>
    <t>CB-Mystic Re IV Ltd. Series 2024-1 Class A Reset 2025</t>
  </si>
  <si>
    <t>666842AF6</t>
  </si>
  <si>
    <t>CB-Northshore Re II Ltd. Series 2025-1 Class A</t>
  </si>
  <si>
    <t>67550LAA4</t>
  </si>
  <si>
    <t>CB-Oceanside Re Ltd. Series 2025-1 Class A</t>
  </si>
  <si>
    <t>69664FAA6</t>
  </si>
  <si>
    <t>CB-Palm Re Ltd. Series 2024-1 Class A Reset 2025</t>
  </si>
  <si>
    <t>975660AA9</t>
  </si>
  <si>
    <t>CB-Winston Re Ltd. Series 2024-1 Class A Reset 2025</t>
  </si>
  <si>
    <t>975660AB7</t>
  </si>
  <si>
    <t>CB-Winston Re Ltd. Series 2024-1 Class B Reset 2025</t>
  </si>
  <si>
    <t>975660AC5</t>
  </si>
  <si>
    <t>CB-Winston Re Ltd. Series 2025-1 Class A</t>
  </si>
  <si>
    <t>69664FAB4</t>
  </si>
  <si>
    <t>CB-Palm Re Ltd. Series 2025-1 Class A</t>
  </si>
  <si>
    <t>00485YAD1</t>
  </si>
  <si>
    <t>CB-Acorn Re Ltd. Series 2023-1 Class A</t>
  </si>
  <si>
    <t>00485YAE9</t>
  </si>
  <si>
    <t>CB-Acorn Re Ltd. Series 2024-1 Class A</t>
  </si>
  <si>
    <t>00485YAF6</t>
  </si>
  <si>
    <t>CB-Acorn Re Ltd. Series 2024-1 Class B</t>
  </si>
  <si>
    <t>91734PAF3</t>
  </si>
  <si>
    <t>CB-Ursa Re II Ltd. Series 2022-2 Class AA Reset 2024</t>
  </si>
  <si>
    <t>91734PAG1</t>
  </si>
  <si>
    <t>CB-Ursa Re II Ltd. Series 2022-2 Class C Reset 2024</t>
  </si>
  <si>
    <t>91734PAH9</t>
  </si>
  <si>
    <t>CB-Ursa Re II Ltd. Series 2025-1 Class G</t>
  </si>
  <si>
    <t>90323WAN0</t>
  </si>
  <si>
    <t>CB-Ursa Re Ltd. Series 2023-2 Class E Reset 2024</t>
  </si>
  <si>
    <t>90323WAP5</t>
  </si>
  <si>
    <t>CB-Ursa Re Ltd. Series 2023-3 Class AA Reset 2024</t>
  </si>
  <si>
    <t>90323WAQ3</t>
  </si>
  <si>
    <t>CB-Ursa Re Ltd. Series 2023-3 Class D Reset 2024</t>
  </si>
  <si>
    <t>90323WAL4</t>
  </si>
  <si>
    <t>CB-Ursa Re Ltd. Series 2023-1 Class AA Reset 2024</t>
  </si>
  <si>
    <t>90323WAM2</t>
  </si>
  <si>
    <t>CB-Ursa Re Ltd. Series 2023-1 Class C Reset 2024</t>
  </si>
  <si>
    <t>90323WAR1</t>
  </si>
  <si>
    <t>CB-Ursa Re Ltd. Series 2025-1 Class F</t>
  </si>
  <si>
    <t>613752AB0</t>
  </si>
  <si>
    <t>CB-Montoya Re Ltd. Series 2022-2 Class A Reset 2025</t>
  </si>
  <si>
    <t>XS2630523749</t>
  </si>
  <si>
    <t>CB-Totara Re Pte. Ltd. Series 2023-1 Class A Reset 2025</t>
  </si>
  <si>
    <t>33975CAM7</t>
  </si>
  <si>
    <t>CB-FloodSmart Re Ltd. Series 2023-1 Class A Reset 2025</t>
  </si>
  <si>
    <t>33975CAN5</t>
  </si>
  <si>
    <t>CB-FloodSmart Re Ltd. Series 2023-1 Class B Reset 2025</t>
  </si>
  <si>
    <t>33975CAP0</t>
  </si>
  <si>
    <t>CB-FloodSmart Re Ltd. Series 2024-1 Class A Reset 2025</t>
  </si>
  <si>
    <t>33975CAQ8</t>
  </si>
  <si>
    <t>CB-FloodSmart Re Ltd. Series 2024-1 Class B Reset 2025</t>
  </si>
  <si>
    <t>349939AA6</t>
  </si>
  <si>
    <t>CB-Foundation Re IV Ltd. Series 2023-1 Class A Reset 2025</t>
  </si>
  <si>
    <t>XS2865536135</t>
  </si>
  <si>
    <t>CB-Quercus Re DAC Reset 2025</t>
  </si>
  <si>
    <t>785628AA6</t>
  </si>
  <si>
    <t>CB-Sabine Re Ltd. Series 2024-1 Class A Reset 2025</t>
  </si>
  <si>
    <t>79381MAD6</t>
  </si>
  <si>
    <t>CB-Sakura Re Ltd. Series 2025-1 Class A</t>
  </si>
  <si>
    <t>83423TAA9</t>
  </si>
  <si>
    <t>CB-Solis Re Ltd. Series 2025-1 Class A</t>
  </si>
  <si>
    <t>87609TAA6</t>
  </si>
  <si>
    <t>CB-Taranis Re DAC Class A Reset 2025</t>
  </si>
  <si>
    <t>87609TAB4</t>
  </si>
  <si>
    <t>CB-Taranis Re DAC Class B Reset 2025</t>
  </si>
  <si>
    <t>982533AC5</t>
  </si>
  <si>
    <t>CB-Wrigley Re Ltd. Series 2023-1 Class B Reset 2025</t>
  </si>
  <si>
    <t>982533AB7</t>
  </si>
  <si>
    <t>CB-Wrigley Re Ltd. Series 2023-1 Class A Reset 2025</t>
  </si>
  <si>
    <t>98740RAB5</t>
  </si>
  <si>
    <t>CB-Yosemite Re Ltd. Series 2025-1 Class A</t>
  </si>
  <si>
    <t>613752AC8</t>
  </si>
  <si>
    <t>CB-Montoya Re Ltd. Series 2024-1 Class A Reset 2025</t>
  </si>
  <si>
    <t>54180TAA3</t>
  </si>
  <si>
    <t>CB-Fuchsia Series 2023-1 Class A Reset 2025</t>
  </si>
  <si>
    <t>541917AA8</t>
  </si>
  <si>
    <t>CB-Fuchsia 2 Series 2024-1 Class A Reset 2025</t>
  </si>
  <si>
    <t>613752AD6</t>
  </si>
  <si>
    <t>CB-Montoya Re Ltd. Series 2025-1 Class A Reset 2025</t>
  </si>
  <si>
    <t>613752AE4</t>
  </si>
  <si>
    <t>CB-Montoya Re Ltd. Series 2025-1 Class B Reset 2025</t>
  </si>
  <si>
    <t>62865LAF4</t>
  </si>
  <si>
    <t>CB-Mystic Re IV Ltd. Series 2025-1 Class A</t>
  </si>
  <si>
    <t>62865LAG2</t>
  </si>
  <si>
    <t>CB-Mystic Re IV Ltd. Series 2025-1 Class B</t>
  </si>
  <si>
    <t>62865LAH0</t>
  </si>
  <si>
    <t>CB-Mystic Re IV Ltd. Series 2025-1 Class C</t>
  </si>
  <si>
    <t>011395AJ9</t>
  </si>
  <si>
    <t>CB-Alamo Re Ltd. Series 2023-1 Class A Reset 2025</t>
  </si>
  <si>
    <t>011395AN0</t>
  </si>
  <si>
    <t>CB-Alamo Re Ltd. Series 2024-1 Class A Reset 2025</t>
  </si>
  <si>
    <t>011395AP5</t>
  </si>
  <si>
    <t>CB-Alamo Re Ltd. Series 2024-1 Class B Reset 2025</t>
  </si>
  <si>
    <t>011395AQ3</t>
  </si>
  <si>
    <t>CB-Alamo Re Ltd. Series 2024-1 Class C Reset 2025</t>
  </si>
  <si>
    <t>89055TAA1</t>
  </si>
  <si>
    <t>CB-Topanga Re Ltd. Series 2021-1 Class A Reset 2025</t>
  </si>
  <si>
    <t>799925AA0</t>
  </si>
  <si>
    <t>CB-Sanders Re III Ltd. Series 2023-2 Class A Reset 2025</t>
  </si>
  <si>
    <t>608800AJ7</t>
  </si>
  <si>
    <t>CB-Mona Lisa Re Ltd. Series 2025-1 Class A</t>
  </si>
  <si>
    <t>608800AK4</t>
  </si>
  <si>
    <t>CB-Mona Lisa Re Ltd. Series 2025-1 Class B</t>
  </si>
  <si>
    <t>608800AH1</t>
  </si>
  <si>
    <t>CB-Mona Lisa Re Ltd. Series 2024-1 Class A Reset 2025</t>
  </si>
  <si>
    <t>608800AF5</t>
  </si>
  <si>
    <t>CB-Mona Lisa Re Ltd. Series 2023-1 Class A Reset 2025</t>
  </si>
  <si>
    <t>608800AG3</t>
  </si>
  <si>
    <t>CB-Mona Lisa Re Ltd. Series 2023-1 Class B Reset 2025</t>
  </si>
  <si>
    <t>CB-King Max Re DAC Reset 2025</t>
  </si>
  <si>
    <t>XS2931270180</t>
  </si>
  <si>
    <t>CB-Orange Capital Re DAC Series 2024-1 Class A</t>
  </si>
  <si>
    <t>XS2722275190</t>
  </si>
  <si>
    <t>CB-Orange Capital Re DAC Series 2023-1 Class A Reset 2025</t>
  </si>
  <si>
    <t>539694AA7</t>
  </si>
  <si>
    <t>CB-Locke Tavern Re Ltd. Series 2023-1 Class A Reset 2025</t>
  </si>
  <si>
    <t>42703VAG8</t>
  </si>
  <si>
    <t>CB-Herbie Re Ltd. Series 2024-1 Class A Reset 2025</t>
  </si>
  <si>
    <t>42703VAH6</t>
  </si>
  <si>
    <t>CB-Herbie Re Ltd. Series 2024-1 Class B Reset 2025</t>
  </si>
  <si>
    <t>42703VAJ2</t>
  </si>
  <si>
    <t>CB-Herbie Re Ltd. Series 2024-2 Class A</t>
  </si>
  <si>
    <t>42703VAK9</t>
  </si>
  <si>
    <t>CB-Herbie Re Ltd. Series 2024-2 Class B</t>
  </si>
  <si>
    <t>42703VAL7</t>
  </si>
  <si>
    <t>CB-Herbie Re Ltd. Series 2024-2 Class C</t>
  </si>
  <si>
    <t>42703VAF0</t>
  </si>
  <si>
    <t>CB-Herbie Re Ltd. Series 2022-1 Class A Reset 2025</t>
  </si>
  <si>
    <t>54279PAA3</t>
  </si>
  <si>
    <t>CB-Long Point Re IV Ltd. Series 2022-1 Class A Reset 2025</t>
  </si>
  <si>
    <t>86944RAE8</t>
  </si>
  <si>
    <t>CB-Sutter Re Ltd. Series 2023-1 Class B Reset 2025</t>
  </si>
  <si>
    <t>86944RAF5</t>
  </si>
  <si>
    <t>CB-Sutter Re Ltd. Series 2023-1 Class E Reset 2025</t>
  </si>
  <si>
    <t>XS2845137541</t>
  </si>
  <si>
    <t>CB-Windmill III Re DAC Series 2024-1 Class A Reset 2025</t>
  </si>
  <si>
    <t>888329AC3</t>
  </si>
  <si>
    <t>CB-Titania Re Ltd. Series 2023-1 Class A Reset 2025</t>
  </si>
  <si>
    <t>888329AD1</t>
  </si>
  <si>
    <t>CB-Titania Re Ltd. Series 2023-1 Class B Reset 2025</t>
  </si>
  <si>
    <t>888329AE9</t>
  </si>
  <si>
    <t>CB-Titania Re Ltd. Series 2024-1 Class A</t>
  </si>
  <si>
    <t>888329AF6</t>
  </si>
  <si>
    <t>CB-Titania Re Ltd. Series 2024-1 Class B</t>
  </si>
  <si>
    <t>888329AG4</t>
  </si>
  <si>
    <t>CB-Titania Re Ltd. Series 2025-1 Class A</t>
  </si>
  <si>
    <t>888329AH2</t>
  </si>
  <si>
    <t>CB-Titania Re Ltd. Series 2025-1 Class B</t>
  </si>
  <si>
    <t>48878QAD2</t>
  </si>
  <si>
    <t>CB-Kendall Re Ltd. Series 2024-1 Class A Reset 2025</t>
  </si>
  <si>
    <t>48878QAE0</t>
  </si>
  <si>
    <t>CB-Kendall Re Ltd. Series 2024-1 Class B Reset 2025</t>
  </si>
  <si>
    <t>80001AAA6</t>
  </si>
  <si>
    <t>CB-Sanders Re II Ltd. Series 2025-2 Class A</t>
  </si>
  <si>
    <t>429932AA4</t>
  </si>
  <si>
    <t>CB-High Point Re Ltd. Series 2023-1 Class A Reset 2025</t>
  </si>
  <si>
    <t>XS2788028178</t>
  </si>
  <si>
    <t>CB-Azzurro Re II DAC Series 2024-1 Class A Reset 2025</t>
  </si>
  <si>
    <t>09785EAK7</t>
  </si>
  <si>
    <t>CB-Bonanza Re Ltd. Series 2023-1 Class A Reset 2025</t>
  </si>
  <si>
    <t>09605UAA1</t>
  </si>
  <si>
    <t>CB-Blue Sky Re DAC Series 2023-1 Reset 2025</t>
  </si>
  <si>
    <t>XS2641776773</t>
  </si>
  <si>
    <t>CB-Eiffel Re Ltd. Series 2023-1 Class A Reset 2025</t>
  </si>
  <si>
    <t>049207AA1</t>
  </si>
  <si>
    <t>CB-Atlas Capital DAC Series 2023-1 Class A Reset 2025</t>
  </si>
  <si>
    <t>049207AC7</t>
  </si>
  <si>
    <t>CB-Atlas Capital DAC Series 2025-1 Class A</t>
  </si>
  <si>
    <t>203235AC0</t>
  </si>
  <si>
    <t>CB-Commonwealth Re Ltd. Series 2025-1 Class A</t>
  </si>
  <si>
    <t>31969UAC1</t>
  </si>
  <si>
    <t>CB-First Coast Re IV Ltd. Series 2025-1 Class B</t>
  </si>
  <si>
    <t>31969UAB3</t>
  </si>
  <si>
    <t>CB-First Coast Re IV Ltd. Series 2025-1 Class A</t>
  </si>
  <si>
    <t>88577CAF8</t>
  </si>
  <si>
    <t>CB-3264 Re Ltd. Series 2025-1 Class B</t>
  </si>
  <si>
    <t>88577CAE1</t>
  </si>
  <si>
    <t>CB-3264 Re Ltd. Series 2025-1 Class A</t>
  </si>
  <si>
    <t>90215BAB3</t>
  </si>
  <si>
    <t>CB-2001 CAT Re Ltd. Series 2023-1 Class A Reset 2025</t>
  </si>
  <si>
    <t>42703VAM5</t>
  </si>
  <si>
    <t>CB-Herbie Re Ltd. Series 2025-1 Class A</t>
  </si>
  <si>
    <t>76091JAA6</t>
  </si>
  <si>
    <t>CB-Res Re 2025 Ltd. Series 2025-II Class 2</t>
  </si>
  <si>
    <t>CB-Four Lakes Re Ltd. Series 2023-1 Class B Reset 2025_V12</t>
  </si>
  <si>
    <t>CB-Four Lakes Re Ltd. Series 2024-1 Class B_V12</t>
  </si>
  <si>
    <t>CB-Herbie Re Ltd. Series 2025-1 Class A LMF USSCS</t>
  </si>
  <si>
    <t>CB-FloodSmart Re Ltd. Series 2024-1 Class A Reset 2025_wLMF</t>
  </si>
  <si>
    <t>58320RAA9</t>
  </si>
  <si>
    <t>CB-Meadows Ltd. Series 2025-1 Class A</t>
  </si>
  <si>
    <t>58320RAC5</t>
  </si>
  <si>
    <t>CB-Meadows Ltd. Series 2025-1 Class C</t>
  </si>
  <si>
    <t>Report Date</t>
  </si>
  <si>
    <t>% chage</t>
  </si>
  <si>
    <t>Data Received Date</t>
  </si>
  <si>
    <t># Cat Bonds</t>
  </si>
  <si>
    <t># Holdings</t>
  </si>
  <si>
    <t>AUM</t>
  </si>
  <si>
    <t>Treasury Value</t>
  </si>
  <si>
    <t xml:space="preserve">Deployed AUM </t>
  </si>
  <si>
    <t>Current Mkt Value</t>
  </si>
  <si>
    <t>Risk free rate</t>
  </si>
  <si>
    <t>Investment Income</t>
  </si>
  <si>
    <t>Investment Premium</t>
  </si>
  <si>
    <t>Cash</t>
  </si>
  <si>
    <t xml:space="preserve">without Treasury </t>
  </si>
  <si>
    <t xml:space="preserve">with Treasury </t>
  </si>
  <si>
    <t>Premium CAT Bond</t>
  </si>
  <si>
    <t>Premium Incl Treasury</t>
  </si>
  <si>
    <t>AAL from Sheet</t>
  </si>
  <si>
    <t>OptimizationLayerID</t>
  </si>
  <si>
    <t>CipherID</t>
  </si>
  <si>
    <t>Series</t>
  </si>
  <si>
    <t>Class</t>
  </si>
  <si>
    <t>Reset</t>
  </si>
  <si>
    <t>Renewal</t>
  </si>
  <si>
    <t>Loss Basis</t>
  </si>
  <si>
    <t>Issuer</t>
  </si>
  <si>
    <t>Hedges</t>
  </si>
  <si>
    <t>CUSIP</t>
  </si>
  <si>
    <t>BoundDate</t>
  </si>
  <si>
    <t>ExpirationDate</t>
  </si>
  <si>
    <t>Fronting</t>
  </si>
  <si>
    <t>SecurityInstrument</t>
  </si>
  <si>
    <t>OccurenceLimit</t>
  </si>
  <si>
    <t>Quantity</t>
  </si>
  <si>
    <t>Fronted</t>
  </si>
  <si>
    <t>BondPrice</t>
  </si>
  <si>
    <t>Bond Coupon</t>
  </si>
  <si>
    <t>Bond Buy or Sell</t>
  </si>
  <si>
    <t>Bonds Buy Date</t>
  </si>
  <si>
    <t>Bond Sell Price</t>
  </si>
  <si>
    <t>Bond Sell Date</t>
  </si>
  <si>
    <t>CompanyShare</t>
  </si>
  <si>
    <t>BondInitialSpread</t>
  </si>
  <si>
    <t>BondRedemption</t>
  </si>
  <si>
    <t>ROL</t>
  </si>
  <si>
    <t>InitialFees</t>
  </si>
  <si>
    <t>ExceptionApproval</t>
  </si>
  <si>
    <t>AvgRateChangeProjection</t>
  </si>
  <si>
    <t>Comments</t>
  </si>
  <si>
    <t>No.ofReinstatement</t>
  </si>
  <si>
    <t>ContractWordingReceivedDate</t>
  </si>
  <si>
    <t>ContractWordingforwardedtoAON/ART</t>
  </si>
  <si>
    <t>AuthorizationDate</t>
  </si>
  <si>
    <t xml:space="preserve"> ConfirmationNoticeDate</t>
  </si>
  <si>
    <t>ContractExecutedDate</t>
  </si>
  <si>
    <t>TreatyType</t>
  </si>
  <si>
    <t>CoverageType</t>
  </si>
  <si>
    <t>Quantity Pledged</t>
  </si>
  <si>
    <t>Realized Gain</t>
  </si>
  <si>
    <t>NRE_ID</t>
  </si>
  <si>
    <t>CurrExchangeFactor</t>
  </si>
  <si>
    <t>2024-1</t>
  </si>
  <si>
    <t>2025</t>
  </si>
  <si>
    <t>LOD</t>
  </si>
  <si>
    <t>Zenkyoren</t>
  </si>
  <si>
    <t>Cat Bond</t>
  </si>
  <si>
    <t>Buy</t>
  </si>
  <si>
    <t>Indemnity</t>
  </si>
  <si>
    <t>Aggregate</t>
  </si>
  <si>
    <t>2025-1</t>
  </si>
  <si>
    <t>Class B</t>
  </si>
  <si>
    <t>Inigo Insurance</t>
  </si>
  <si>
    <t>Industry Loss Index</t>
  </si>
  <si>
    <t>Occurrence</t>
  </si>
  <si>
    <t>2023-1</t>
  </si>
  <si>
    <t>Class A</t>
  </si>
  <si>
    <t>NC Farm Bureau</t>
  </si>
  <si>
    <t>Mitsui Sumitomo</t>
  </si>
  <si>
    <t>2023-3</t>
  </si>
  <si>
    <t>Class AA</t>
  </si>
  <si>
    <t>2024</t>
  </si>
  <si>
    <t>CEA</t>
  </si>
  <si>
    <t>GeoVera</t>
  </si>
  <si>
    <t>Beazley</t>
  </si>
  <si>
    <t>Texaf Farm Bureau</t>
  </si>
  <si>
    <t>AllState</t>
  </si>
  <si>
    <t>Talanx AG (Via Hannover Re)</t>
  </si>
  <si>
    <t>Parametric</t>
  </si>
  <si>
    <t>SageSure</t>
  </si>
  <si>
    <t>Occ (2nd event)</t>
  </si>
  <si>
    <t>Slide</t>
  </si>
  <si>
    <t>Brookfield Property</t>
  </si>
  <si>
    <t>Oak Tree Insurance</t>
  </si>
  <si>
    <t>Hannover Insurance</t>
  </si>
  <si>
    <t>Gryphon Mutual (Blackstone)</t>
  </si>
  <si>
    <t xml:space="preserve">American European Insurance </t>
  </si>
  <si>
    <t>Tower Hill Ins Exch</t>
  </si>
  <si>
    <t>Palomar Specialty</t>
  </si>
  <si>
    <t>FL Citizens</t>
  </si>
  <si>
    <t>TWIA</t>
  </si>
  <si>
    <t>LA Citizens</t>
  </si>
  <si>
    <t>FL Peninsula</t>
  </si>
  <si>
    <t>Ariel Re</t>
  </si>
  <si>
    <t>Prologis</t>
  </si>
  <si>
    <t>American Family</t>
  </si>
  <si>
    <t>NFIP</t>
  </si>
  <si>
    <t>Spinnaker Insurance</t>
  </si>
  <si>
    <t>Heritage</t>
  </si>
  <si>
    <t>2023-2</t>
  </si>
  <si>
    <t>Swiss Re</t>
  </si>
  <si>
    <t>Peak Re</t>
  </si>
  <si>
    <t>Class C</t>
  </si>
  <si>
    <t>Fidelis</t>
  </si>
  <si>
    <t>Progressive</t>
  </si>
  <si>
    <t>American Coastal</t>
  </si>
  <si>
    <t>PortfolioID</t>
  </si>
  <si>
    <t>Report Type</t>
  </si>
  <si>
    <t>Name</t>
  </si>
  <si>
    <t>Notional AUM</t>
  </si>
  <si>
    <t>Deployed AUM</t>
  </si>
  <si>
    <t>CurrencyCode</t>
  </si>
  <si>
    <t>Remarks</t>
  </si>
  <si>
    <t>PIMCOVIEW</t>
  </si>
  <si>
    <t>AIR</t>
  </si>
  <si>
    <t>USD</t>
  </si>
  <si>
    <t>ETF Bound Portfolio as of Nov 7, 2025</t>
  </si>
  <si>
    <t>without Treasury -------------&gt;</t>
  </si>
  <si>
    <t>with Treasury -------------&gt;</t>
  </si>
  <si>
    <t>Cusip</t>
  </si>
  <si>
    <t>Security Instrument</t>
  </si>
  <si>
    <t>Transaction Type</t>
  </si>
  <si>
    <t>Purchase Date</t>
  </si>
  <si>
    <t>Setltement Date</t>
  </si>
  <si>
    <t>Broker</t>
  </si>
  <si>
    <t>Security Description</t>
  </si>
  <si>
    <t>Cedent1</t>
  </si>
  <si>
    <t>Accumulation</t>
  </si>
  <si>
    <t>Trigger Type</t>
  </si>
  <si>
    <t>Issue Date</t>
  </si>
  <si>
    <t>Maturity Date</t>
  </si>
  <si>
    <t>Amount Outstanding</t>
  </si>
  <si>
    <t>Risk</t>
  </si>
  <si>
    <t>Swiss Re EL</t>
  </si>
  <si>
    <t>Original Spread</t>
  </si>
  <si>
    <t>Coupon</t>
  </si>
  <si>
    <t>ICE Price 9/2</t>
  </si>
  <si>
    <t>Price</t>
  </si>
  <si>
    <t>Unit</t>
  </si>
  <si>
    <t>Local Currency</t>
  </si>
  <si>
    <t>Local to USD Rate</t>
  </si>
  <si>
    <t>Acrrued Interest Paid (USD)</t>
  </si>
  <si>
    <t># Days of Interest Paid</t>
  </si>
  <si>
    <t>Invested AUM (USD)</t>
  </si>
  <si>
    <t>Total Paid (USD)</t>
  </si>
  <si>
    <t>Market Value as of 11/6</t>
  </si>
  <si>
    <t>Maturity (yrs)</t>
  </si>
  <si>
    <t>Yield to Maturity (YTM)</t>
  </si>
  <si>
    <t xml:space="preserve">Spread </t>
  </si>
  <si>
    <t>Net  Spread</t>
  </si>
  <si>
    <t>Loss Ratio</t>
  </si>
  <si>
    <t xml:space="preserve"> EL Multiple</t>
  </si>
  <si>
    <t>Premium (USD)</t>
  </si>
  <si>
    <t>AAL (USD)</t>
  </si>
  <si>
    <t>CAT Bond</t>
  </si>
  <si>
    <t>BH</t>
  </si>
  <si>
    <t>Nakama Re 2024-1 A</t>
  </si>
  <si>
    <t>4/23/2024</t>
  </si>
  <si>
    <t>4/4/2029</t>
  </si>
  <si>
    <t>JP EQ</t>
  </si>
  <si>
    <t>RBC</t>
  </si>
  <si>
    <t>Montoya Re 2025-1 B </t>
  </si>
  <si>
    <t>1/29/2025</t>
  </si>
  <si>
    <t>4/7/2028</t>
  </si>
  <si>
    <t>US WD / US &amp; CAD QK</t>
  </si>
  <si>
    <t>Blue Ridge Re 2023-1 A</t>
  </si>
  <si>
    <t>11/22/2023</t>
  </si>
  <si>
    <t>1/8/2027</t>
  </si>
  <si>
    <t>NC WD</t>
  </si>
  <si>
    <t>Tomoni Re 2022-1 B </t>
  </si>
  <si>
    <t>3/30/2022</t>
  </si>
  <si>
    <t>4/7/2026</t>
  </si>
  <si>
    <t>JP WD &amp; FL</t>
  </si>
  <si>
    <t>Ursa Re 2023-3 AA</t>
  </si>
  <si>
    <t>12/7/2023</t>
  </si>
  <si>
    <t>12/7/2026</t>
  </si>
  <si>
    <t>CA EQ</t>
  </si>
  <si>
    <t>Veraison Re 2025-1 A</t>
  </si>
  <si>
    <t>2/5/2025</t>
  </si>
  <si>
    <t>3/8/2028</t>
  </si>
  <si>
    <t>US EQ</t>
  </si>
  <si>
    <t xml:space="preserve">Fuchsia 2 2024-1 </t>
  </si>
  <si>
    <t>12/23/2024</t>
  </si>
  <si>
    <t>4/6/2028</t>
  </si>
  <si>
    <t>US &amp; CAD WD &amp; QK</t>
  </si>
  <si>
    <t xml:space="preserve">Fish Pond Re 2024-1 A </t>
  </si>
  <si>
    <t>1/9/2024</t>
  </si>
  <si>
    <t>TX HU &amp; THD</t>
  </si>
  <si>
    <t xml:space="preserve">Baldwin Re 2023-1 A </t>
  </si>
  <si>
    <t>Vermont Mutual</t>
  </si>
  <si>
    <t>6/28/2023</t>
  </si>
  <si>
    <t>7/7/2027</t>
  </si>
  <si>
    <t>NE WD,QK,TH,WF</t>
  </si>
  <si>
    <t xml:space="preserve">Sanders Re III 2023-1 A </t>
  </si>
  <si>
    <t>3/31/2023</t>
  </si>
  <si>
    <t>4/7/2027</t>
  </si>
  <si>
    <t>US WD (not FL) / TH/ US QK/WF</t>
  </si>
  <si>
    <t>Gateway Re 2025-1 C2</t>
  </si>
  <si>
    <t>2/27/2025</t>
  </si>
  <si>
    <t>US WD</t>
  </si>
  <si>
    <t>Purple Re 2024-1 A</t>
  </si>
  <si>
    <t>4/9/2024</t>
  </si>
  <si>
    <t>6/7/2027</t>
  </si>
  <si>
    <t>FL &amp; SC HU</t>
  </si>
  <si>
    <t xml:space="preserve">Aragonite Re 2024-1 A </t>
  </si>
  <si>
    <t>3/28/2024</t>
  </si>
  <si>
    <t>US&amp;CAD WD&amp;QK</t>
  </si>
  <si>
    <t>Acorn Re 2023-1 A</t>
  </si>
  <si>
    <t>6/27/2023</t>
  </si>
  <si>
    <t>11/6/2026</t>
  </si>
  <si>
    <t>US CA EQ</t>
  </si>
  <si>
    <t xml:space="preserve">Commonwealth Re 2023-1 A </t>
  </si>
  <si>
    <t>6/21/2023</t>
  </si>
  <si>
    <t>7/8/2026</t>
  </si>
  <si>
    <t>NE US WD</t>
  </si>
  <si>
    <t xml:space="preserve">Wrigley Re 2023-1 A </t>
  </si>
  <si>
    <t>7/19/2023</t>
  </si>
  <si>
    <t>8/7/2026</t>
  </si>
  <si>
    <t xml:space="preserve">Charles River Re 2024-1 A </t>
  </si>
  <si>
    <t>4/11/2024</t>
  </si>
  <si>
    <t>5/10/2027</t>
  </si>
  <si>
    <t>US WD (MA,NJ,NY,SC)</t>
  </si>
  <si>
    <t xml:space="preserve">Torrey Pines Re 2023-1 A </t>
  </si>
  <si>
    <t>5/25/2023</t>
  </si>
  <si>
    <t>6/5/2026</t>
  </si>
  <si>
    <t>Lightning Re 2023-1 A</t>
  </si>
  <si>
    <t>3/24/2023</t>
  </si>
  <si>
    <t>3/31/2026</t>
  </si>
  <si>
    <t>FL HU</t>
  </si>
  <si>
    <t xml:space="preserve">Alamo Re 2023-1 A </t>
  </si>
  <si>
    <t>4/19/2023</t>
  </si>
  <si>
    <t>6/7/2026</t>
  </si>
  <si>
    <t>US HU (TX Storms) &amp; TH</t>
  </si>
  <si>
    <t xml:space="preserve">Bayou Re 2023-1 A </t>
  </si>
  <si>
    <t>5/18/2023</t>
  </si>
  <si>
    <t>5/26/2026</t>
  </si>
  <si>
    <t>LA HU</t>
  </si>
  <si>
    <t>Palm Re 2024-1 A</t>
  </si>
  <si>
    <t>Titania Re 2023-1 A</t>
  </si>
  <si>
    <t>2/23/2023</t>
  </si>
  <si>
    <t>2/27/2026</t>
  </si>
  <si>
    <t>US CAD &amp; PR WD &amp; QK</t>
  </si>
  <si>
    <t>Logistics Re 2024-1 A</t>
  </si>
  <si>
    <t>10/28/2024</t>
  </si>
  <si>
    <t>12/21/2027</t>
  </si>
  <si>
    <t>Four Lakes Re 2023-1 B</t>
  </si>
  <si>
    <t>12/14/2023</t>
  </si>
  <si>
    <t>1/7/2027</t>
  </si>
  <si>
    <t>US WD/QK/TH/WS/WF</t>
  </si>
  <si>
    <t xml:space="preserve">Floodsmart Re 2024-1 A </t>
  </si>
  <si>
    <t>3/7/2024</t>
  </si>
  <si>
    <t>3/12/2027</t>
  </si>
  <si>
    <t xml:space="preserve">US FLOOD </t>
  </si>
  <si>
    <t>Four Lakes Re 2024-1 B </t>
  </si>
  <si>
    <t>12/18/2024</t>
  </si>
  <si>
    <t>1/7/2028</t>
  </si>
  <si>
    <t xml:space="preserve">Mountain Re 2023-1 A </t>
  </si>
  <si>
    <t>5/31/2023</t>
  </si>
  <si>
    <t xml:space="preserve">US WD / US QK </t>
  </si>
  <si>
    <t>Tullet</t>
  </si>
  <si>
    <t>Veraison Re 2023-1 A</t>
  </si>
  <si>
    <t>12/20/2022</t>
  </si>
  <si>
    <t>3/9/2026</t>
  </si>
  <si>
    <t>Torrey Pines Re 2023-1 B</t>
  </si>
  <si>
    <t>Citrus Re 2023-1 B</t>
  </si>
  <si>
    <t>5/11/2023</t>
  </si>
  <si>
    <t>Purple Re 2023-2  A</t>
  </si>
  <si>
    <t>7/5/2023</t>
  </si>
  <si>
    <t>Matterhorn Re 2025-3 A</t>
  </si>
  <si>
    <t>US/CAN EQ</t>
  </si>
  <si>
    <t xml:space="preserve">Nakama Re 2023-1 2 </t>
  </si>
  <si>
    <t>4/24/2023</t>
  </si>
  <si>
    <t>5/9/2028</t>
  </si>
  <si>
    <t>Black Kite Re 2025-1 A</t>
  </si>
  <si>
    <t>4/29/2025</t>
  </si>
  <si>
    <t>5/8/2028</t>
  </si>
  <si>
    <t>JP WS/EQ, CH EQ, IN EQ</t>
  </si>
  <si>
    <t>Alamo 2024-1 C</t>
  </si>
  <si>
    <t>Sanders 2024-1 A</t>
  </si>
  <si>
    <t>1/23/2024</t>
  </si>
  <si>
    <t>Winston 2024-1 A</t>
  </si>
  <si>
    <t>2/21/2024</t>
  </si>
  <si>
    <t>2/26/2027</t>
  </si>
  <si>
    <t>US (FL) WD</t>
  </si>
  <si>
    <t xml:space="preserve">Winston Re 2024-1 B </t>
  </si>
  <si>
    <t>Everglades 2024-1 A</t>
  </si>
  <si>
    <t>5/22/2024</t>
  </si>
  <si>
    <t>5/13/2027</t>
  </si>
  <si>
    <t>Residential Re 2025-2 2</t>
  </si>
  <si>
    <t>USAA</t>
  </si>
  <si>
    <t>US All Natural Perils (incl Auto)</t>
  </si>
  <si>
    <t>Herbie Re 2025-1 A</t>
  </si>
  <si>
    <t>5/30/2025</t>
  </si>
  <si>
    <t>Global-Multiperil</t>
  </si>
  <si>
    <t>Veraison 2025-1 B</t>
  </si>
  <si>
    <t xml:space="preserve">Wrigley Re 2023-1 B </t>
  </si>
  <si>
    <t xml:space="preserve">Sutter Re 2023-1 B </t>
  </si>
  <si>
    <t>6/13/2023</t>
  </si>
  <si>
    <t>6/19/2026</t>
  </si>
  <si>
    <t>Blue Bonnet 2025-1 A</t>
  </si>
  <si>
    <t>5/14/2025</t>
  </si>
  <si>
    <t>6/7/2028</t>
  </si>
  <si>
    <t>Torrey Pines Re 2025-1 B</t>
  </si>
  <si>
    <t>4/30/2025</t>
  </si>
  <si>
    <t>Bonanza 2024-1 C</t>
  </si>
  <si>
    <t>12/19/2024</t>
  </si>
  <si>
    <t>12/19/2027</t>
  </si>
  <si>
    <t>US WD,QK,TH,WS,&amp; WF</t>
  </si>
  <si>
    <t xml:space="preserve">Armor Re 2024-2 A </t>
  </si>
  <si>
    <t>12/20/2024</t>
  </si>
  <si>
    <t>CaseID</t>
  </si>
  <si>
    <t>OPt9</t>
  </si>
  <si>
    <t>ci9</t>
  </si>
  <si>
    <t>OPt10</t>
  </si>
  <si>
    <t>ci10</t>
  </si>
  <si>
    <t>Vendor</t>
  </si>
  <si>
    <t>NotionalAUM</t>
  </si>
  <si>
    <t>DeployedAUM</t>
  </si>
  <si>
    <t>ReportDate</t>
  </si>
  <si>
    <t>Management Fee</t>
  </si>
  <si>
    <t>Carry</t>
  </si>
  <si>
    <t>Hurdle (Hard)</t>
  </si>
  <si>
    <t>Fronting Fee</t>
  </si>
  <si>
    <t>Acquisition Expense</t>
  </si>
  <si>
    <t>FET</t>
  </si>
  <si>
    <t>Investment Inc</t>
  </si>
  <si>
    <t>Op/Org Expenses</t>
  </si>
  <si>
    <t>HurdleType</t>
  </si>
  <si>
    <t>Risk Free Rate</t>
  </si>
  <si>
    <t>QS Attritional LR US Wind</t>
  </si>
  <si>
    <t>QS Attritional LR Worldwide</t>
  </si>
  <si>
    <t>Pro Forma Rate Change</t>
  </si>
  <si>
    <t>Hard</t>
  </si>
  <si>
    <t>EventID</t>
  </si>
  <si>
    <t>Event Name</t>
  </si>
  <si>
    <t>ILSName (has to be exactly same as ILS Name in Bound details)</t>
  </si>
  <si>
    <t>Additional Adjustment</t>
  </si>
  <si>
    <t>2012 Sandy (Cat 1)</t>
  </si>
  <si>
    <t>ConstraintType</t>
  </si>
  <si>
    <t>ConstraintName</t>
  </si>
  <si>
    <t>SingleLimit</t>
  </si>
  <si>
    <t>MaxLimit</t>
  </si>
  <si>
    <t>LossType</t>
  </si>
  <si>
    <t>ReturnPeriod</t>
  </si>
  <si>
    <t>FUND 1</t>
  </si>
  <si>
    <t>Single Limit</t>
  </si>
  <si>
    <t>Min</t>
  </si>
  <si>
    <t>Max</t>
  </si>
  <si>
    <t>FUND 2</t>
  </si>
  <si>
    <t>Cedant</t>
  </si>
  <si>
    <t xml:space="preserve">Single Cedent (including business fronted by Allianz Risk Transfer) </t>
  </si>
  <si>
    <t>Allianz as cedent</t>
  </si>
  <si>
    <t>ILW Short</t>
  </si>
  <si>
    <t>Side Car</t>
  </si>
  <si>
    <t>ILW Long</t>
  </si>
  <si>
    <t>Retro QS</t>
  </si>
  <si>
    <t>Retro XOL</t>
  </si>
  <si>
    <t>Reinsurance</t>
  </si>
  <si>
    <t>Allianz</t>
  </si>
  <si>
    <t>Catastrophe Bond, ILW, and Retro issuances per cedent</t>
  </si>
  <si>
    <t>% of AUM</t>
  </si>
  <si>
    <t>Catastrophe Bond, ILW, and Retro XOL issuances per cedent</t>
  </si>
  <si>
    <t>Single</t>
  </si>
  <si>
    <t>Issuer/Sponsor Contraint</t>
  </si>
  <si>
    <t>PerilRegion</t>
  </si>
  <si>
    <t>US Hurricanes</t>
  </si>
  <si>
    <t>OEP</t>
  </si>
  <si>
    <t>Florida Hurricane</t>
  </si>
  <si>
    <t>Gulf of Mexico WS</t>
  </si>
  <si>
    <t>Japan Typhoon</t>
  </si>
  <si>
    <t>Europe Tropical Cyclone</t>
  </si>
  <si>
    <t>Texas Hurricane</t>
  </si>
  <si>
    <t>Max occ prob</t>
  </si>
  <si>
    <t>Max Agg prob</t>
  </si>
  <si>
    <t>California Earthquake</t>
  </si>
  <si>
    <t>100 yr PML</t>
  </si>
  <si>
    <t>500 yr PML</t>
  </si>
  <si>
    <t>Region Peril</t>
  </si>
  <si>
    <t>Japan Earthquake</t>
  </si>
  <si>
    <t>All other WS</t>
  </si>
  <si>
    <t>all other EQ</t>
  </si>
  <si>
    <t>WildFire</t>
  </si>
  <si>
    <t>InlandFlood</t>
  </si>
  <si>
    <t>SevereStorm</t>
  </si>
  <si>
    <t>Terrorism</t>
  </si>
  <si>
    <t>AEP</t>
  </si>
  <si>
    <t>Northeast Hurricane</t>
  </si>
  <si>
    <t>Southeast Hurricane</t>
  </si>
  <si>
    <t>Louisiana Hurricane</t>
  </si>
  <si>
    <t>Mexico Hurricane</t>
  </si>
  <si>
    <t>US Earthquake xl CA</t>
  </si>
  <si>
    <t>Mexico Earthquake</t>
  </si>
  <si>
    <t>South America Earthquake</t>
  </si>
  <si>
    <t>Europe Earthquake</t>
  </si>
  <si>
    <t>US Winter Storm</t>
  </si>
  <si>
    <t>US WildFire</t>
  </si>
  <si>
    <t>US Severe Storm</t>
  </si>
  <si>
    <t>US Inland Flood</t>
  </si>
  <si>
    <t>WWAP</t>
  </si>
  <si>
    <t>ReinsuranceType</t>
  </si>
  <si>
    <t>Bound Portfolio Report</t>
  </si>
  <si>
    <t>Column Name in SQL</t>
  </si>
  <si>
    <t>VBA Data Type</t>
  </si>
  <si>
    <t>Length</t>
  </si>
  <si>
    <t>Column Name In Excel</t>
  </si>
  <si>
    <t>Column Number in Excel</t>
  </si>
  <si>
    <t>String</t>
  </si>
  <si>
    <t>Name of the deal in which we have invested</t>
  </si>
  <si>
    <t>Variant</t>
  </si>
  <si>
    <t>LossBasis</t>
  </si>
  <si>
    <t>Whether loss attched is Loss Occuring During (LOD) or Risk Attaching (RA)</t>
  </si>
  <si>
    <t>The sponsor who issues the insurance linked securities</t>
  </si>
  <si>
    <t xml:space="preserve">Whether we have hedged a deal or not. </t>
  </si>
  <si>
    <t>The deal number once the deal is in capital markets</t>
  </si>
  <si>
    <t>The date on which the deal is bound</t>
  </si>
  <si>
    <t>The date on which the deal expires</t>
  </si>
  <si>
    <t>Type of insurance linked securities</t>
  </si>
  <si>
    <t>Double</t>
  </si>
  <si>
    <t>The maximum amount a particular layer is responsible for a particular occurrence if that event is covered</t>
  </si>
  <si>
    <t>The maximum amount a particular layer is responsible for events occurred in entire year if those event are covered</t>
  </si>
  <si>
    <t>Is the event Fronted or not.</t>
  </si>
  <si>
    <t>Price of the bond</t>
  </si>
  <si>
    <t>Percentage of the layer covered by pimco</t>
  </si>
  <si>
    <t>BondCoupon</t>
  </si>
  <si>
    <t>BondTransactionType</t>
  </si>
  <si>
    <t>BondBuyDate</t>
  </si>
  <si>
    <t>BondSellPrice</t>
  </si>
  <si>
    <t>BondSellDate</t>
  </si>
  <si>
    <t>The number of times the investor in that particular layer will cover after the exhaustion of that layer.</t>
  </si>
  <si>
    <t>BondRedemptionPrice</t>
  </si>
  <si>
    <t>Reinstatements</t>
  </si>
  <si>
    <t>Long</t>
  </si>
  <si>
    <t>ContractWordingForwardedtoAONART</t>
  </si>
  <si>
    <t>ConfirmationNoticeDate</t>
  </si>
  <si>
    <t>QuantityPledged</t>
  </si>
  <si>
    <t>RealizedGain</t>
  </si>
  <si>
    <t>For Fund 1, it will be 1 and for fund 2 it will be 2</t>
  </si>
  <si>
    <t>ReportID</t>
  </si>
  <si>
    <t>Max ID of field ID in SQL. This ID will be common for all tables and reference for us to know what data was imported for a particular ID</t>
  </si>
  <si>
    <t>Profit and Loss</t>
  </si>
  <si>
    <t>MgmtFees</t>
  </si>
  <si>
    <t>Management fees</t>
  </si>
  <si>
    <t>Type of hurdle rate</t>
  </si>
  <si>
    <t>Hurdle</t>
  </si>
  <si>
    <t>Rate of hurdle</t>
  </si>
  <si>
    <t>FrontingFee</t>
  </si>
  <si>
    <t>AcquisitionExpense</t>
  </si>
  <si>
    <t>OpsExpenses</t>
  </si>
  <si>
    <t>Operational Expense</t>
  </si>
  <si>
    <t>InvestmentIncome</t>
  </si>
  <si>
    <t>Investment income</t>
  </si>
  <si>
    <t>RiskFreeRate</t>
  </si>
  <si>
    <t>QSAttritionalLRUSWind</t>
  </si>
  <si>
    <t>QSAttritionalLRWorldwide</t>
  </si>
  <si>
    <t>ProFormaRateChange</t>
  </si>
  <si>
    <t>BoundPortfolioID</t>
  </si>
  <si>
    <t>Historical Events Adjustment</t>
  </si>
  <si>
    <t>EventName</t>
  </si>
  <si>
    <t>Name of the event</t>
  </si>
  <si>
    <t>AdditionalAdjustment</t>
  </si>
  <si>
    <t>Guidelines</t>
  </si>
  <si>
    <t>BoundPortfolio</t>
  </si>
  <si>
    <t>Date</t>
  </si>
  <si>
    <t>ReportType</t>
  </si>
  <si>
    <t>Reference Data</t>
  </si>
  <si>
    <t>References</t>
  </si>
  <si>
    <t>Sheet name</t>
  </si>
  <si>
    <t>VBA reference</t>
  </si>
  <si>
    <t>ColumnName</t>
  </si>
  <si>
    <t>BoundPortfolioDetails</t>
  </si>
  <si>
    <t>DataType</t>
  </si>
  <si>
    <t>DataLength</t>
  </si>
  <si>
    <t>ResultSheetName</t>
  </si>
  <si>
    <t>Input</t>
  </si>
  <si>
    <t>ColumnSheetName</t>
  </si>
  <si>
    <t>Server</t>
  </si>
  <si>
    <t>SINDHU-LAPTOP</t>
  </si>
  <si>
    <t>Database</t>
  </si>
  <si>
    <t>ARAPL_Configuration_v13</t>
  </si>
  <si>
    <t>UID</t>
  </si>
  <si>
    <t>Password</t>
  </si>
  <si>
    <t>Row Number of first Table to be Uploaded</t>
  </si>
  <si>
    <t>Setup</t>
  </si>
  <si>
    <t>Number of tables to be Uploaded</t>
  </si>
  <si>
    <t>Tables to be Uploaded in  DB</t>
  </si>
  <si>
    <t>Worksheet name in Excel</t>
  </si>
  <si>
    <t>Location of Table Name in Input</t>
  </si>
  <si>
    <t>InputRowStart</t>
  </si>
  <si>
    <t>BoundPortfolioDetailsRowStart</t>
  </si>
  <si>
    <t>OPt1</t>
  </si>
  <si>
    <t>ci1</t>
  </si>
  <si>
    <t>OPt2</t>
  </si>
  <si>
    <t>ci2</t>
  </si>
  <si>
    <t>OPt3</t>
  </si>
  <si>
    <t>ci3</t>
  </si>
  <si>
    <t>OPt4</t>
  </si>
  <si>
    <t>ci4</t>
  </si>
  <si>
    <t>OPt5</t>
  </si>
  <si>
    <t>ci5</t>
  </si>
  <si>
    <t>OPt6</t>
  </si>
  <si>
    <t>ci6</t>
  </si>
  <si>
    <t>OPt7</t>
  </si>
  <si>
    <t>ci7</t>
  </si>
  <si>
    <t>OPt8</t>
  </si>
  <si>
    <t>ci8</t>
  </si>
  <si>
    <t/>
  </si>
  <si>
    <t>BatchTest1</t>
  </si>
  <si>
    <t>OPt11</t>
  </si>
  <si>
    <t>ci11</t>
  </si>
  <si>
    <t>OPt12</t>
  </si>
  <si>
    <t>ci12</t>
  </si>
  <si>
    <t>OPt13</t>
  </si>
  <si>
    <t>ci13</t>
  </si>
  <si>
    <t>Florid Guideline Breached</t>
  </si>
  <si>
    <t>All good</t>
  </si>
  <si>
    <t>SURE</t>
  </si>
  <si>
    <t>Per Occurrence</t>
  </si>
  <si>
    <t>Hannover Rück SE</t>
  </si>
  <si>
    <t>Industry Loss</t>
  </si>
  <si>
    <t>OPt14</t>
  </si>
  <si>
    <t>ci14</t>
  </si>
  <si>
    <t>OPt15</t>
  </si>
  <si>
    <t>ci15</t>
  </si>
  <si>
    <t>OPt16</t>
  </si>
  <si>
    <t>ci16</t>
  </si>
  <si>
    <t>OPt17</t>
  </si>
  <si>
    <t>ci17</t>
  </si>
  <si>
    <t>OPt18</t>
  </si>
  <si>
    <t>ci18</t>
  </si>
  <si>
    <t>OPt19</t>
  </si>
  <si>
    <t>ci19</t>
  </si>
  <si>
    <t>Lousiana , NorthEast and Gul of MX Hurricane Breached</t>
  </si>
  <si>
    <t>All hurricane and US SCS, WF,WT guidelines breached</t>
  </si>
  <si>
    <t>Auros</t>
  </si>
  <si>
    <t>Allstate</t>
  </si>
  <si>
    <t>Annual Aggregate</t>
  </si>
  <si>
    <t>Anchor Re</t>
  </si>
  <si>
    <t>OPt20</t>
  </si>
  <si>
    <t>ci20</t>
  </si>
  <si>
    <t>OPt21</t>
  </si>
  <si>
    <t>ci21</t>
  </si>
  <si>
    <t>Texas FAIR Plan</t>
  </si>
  <si>
    <t>OPt22</t>
  </si>
  <si>
    <t>ci22</t>
  </si>
  <si>
    <t>OPt23</t>
  </si>
  <si>
    <t>ci23</t>
  </si>
  <si>
    <t>OPt24</t>
  </si>
  <si>
    <t>ci24</t>
  </si>
  <si>
    <t>OPt25</t>
  </si>
  <si>
    <t>ci25</t>
  </si>
  <si>
    <t>OPt26</t>
  </si>
  <si>
    <t>ci26</t>
  </si>
  <si>
    <t>OPt27</t>
  </si>
  <si>
    <t>ci27</t>
  </si>
  <si>
    <t>CA EQ Breached</t>
  </si>
  <si>
    <t>Blackstone Real Estate Funds</t>
  </si>
  <si>
    <t>2022-2</t>
  </si>
  <si>
    <t>Class G</t>
  </si>
  <si>
    <t>Class E</t>
  </si>
  <si>
    <t>Class D</t>
  </si>
  <si>
    <t>Class F</t>
  </si>
  <si>
    <t>Insert into BoundPortfolioDetails ([OptimizationLayerID],[CipherID],[ILSName],[Series],[Class],[Reset],[Renewal],[LossBasis],[Issuer],[Hedges],[CUSIP],[BoundDate],[ExpirationDate],[Fronting],[SecurityInstrument],[OccurenceLimit],[AggregateLimit],[Quantity],[Fronted],[BondPrice],[BondCoupon],[BondTransactionType],[BondBuyDate],[BondSellPrice],[BondSellDate],[CompanyShare],[BondInitialSpread],[BondRedemptionPrice],[ROL],[InitialFees],[ExceptionApproval],[AvgRateChangeProjection],[Comments],[Reinstatements],[ContractWordingReceivedDate],[ContractWordingForwardedtoAONART],[AuthorizationDate],[ConfirmationNoticeDate],[ContractExecutedDate],[TreatyType],[CoverageType],[QuantityPledged],[RealizedGain],[NRE_ID],[CurrExchangeFactor],[PortfolioID],[ReportID], [CurrencyCode]) VALUES ('OPt15','ci15','CB-Sutter Re Ltd. Series 2023-1 Class E Reset 2025','2023-1','Class E','2025','','LOD','CEA','','86944RAF5','6/14/2023','6/13/2026','','Cat Bond',0,500000000,250000,'',102.85,0.1359,'Buy','7/20/2026',0,'',0.00125,0.0512,0,0.0859,0,'0',0,'0',0,'4/2/2025','4/2/2025',4/2/2025,4/2/2025,4/2/2025,'Indemnity','Annual Aggregate',0,0,'0',1,106,216,'USD')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</si>
</sst>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_(* #,##0.0000000_);_(* \(#,##0.0000000\);_(* &quot;-&quot;??_);_(@_)"/>
    <numFmt numFmtId="167" formatCode="0.00000"/>
    <numFmt numFmtId="168" formatCode="d/m/yy;@"/>
    <numFmt numFmtId="169" formatCode="0.000%"/>
    <numFmt numFmtId="170" formatCode="0.0000"/>
    <numFmt numFmtId="171" formatCode="_(* #,##0.00000_);_(* \(#,##0.000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9.5"/>
      <color indexed="9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4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" fillId="0" borderId="0"/>
    <xf numFmtId="9" fontId="1" fillId="0" borderId="0"/>
    <xf numFmtId="0" fontId="4" fillId="0" borderId="0"/>
    <xf numFmtId="0" fontId="5" fillId="0" borderId="0"/>
    <xf numFmtId="44" fontId="1" fillId="0" borderId="0"/>
    <xf numFmtId="43" fontId="1" fillId="0" borderId="0"/>
    <xf numFmtId="0" fontId="4" fillId="0" borderId="0"/>
    <xf numFmtId="0" fontId="1" fillId="0" borderId="0"/>
    <xf numFmtId="0" fontId="4" fillId="0" borderId="0"/>
    <xf numFmtId="43" fontId="1" fillId="0" borderId="0"/>
    <xf numFmtId="9" fontId="1" fillId="0" borderId="0"/>
  </cellStyleXfs>
  <cellXfs count="218">
    <xf numFmtId="0" fontId="0" fillId="0" borderId="0" xfId="0"/>
    <xf numFmtId="0" fontId="2" fillId="0" borderId="0" xfId="0" applyFont="1"/>
    <xf numFmtId="0" fontId="6" fillId="0" borderId="0" xfId="0" applyFont="1"/>
    <xf numFmtId="0" fontId="2" fillId="2" borderId="0" xfId="0" applyFont="1" applyFill="1"/>
    <xf numFmtId="0" fontId="0" fillId="0" borderId="0" xfId="0" applyAlignment="1">
      <alignment vertical="center"/>
    </xf>
    <xf numFmtId="0" fontId="0" fillId="0" borderId="2" xfId="0" applyBorder="1"/>
    <xf numFmtId="0" fontId="0" fillId="0" borderId="7" xfId="0" applyBorder="1"/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6" fillId="0" borderId="2" xfId="0" applyFont="1" applyBorder="1"/>
    <xf numFmtId="0" fontId="0" fillId="0" borderId="1" xfId="0" applyBorder="1"/>
    <xf numFmtId="0" fontId="0" fillId="0" borderId="8" xfId="0" applyBorder="1"/>
    <xf numFmtId="0" fontId="0" fillId="0" borderId="4" xfId="0" applyBorder="1"/>
    <xf numFmtId="0" fontId="0" fillId="0" borderId="1" xfId="0" applyBorder="1" applyAlignment="1">
      <alignment horizontal="left"/>
    </xf>
    <xf numFmtId="164" fontId="1" fillId="0" borderId="2" xfId="2" applyNumberFormat="1" applyBorder="1"/>
    <xf numFmtId="14" fontId="0" fillId="0" borderId="8" xfId="0" applyNumberFormat="1" applyBorder="1"/>
    <xf numFmtId="1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3" xfId="0" applyBorder="1"/>
    <xf numFmtId="1" fontId="0" fillId="0" borderId="0" xfId="0" applyNumberFormat="1"/>
    <xf numFmtId="0" fontId="0" fillId="0" borderId="0" xfId="0" applyAlignment="1">
      <alignment horizontal="left"/>
    </xf>
    <xf numFmtId="9" fontId="6" fillId="0" borderId="8" xfId="0" applyNumberFormat="1" applyFont="1" applyBorder="1"/>
    <xf numFmtId="9" fontId="0" fillId="0" borderId="8" xfId="0" applyNumberFormat="1" applyBorder="1"/>
    <xf numFmtId="164" fontId="6" fillId="0" borderId="8" xfId="2" applyNumberFormat="1" applyFont="1" applyBorder="1"/>
    <xf numFmtId="10" fontId="6" fillId="0" borderId="8" xfId="0" applyNumberFormat="1" applyFont="1" applyBorder="1"/>
    <xf numFmtId="0" fontId="7" fillId="0" borderId="10" xfId="0" applyFont="1" applyBorder="1"/>
    <xf numFmtId="0" fontId="7" fillId="0" borderId="9" xfId="0" applyFont="1" applyBorder="1"/>
    <xf numFmtId="0" fontId="7" fillId="0" borderId="11" xfId="0" applyFont="1" applyBorder="1"/>
    <xf numFmtId="0" fontId="3" fillId="0" borderId="0" xfId="0" applyFont="1" applyAlignment="1">
      <alignment horizontal="left"/>
    </xf>
    <xf numFmtId="0" fontId="0" fillId="2" borderId="0" xfId="0" applyFill="1"/>
    <xf numFmtId="10" fontId="8" fillId="0" borderId="9" xfId="2" applyNumberFormat="1" applyFont="1" applyBorder="1" applyAlignment="1">
      <alignment horizontal="left"/>
    </xf>
    <xf numFmtId="0" fontId="2" fillId="0" borderId="6" xfId="0" applyFont="1" applyBorder="1"/>
    <xf numFmtId="43" fontId="0" fillId="0" borderId="0" xfId="0" applyNumberFormat="1"/>
    <xf numFmtId="0" fontId="0" fillId="3" borderId="0" xfId="0" applyFill="1"/>
    <xf numFmtId="43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14" xfId="0" applyFont="1" applyFill="1" applyBorder="1"/>
    <xf numFmtId="0" fontId="2" fillId="0" borderId="5" xfId="0" applyFont="1" applyBorder="1"/>
    <xf numFmtId="164" fontId="2" fillId="0" borderId="0" xfId="2" applyNumberFormat="1" applyFont="1"/>
    <xf numFmtId="0" fontId="2" fillId="0" borderId="3" xfId="0" applyFont="1" applyBorder="1"/>
    <xf numFmtId="164" fontId="2" fillId="0" borderId="6" xfId="2" applyNumberFormat="1" applyFont="1" applyBorder="1"/>
    <xf numFmtId="164" fontId="2" fillId="0" borderId="3" xfId="2" applyNumberFormat="1" applyFont="1" applyBorder="1"/>
    <xf numFmtId="9" fontId="0" fillId="0" borderId="0" xfId="0" applyNumberFormat="1"/>
    <xf numFmtId="164" fontId="0" fillId="0" borderId="0" xfId="2" applyNumberFormat="1" applyFont="1"/>
    <xf numFmtId="9" fontId="0" fillId="0" borderId="1" xfId="2" applyFont="1" applyBorder="1"/>
    <xf numFmtId="164" fontId="0" fillId="0" borderId="1" xfId="2" applyNumberFormat="1" applyFont="1" applyBorder="1"/>
    <xf numFmtId="164" fontId="0" fillId="0" borderId="0" xfId="0" applyNumberFormat="1"/>
    <xf numFmtId="9" fontId="0" fillId="0" borderId="1" xfId="0" applyNumberFormat="1" applyBorder="1"/>
    <xf numFmtId="10" fontId="0" fillId="0" borderId="1" xfId="0" applyNumberFormat="1" applyBorder="1"/>
    <xf numFmtId="164" fontId="0" fillId="0" borderId="8" xfId="2" applyNumberFormat="1" applyFont="1" applyBorder="1"/>
    <xf numFmtId="164" fontId="0" fillId="0" borderId="4" xfId="2" applyNumberFormat="1" applyFont="1" applyBorder="1"/>
    <xf numFmtId="9" fontId="0" fillId="0" borderId="3" xfId="0" applyNumberFormat="1" applyBorder="1"/>
    <xf numFmtId="164" fontId="0" fillId="0" borderId="3" xfId="2" applyNumberFormat="1" applyFont="1" applyBorder="1"/>
    <xf numFmtId="9" fontId="0" fillId="0" borderId="4" xfId="0" applyNumberFormat="1" applyBorder="1"/>
    <xf numFmtId="9" fontId="0" fillId="0" borderId="4" xfId="2" applyFont="1" applyBorder="1"/>
    <xf numFmtId="164" fontId="2" fillId="0" borderId="1" xfId="2" applyNumberFormat="1" applyFont="1" applyBorder="1"/>
    <xf numFmtId="0" fontId="2" fillId="0" borderId="2" xfId="0" applyFont="1" applyBorder="1"/>
    <xf numFmtId="0" fontId="0" fillId="0" borderId="15" xfId="0" applyBorder="1"/>
    <xf numFmtId="9" fontId="0" fillId="0" borderId="16" xfId="2" applyFont="1" applyBorder="1"/>
    <xf numFmtId="9" fontId="0" fillId="0" borderId="17" xfId="2" applyFont="1" applyBorder="1"/>
    <xf numFmtId="9" fontId="0" fillId="0" borderId="0" xfId="2" applyFont="1"/>
    <xf numFmtId="0" fontId="0" fillId="0" borderId="18" xfId="0" applyBorder="1"/>
    <xf numFmtId="9" fontId="0" fillId="0" borderId="19" xfId="2" applyFont="1" applyBorder="1"/>
    <xf numFmtId="9" fontId="0" fillId="0" borderId="20" xfId="2" applyFont="1" applyBorder="1"/>
    <xf numFmtId="9" fontId="0" fillId="0" borderId="21" xfId="2" applyFont="1" applyBorder="1"/>
    <xf numFmtId="9" fontId="0" fillId="0" borderId="22" xfId="2" applyFont="1" applyBorder="1"/>
    <xf numFmtId="165" fontId="0" fillId="0" borderId="0" xfId="1" applyNumberFormat="1" applyFont="1"/>
    <xf numFmtId="165" fontId="0" fillId="0" borderId="20" xfId="1" applyNumberFormat="1" applyFont="1" applyBorder="1" applyAlignment="1">
      <alignment horizontal="left"/>
    </xf>
    <xf numFmtId="0" fontId="0" fillId="0" borderId="12" xfId="0" applyBorder="1"/>
    <xf numFmtId="0" fontId="0" fillId="2" borderId="1" xfId="0" applyFill="1" applyBorder="1"/>
    <xf numFmtId="0" fontId="0" fillId="0" borderId="0" xfId="0" applyAlignment="1">
      <alignment horizontal="center"/>
    </xf>
    <xf numFmtId="10" fontId="6" fillId="2" borderId="8" xfId="0" applyNumberFormat="1" applyFont="1" applyFill="1" applyBorder="1"/>
    <xf numFmtId="14" fontId="9" fillId="0" borderId="0" xfId="0" applyNumberFormat="1" applyFont="1"/>
    <xf numFmtId="10" fontId="6" fillId="0" borderId="8" xfId="2" applyNumberFormat="1" applyFont="1" applyBorder="1"/>
    <xf numFmtId="10" fontId="0" fillId="0" borderId="7" xfId="2" applyNumberFormat="1" applyFont="1" applyBorder="1"/>
    <xf numFmtId="10" fontId="6" fillId="0" borderId="4" xfId="0" applyNumberFormat="1" applyFont="1" applyBorder="1"/>
    <xf numFmtId="0" fontId="3" fillId="0" borderId="0" xfId="0" applyFont="1"/>
    <xf numFmtId="0" fontId="3" fillId="0" borderId="0" xfId="1" applyNumberFormat="1" applyFont="1"/>
    <xf numFmtId="10" fontId="3" fillId="0" borderId="0" xfId="2" applyNumberFormat="1" applyFont="1"/>
    <xf numFmtId="10" fontId="0" fillId="0" borderId="0" xfId="2" applyNumberFormat="1" applyFont="1"/>
    <xf numFmtId="165" fontId="2" fillId="0" borderId="0" xfId="0" applyNumberFormat="1" applyFont="1"/>
    <xf numFmtId="166" fontId="0" fillId="0" borderId="0" xfId="1" applyNumberFormat="1" applyFont="1"/>
    <xf numFmtId="167" fontId="3" fillId="0" borderId="0" xfId="1" applyNumberFormat="1" applyFont="1"/>
    <xf numFmtId="3" fontId="9" fillId="0" borderId="0" xfId="1" applyNumberFormat="1" applyFont="1"/>
    <xf numFmtId="167" fontId="0" fillId="0" borderId="0" xfId="0" applyNumberFormat="1"/>
    <xf numFmtId="0" fontId="8" fillId="4" borderId="9" xfId="0" applyFont="1" applyFill="1" applyBorder="1" applyAlignment="1">
      <alignment horizontal="left"/>
    </xf>
    <xf numFmtId="43" fontId="8" fillId="4" borderId="9" xfId="1" applyFont="1" applyFill="1" applyBorder="1"/>
    <xf numFmtId="0" fontId="8" fillId="4" borderId="10" xfId="0" applyFont="1" applyFill="1" applyBorder="1" applyAlignment="1">
      <alignment horizontal="left"/>
    </xf>
    <xf numFmtId="0" fontId="8" fillId="5" borderId="9" xfId="0" applyFont="1" applyFill="1" applyBorder="1" applyAlignment="1">
      <alignment horizontal="left"/>
    </xf>
    <xf numFmtId="14" fontId="8" fillId="5" borderId="9" xfId="1" applyNumberFormat="1" applyFont="1" applyFill="1" applyBorder="1"/>
    <xf numFmtId="0" fontId="8" fillId="5" borderId="9" xfId="1" applyNumberFormat="1" applyFont="1" applyFill="1" applyBorder="1" applyAlignment="1">
      <alignment horizontal="left"/>
    </xf>
    <xf numFmtId="43" fontId="8" fillId="5" borderId="9" xfId="1" applyFont="1" applyFill="1" applyBorder="1"/>
    <xf numFmtId="10" fontId="8" fillId="5" borderId="9" xfId="2" applyNumberFormat="1" applyFont="1" applyFill="1" applyBorder="1"/>
    <xf numFmtId="166" fontId="8" fillId="5" borderId="9" xfId="1" applyNumberFormat="1" applyFont="1" applyFill="1" applyBorder="1" applyAlignment="1">
      <alignment horizontal="left"/>
    </xf>
    <xf numFmtId="167" fontId="8" fillId="5" borderId="9" xfId="0" applyNumberFormat="1" applyFon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  <xf numFmtId="0" fontId="8" fillId="5" borderId="1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24" xfId="0" applyFont="1" applyFill="1" applyBorder="1"/>
    <xf numFmtId="0" fontId="2" fillId="4" borderId="25" xfId="0" applyFont="1" applyFill="1" applyBorder="1"/>
    <xf numFmtId="0" fontId="2" fillId="0" borderId="26" xfId="0" applyFont="1" applyBorder="1"/>
    <xf numFmtId="165" fontId="0" fillId="0" borderId="19" xfId="1" applyNumberFormat="1" applyFont="1" applyBorder="1"/>
    <xf numFmtId="165" fontId="0" fillId="0" borderId="20" xfId="1" applyNumberFormat="1" applyFont="1" applyBorder="1"/>
    <xf numFmtId="165" fontId="0" fillId="0" borderId="27" xfId="1" applyNumberFormat="1" applyFont="1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165" fontId="0" fillId="0" borderId="28" xfId="1" applyNumberFormat="1" applyFont="1" applyBorder="1"/>
    <xf numFmtId="165" fontId="0" fillId="0" borderId="4" xfId="1" applyNumberFormat="1" applyFont="1" applyBorder="1"/>
    <xf numFmtId="0" fontId="2" fillId="4" borderId="29" xfId="0" applyFont="1" applyFill="1" applyBorder="1"/>
    <xf numFmtId="0" fontId="2" fillId="4" borderId="30" xfId="0" applyFont="1" applyFill="1" applyBorder="1"/>
    <xf numFmtId="14" fontId="2" fillId="4" borderId="30" xfId="0" applyNumberFormat="1" applyFont="1" applyFill="1" applyBorder="1"/>
    <xf numFmtId="14" fontId="2" fillId="4" borderId="13" xfId="0" applyNumberFormat="1" applyFont="1" applyFill="1" applyBorder="1"/>
    <xf numFmtId="0" fontId="2" fillId="0" borderId="33" xfId="0" applyFont="1" applyBorder="1"/>
    <xf numFmtId="165" fontId="0" fillId="0" borderId="31" xfId="1" applyNumberFormat="1" applyFont="1" applyBorder="1"/>
    <xf numFmtId="165" fontId="0" fillId="0" borderId="32" xfId="1" applyNumberFormat="1" applyFont="1" applyBorder="1"/>
    <xf numFmtId="14" fontId="0" fillId="0" borderId="17" xfId="0" applyNumberFormat="1" applyBorder="1"/>
    <xf numFmtId="14" fontId="0" fillId="0" borderId="16" xfId="0" applyNumberFormat="1" applyBorder="1"/>
    <xf numFmtId="0" fontId="11" fillId="0" borderId="0" xfId="0" applyFont="1" applyAlignment="1">
      <alignment horizontal="left"/>
    </xf>
    <xf numFmtId="14" fontId="8" fillId="0" borderId="9" xfId="1" applyNumberFormat="1" applyFont="1" applyBorder="1" applyAlignment="1">
      <alignment horizontal="right"/>
    </xf>
    <xf numFmtId="14" fontId="0" fillId="0" borderId="34" xfId="0" applyNumberFormat="1" applyBorder="1"/>
    <xf numFmtId="165" fontId="0" fillId="0" borderId="35" xfId="1" applyNumberFormat="1" applyFont="1" applyBorder="1"/>
    <xf numFmtId="165" fontId="0" fillId="0" borderId="36" xfId="1" applyNumberFormat="1" applyFont="1" applyBorder="1"/>
    <xf numFmtId="10" fontId="0" fillId="0" borderId="36" xfId="2" applyNumberFormat="1" applyFont="1" applyBorder="1"/>
    <xf numFmtId="165" fontId="0" fillId="0" borderId="8" xfId="1" applyNumberFormat="1" applyFont="1" applyBorder="1"/>
    <xf numFmtId="164" fontId="0" fillId="0" borderId="23" xfId="2" applyNumberFormat="1" applyFont="1" applyBorder="1"/>
    <xf numFmtId="164" fontId="0" fillId="0" borderId="24" xfId="2" applyNumberFormat="1" applyFont="1" applyBorder="1"/>
    <xf numFmtId="0" fontId="10" fillId="0" borderId="0" xfId="0" applyFont="1"/>
    <xf numFmtId="14" fontId="10" fillId="0" borderId="0" xfId="0" applyNumberFormat="1" applyFont="1"/>
    <xf numFmtId="167" fontId="3" fillId="0" borderId="0" xfId="0" applyNumberFormat="1" applyFont="1"/>
    <xf numFmtId="0" fontId="12" fillId="0" borderId="0" xfId="0" applyFont="1" applyAlignment="1">
      <alignment vertical="center"/>
    </xf>
    <xf numFmtId="165" fontId="0" fillId="0" borderId="0" xfId="0" applyNumberFormat="1"/>
    <xf numFmtId="14" fontId="2" fillId="4" borderId="37" xfId="0" applyNumberFormat="1" applyFont="1" applyFill="1" applyBorder="1"/>
    <xf numFmtId="14" fontId="2" fillId="4" borderId="14" xfId="0" applyNumberFormat="1" applyFont="1" applyFill="1" applyBorder="1"/>
    <xf numFmtId="164" fontId="0" fillId="0" borderId="38" xfId="2" applyNumberFormat="1" applyFont="1" applyBorder="1"/>
    <xf numFmtId="14" fontId="0" fillId="0" borderId="0" xfId="0" applyNumberFormat="1" applyAlignment="1">
      <alignment horizontal="right"/>
    </xf>
    <xf numFmtId="43" fontId="0" fillId="0" borderId="0" xfId="1" applyFont="1"/>
    <xf numFmtId="14" fontId="2" fillId="4" borderId="9" xfId="0" applyNumberFormat="1" applyFont="1" applyFill="1" applyBorder="1"/>
    <xf numFmtId="14" fontId="0" fillId="0" borderId="33" xfId="0" applyNumberFormat="1" applyBorder="1"/>
    <xf numFmtId="165" fontId="0" fillId="0" borderId="39" xfId="1" applyNumberFormat="1" applyFont="1" applyBorder="1"/>
    <xf numFmtId="165" fontId="0" fillId="0" borderId="26" xfId="1" applyNumberFormat="1" applyFont="1" applyBorder="1"/>
    <xf numFmtId="10" fontId="0" fillId="0" borderId="26" xfId="2" applyNumberFormat="1" applyFont="1" applyBorder="1"/>
    <xf numFmtId="2" fontId="9" fillId="0" borderId="0" xfId="1" applyNumberFormat="1" applyFont="1"/>
    <xf numFmtId="167" fontId="10" fillId="0" borderId="0" xfId="0" applyNumberFormat="1" applyFont="1"/>
    <xf numFmtId="3" fontId="0" fillId="0" borderId="0" xfId="0" applyNumberFormat="1"/>
    <xf numFmtId="0" fontId="5" fillId="0" borderId="0" xfId="0" applyFont="1"/>
    <xf numFmtId="165" fontId="5" fillId="0" borderId="0" xfId="10" applyNumberFormat="1" applyFont="1"/>
    <xf numFmtId="0" fontId="5" fillId="2" borderId="0" xfId="0" applyFont="1" applyFill="1"/>
    <xf numFmtId="0" fontId="13" fillId="0" borderId="0" xfId="0" applyFont="1"/>
    <xf numFmtId="0" fontId="13" fillId="0" borderId="12" xfId="0" applyFont="1" applyBorder="1"/>
    <xf numFmtId="165" fontId="0" fillId="0" borderId="12" xfId="10" applyNumberFormat="1" applyFont="1" applyBorder="1"/>
    <xf numFmtId="165" fontId="13" fillId="0" borderId="12" xfId="10" applyNumberFormat="1" applyFont="1" applyBorder="1"/>
    <xf numFmtId="0" fontId="14" fillId="0" borderId="12" xfId="0" applyFont="1" applyBorder="1" applyAlignment="1">
      <alignment horizontal="center"/>
    </xf>
    <xf numFmtId="0" fontId="0" fillId="2" borderId="12" xfId="0" applyFill="1" applyBorder="1"/>
    <xf numFmtId="0" fontId="13" fillId="2" borderId="12" xfId="0" applyFont="1" applyFill="1" applyBorder="1"/>
    <xf numFmtId="165" fontId="0" fillId="2" borderId="12" xfId="10" applyNumberFormat="1" applyFont="1" applyFill="1" applyBorder="1"/>
    <xf numFmtId="165" fontId="13" fillId="2" borderId="12" xfId="10" applyNumberFormat="1" applyFont="1" applyFill="1" applyBorder="1"/>
    <xf numFmtId="0" fontId="14" fillId="0" borderId="12" xfId="0" applyFont="1" applyBorder="1" applyAlignment="1">
      <alignment horizontal="left" vertical="top"/>
    </xf>
    <xf numFmtId="0" fontId="14" fillId="0" borderId="12" xfId="0" applyFont="1" applyBorder="1" applyAlignment="1">
      <alignment horizontal="left"/>
    </xf>
    <xf numFmtId="0" fontId="0" fillId="0" borderId="40" xfId="0" applyBorder="1"/>
    <xf numFmtId="0" fontId="13" fillId="0" borderId="40" xfId="0" applyFont="1" applyBorder="1"/>
    <xf numFmtId="165" fontId="0" fillId="0" borderId="40" xfId="10" applyNumberFormat="1" applyFont="1" applyBorder="1"/>
    <xf numFmtId="165" fontId="13" fillId="0" borderId="40" xfId="10" applyNumberFormat="1" applyFont="1" applyBorder="1"/>
    <xf numFmtId="0" fontId="11" fillId="0" borderId="29" xfId="0" applyFont="1" applyBorder="1"/>
    <xf numFmtId="0" fontId="11" fillId="0" borderId="30" xfId="0" applyFont="1" applyBorder="1"/>
    <xf numFmtId="165" fontId="11" fillId="0" borderId="30" xfId="10" applyNumberFormat="1" applyFont="1" applyBorder="1"/>
    <xf numFmtId="165" fontId="11" fillId="0" borderId="13" xfId="10" applyNumberFormat="1" applyFont="1" applyBorder="1"/>
    <xf numFmtId="0" fontId="9" fillId="0" borderId="0" xfId="0" applyFont="1"/>
    <xf numFmtId="0" fontId="15" fillId="0" borderId="0" xfId="0" applyFont="1"/>
    <xf numFmtId="0" fontId="9" fillId="0" borderId="0" xfId="0" applyFont="1" applyAlignment="1">
      <alignment horizontal="center"/>
    </xf>
    <xf numFmtId="165" fontId="9" fillId="0" borderId="0" xfId="10" applyNumberFormat="1" applyFont="1"/>
    <xf numFmtId="10" fontId="9" fillId="0" borderId="0" xfId="11" applyNumberFormat="1" applyFont="1"/>
    <xf numFmtId="43" fontId="9" fillId="0" borderId="0" xfId="10" applyFont="1"/>
    <xf numFmtId="0" fontId="11" fillId="3" borderId="0" xfId="0" applyFont="1" applyFill="1"/>
    <xf numFmtId="165" fontId="11" fillId="3" borderId="0" xfId="10" applyNumberFormat="1" applyFont="1" applyFill="1" applyAlignment="1">
      <alignment horizontal="center"/>
    </xf>
    <xf numFmtId="168" fontId="9" fillId="0" borderId="0" xfId="0" applyNumberFormat="1" applyFont="1"/>
    <xf numFmtId="169" fontId="9" fillId="0" borderId="0" xfId="11" applyNumberFormat="1" applyFont="1"/>
    <xf numFmtId="165" fontId="16" fillId="0" borderId="0" xfId="10" applyNumberFormat="1" applyFont="1"/>
    <xf numFmtId="2" fontId="9" fillId="0" borderId="0" xfId="0" applyNumberFormat="1" applyFont="1"/>
    <xf numFmtId="0" fontId="16" fillId="0" borderId="0" xfId="3" applyFont="1" applyAlignment="1">
      <alignment horizontal="left" vertical="center"/>
    </xf>
    <xf numFmtId="0" fontId="16" fillId="0" borderId="0" xfId="3" applyFont="1" applyAlignment="1">
      <alignment horizontal="center" vertical="center" wrapText="1"/>
    </xf>
    <xf numFmtId="0" fontId="16" fillId="0" borderId="0" xfId="3" applyFont="1" applyAlignment="1">
      <alignment horizontal="left" vertical="center" wrapText="1"/>
    </xf>
    <xf numFmtId="165" fontId="16" fillId="0" borderId="0" xfId="10" applyNumberFormat="1" applyFont="1" applyAlignment="1">
      <alignment horizontal="left" vertical="center" wrapText="1"/>
    </xf>
    <xf numFmtId="165" fontId="9" fillId="0" borderId="0" xfId="10" applyNumberFormat="1" applyFont="1" applyAlignment="1">
      <alignment horizontal="center"/>
    </xf>
    <xf numFmtId="0" fontId="17" fillId="6" borderId="0" xfId="3" applyFont="1" applyFill="1" applyAlignment="1">
      <alignment horizontal="left" vertical="center" wrapText="1"/>
    </xf>
    <xf numFmtId="0" fontId="17" fillId="6" borderId="0" xfId="3" applyFont="1" applyFill="1" applyAlignment="1">
      <alignment horizontal="center" vertical="center" wrapText="1"/>
    </xf>
    <xf numFmtId="165" fontId="18" fillId="6" borderId="0" xfId="10" applyNumberFormat="1" applyFont="1" applyFill="1" applyAlignment="1">
      <alignment horizontal="center" vertical="center" wrapText="1"/>
    </xf>
    <xf numFmtId="10" fontId="17" fillId="6" borderId="0" xfId="11" applyNumberFormat="1" applyFont="1" applyFill="1" applyAlignment="1">
      <alignment horizontal="center" vertical="center" wrapText="1"/>
    </xf>
    <xf numFmtId="165" fontId="16" fillId="7" borderId="0" xfId="10" applyNumberFormat="1" applyFont="1" applyFill="1" applyAlignment="1">
      <alignment horizontal="center" vertical="center" wrapText="1"/>
    </xf>
    <xf numFmtId="165" fontId="16" fillId="8" borderId="0" xfId="10" applyNumberFormat="1" applyFont="1" applyFill="1" applyAlignment="1">
      <alignment horizontal="center" vertical="center" wrapText="1"/>
    </xf>
    <xf numFmtId="10" fontId="16" fillId="7" borderId="0" xfId="11" applyNumberFormat="1" applyFont="1" applyFill="1" applyAlignment="1">
      <alignment horizontal="center" vertical="center" wrapText="1"/>
    </xf>
    <xf numFmtId="14" fontId="13" fillId="0" borderId="0" xfId="0" applyNumberFormat="1" applyFont="1"/>
    <xf numFmtId="43" fontId="9" fillId="0" borderId="0" xfId="11" applyNumberFormat="1" applyFont="1"/>
    <xf numFmtId="10" fontId="9" fillId="9" borderId="0" xfId="11" applyNumberFormat="1" applyFont="1" applyFill="1"/>
    <xf numFmtId="14" fontId="9" fillId="0" borderId="0" xfId="0" applyNumberFormat="1" applyFont="1" applyAlignment="1">
      <alignment horizontal="left"/>
    </xf>
    <xf numFmtId="0" fontId="9" fillId="2" borderId="0" xfId="0" applyFont="1" applyFill="1"/>
    <xf numFmtId="14" fontId="11" fillId="3" borderId="0" xfId="0" applyNumberFormat="1" applyFont="1" applyFill="1"/>
    <xf numFmtId="165" fontId="1" fillId="0" borderId="0" xfId="1" applyNumberFormat="1"/>
    <xf numFmtId="14" fontId="9" fillId="10" borderId="0" xfId="0" applyNumberFormat="1" applyFont="1" applyFill="1"/>
    <xf numFmtId="14" fontId="0" fillId="10" borderId="0" xfId="0" applyNumberFormat="1" applyFill="1" applyAlignment="1">
      <alignment horizontal="right"/>
    </xf>
    <xf numFmtId="0" fontId="0" fillId="11" borderId="0" xfId="0" applyFill="1"/>
    <xf numFmtId="14" fontId="10" fillId="10" borderId="0" xfId="0" applyNumberFormat="1" applyFont="1" applyFill="1"/>
    <xf numFmtId="14" fontId="0" fillId="10" borderId="0" xfId="0" applyNumberFormat="1" applyFill="1"/>
    <xf numFmtId="14" fontId="3" fillId="10" borderId="0" xfId="0" applyNumberFormat="1" applyFont="1" applyFill="1"/>
    <xf numFmtId="14" fontId="3" fillId="0" borderId="0" xfId="0" applyNumberFormat="1" applyFont="1"/>
    <xf numFmtId="0" fontId="3" fillId="0" borderId="0" xfId="6" applyNumberFormat="1" applyFont="1"/>
    <xf numFmtId="0" fontId="9" fillId="0" borderId="0" xfId="6" applyNumberFormat="1" applyFont="1"/>
    <xf numFmtId="2" fontId="9" fillId="0" borderId="0" xfId="6" applyNumberFormat="1" applyFont="1"/>
    <xf numFmtId="170" fontId="3" fillId="0" borderId="0" xfId="11" applyNumberFormat="1" applyFont="1"/>
    <xf numFmtId="167" fontId="3" fillId="0" borderId="0" xfId="6" applyNumberFormat="1" applyFont="1"/>
    <xf numFmtId="170" fontId="0" fillId="0" borderId="0" xfId="2" applyNumberFormat="1" applyFont="1"/>
    <xf numFmtId="1" fontId="1" fillId="0" borderId="0" xfId="1" applyNumberFormat="1"/>
    <xf numFmtId="14" fontId="9" fillId="2" borderId="0" xfId="0" applyNumberFormat="1" applyFont="1" applyFill="1"/>
    <xf numFmtId="167" fontId="9" fillId="0" borderId="0" xfId="2" applyNumberFormat="1" applyFont="1"/>
    <xf numFmtId="165" fontId="9" fillId="0" borderId="0" xfId="1" applyNumberFormat="1" applyFont="1"/>
    <xf numFmtId="171" fontId="0" fillId="0" borderId="0" xfId="1" applyNumberFormat="1" applyFont="1"/>
    <xf numFmtId="0" fontId="2" fillId="0" borderId="12" xfId="0" applyFont="1" applyBorder="1"/>
  </cellXfs>
  <cellStyles count="12">
    <cellStyle name="Comma" xfId="1" builtinId="3"/>
    <cellStyle name="Comma 2" xfId="10" xr:uid="{00000000-0005-0000-0000-00000A000000}"/>
    <cellStyle name="Comma 2 27" xfId="6" xr:uid="{00000000-0005-0000-0000-000006000000}"/>
    <cellStyle name="Currency 3" xfId="5" xr:uid="{00000000-0005-0000-0000-000005000000}"/>
    <cellStyle name="Normal" xfId="0" builtinId="0"/>
    <cellStyle name="Normal - Style1" xfId="7" xr:uid="{00000000-0005-0000-0000-000007000000}"/>
    <cellStyle name="Normal 123" xfId="8" xr:uid="{00000000-0005-0000-0000-000008000000}"/>
    <cellStyle name="Normal 14" xfId="9" xr:uid="{00000000-0005-0000-0000-000009000000}"/>
    <cellStyle name="Normal 2 2" xfId="4" xr:uid="{00000000-0005-0000-0000-000004000000}"/>
    <cellStyle name="Normal 36" xfId="3" xr:uid="{00000000-0005-0000-0000-000003000000}"/>
    <cellStyle name="Percent" xfId="2" builtinId="5"/>
    <cellStyle name="Percent 2" xfId="11" xr:uid="{00000000-0005-0000-0000-00000B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1</xdr:row>
          <xdr:rowOff>83820</xdr:rowOff>
        </xdr:from>
        <xdr:to>
          <xdr:col>10</xdr:col>
          <xdr:colOff>883920</xdr:colOff>
          <xdr:row>4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 to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lient%20Reports\Bound%20Portfolio%20Reports\July%202021\Bound%20Fund%20Are%205.0%20July%208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Reinsurance%20Calculator/ILSData/ETF%20Portfolio.xlsx" TargetMode="External"/><Relationship Id="rId2" Type="http://schemas.openxmlformats.org/officeDocument/2006/relationships/externalLinkPath" Target="file:///C:\Users\ARAPL_USER\Desktop\UI%20Testing\Portfolio%20Test\Reinsurance%20Calculator\ILSData\ETF%20Portfolio.xlsx" TargetMode="External"/><Relationship Id="rId1" Type="http://schemas.openxmlformats.org/officeDocument/2006/relationships/externalLinkPath" Target="/Users/ARAPL_USER/Desktop/UI%20Testing/Portfolio%20Test/Reinsurance%20Calculator/ILSData/ETF%20Portfolio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Bound_Report_Import_Template-UITesting%20-%20Copy.xlsm" TargetMode="External"/><Relationship Id="rId2" Type="http://schemas.openxmlformats.org/officeDocument/2006/relationships/externalLinkPath" Target="file:///C:\Users\ARAPL_USER\Desktop\UI%20Testing\Portfolio%20Test\PortfolioTestCasefiles\Bound_Report_Import_Template-UITesting%20-%20Copy.xlsm" TargetMode="External"/><Relationship Id="rId1" Type="http://schemas.openxmlformats.org/officeDocument/2006/relationships/externalLinkPath" Target="/Users/ARAPL_USER/Desktop/UI%20Testing/Portfolio%20Test/PortfolioTestCasefiles/Bound_Report_Import_Template-UITesting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ss Checks"/>
      <sheetName val="Version Control"/>
      <sheetName val="Index"/>
      <sheetName val="Comparison V_8.0"/>
      <sheetName val="P&amp;L"/>
      <sheetName val="Limit by Guideline %"/>
      <sheetName val="BoundLayerDB"/>
      <sheetName val="BoundLayerTransaction"/>
      <sheetName val="Guidelines"/>
      <sheetName val="RegionPeril"/>
      <sheetName val="Bound Portfolio Report"/>
      <sheetName val="Region Peril By Deal"/>
      <sheetName val="Leverage Calc"/>
      <sheetName val="AALByMonth"/>
      <sheetName val="~AnalyzeReAddIn"/>
      <sheetName val="PH_EQ_TY"/>
      <sheetName val="HistoricalEvents"/>
      <sheetName val="ILS Report- DeployedCapital"/>
      <sheetName val="ILS Report- AvailableCapital"/>
      <sheetName val="ILS Report- Combined"/>
      <sheetName val="HistoricalEvents_AddAdj"/>
      <sheetName val="EPCurve"/>
      <sheetName val="Free Cash analysis"/>
      <sheetName val="May to June 2021 (Cat bd &amp; IOU)"/>
      <sheetName val="ART Collateral"/>
      <sheetName val="Settings"/>
      <sheetName val="Download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f74b1185-2790-4456-97b4-c593bb2c4c54</v>
          </cell>
          <cell r="D3" t="str">
            <v>da2d16f3-da36-4797-a854-2c29a9cad374</v>
          </cell>
        </row>
        <row r="4">
          <cell r="B4" t="str">
            <v>f5a81352-f47e-4b9d-9e2c-d0d43e4323c3</v>
          </cell>
          <cell r="D4" t="str">
            <v>e55fb6ed-c1e9-423c-93b0-56454001fcc0</v>
          </cell>
        </row>
        <row r="5">
          <cell r="B5" t="str">
            <v>1db260a6-f8a2-473e-a9cc-602d49d928d4</v>
          </cell>
          <cell r="D5" t="str">
            <v>1db260a6-f8a2-473e-a9cc-602d49d928d4</v>
          </cell>
        </row>
        <row r="6">
          <cell r="B6" t="str">
            <v>ace90e6c-eea5-41eb-9688-f7aea0bb6127</v>
          </cell>
          <cell r="D6" t="str">
            <v>ace90e6c-eea5-41eb-9688-f7aea0bb6127</v>
          </cell>
        </row>
        <row r="7">
          <cell r="B7" t="str">
            <v>b57a2f08-fdd0-4920-b673-ca80fba7c4e2</v>
          </cell>
          <cell r="D7" t="str">
            <v>b57a2f08-fdd0-4920-b673-ca80fba7c4e2</v>
          </cell>
        </row>
        <row r="8">
          <cell r="B8" t="str">
            <v>0d60ddeb-f5e7-4cb3-8ce7-1b4ffff84708</v>
          </cell>
          <cell r="D8" t="str">
            <v>0d60ddeb-f5e7-4cb3-8ce7-1b4ffff84708</v>
          </cell>
        </row>
        <row r="9">
          <cell r="B9" t="str">
            <v>78b8baf2-d021-474a-88fe-8848157f307c</v>
          </cell>
          <cell r="D9" t="str">
            <v>78b8baf2-d021-474a-88fe-8848157f307c</v>
          </cell>
        </row>
        <row r="10">
          <cell r="B10" t="str">
            <v>0d037bdf-4c5b-440f-af45-40ab6bfa679a</v>
          </cell>
          <cell r="D10" t="str">
            <v>0d037bdf-4c5b-440f-af45-40ab6bfa679a</v>
          </cell>
        </row>
        <row r="11">
          <cell r="B11" t="str">
            <v>0e74071f-f24a-41e9-a546-92308322358b</v>
          </cell>
          <cell r="D11" t="str">
            <v>0e74071f-f24a-41e9-a546-92308322358b</v>
          </cell>
        </row>
        <row r="12">
          <cell r="B12" t="str">
            <v>a6d3dc3b-43d0-43f5-b383-efb3f802deb2</v>
          </cell>
          <cell r="D12" t="str">
            <v>5e8fabde-347b-439c-87cf-bcfb4f715eb1</v>
          </cell>
        </row>
        <row r="13">
          <cell r="B13" t="str">
            <v>8bf343b5-ed85-49ca-a579-b240dfac2e64</v>
          </cell>
          <cell r="D13" t="str">
            <v>8bf343b5-ed85-49ca-a579-b240dfac2e64</v>
          </cell>
        </row>
        <row r="14">
          <cell r="B14" t="str">
            <v>bb16ef32-b2f8-40f8-b42a-7f157e4a85e8</v>
          </cell>
          <cell r="D14" t="str">
            <v>bb16ef32-b2f8-40f8-b42a-7f157e4a85e8</v>
          </cell>
        </row>
        <row r="15">
          <cell r="B15" t="str">
            <v>cc894233-c238-4dbf-9343-a786880d26ba</v>
          </cell>
          <cell r="D15" t="str">
            <v>cc894233-c238-4dbf-9343-a786880d26ba</v>
          </cell>
        </row>
        <row r="16">
          <cell r="B16" t="str">
            <v>4f5cea76-4687-4e7c-8f51-92a5830e28f1</v>
          </cell>
          <cell r="D16" t="str">
            <v>4f5cea76-4687-4e7c-8f51-92a5830e28f1</v>
          </cell>
        </row>
        <row r="17">
          <cell r="B17" t="str">
            <v>1748e56d-6998-494f-81c5-a56945501558</v>
          </cell>
          <cell r="D17" t="str">
            <v>f4b9b7cc-d315-4941-a570-86a04f0d4cc3</v>
          </cell>
        </row>
        <row r="18">
          <cell r="B18" t="str">
            <v>1efdfd0a-4f9a-4f1f-8454-c96dd24cf18f</v>
          </cell>
          <cell r="D18" t="str">
            <v>01cf8f26-0234-4502-aa38-3cd8fed2e7fe</v>
          </cell>
        </row>
        <row r="19">
          <cell r="B19" t="str">
            <v>ac67c715-d8ca-48f2-a570-1c0ea6d75123</v>
          </cell>
          <cell r="D19" t="str">
            <v>ac67c715-d8ca-48f2-a570-1c0ea6d75123</v>
          </cell>
        </row>
        <row r="20">
          <cell r="B20" t="str">
            <v>8e8eef8e-3081-48e0-a182-c4d6e82f8910</v>
          </cell>
          <cell r="D20" t="str">
            <v>8e8eef8e-3081-48e0-a182-c4d6e82f8910</v>
          </cell>
        </row>
        <row r="21">
          <cell r="B21" t="str">
            <v>a1b763f3-f5fa-41d6-a198-a3dd657c2b0c</v>
          </cell>
          <cell r="D21" t="str">
            <v>a1b763f3-f5fa-41d6-a198-a3dd657c2b0c</v>
          </cell>
        </row>
        <row r="22">
          <cell r="B22" t="str">
            <v>cda60fa2-d7ba-4b04-8f47-b39dc06901f4</v>
          </cell>
          <cell r="D22" t="str">
            <v>a94abb8a-388b-4a22-95f2-804d80def75a</v>
          </cell>
        </row>
        <row r="23">
          <cell r="B23" t="str">
            <v>66e777b5-bf07-46bb-afec-b01e1e9450ca</v>
          </cell>
          <cell r="D23" t="str">
            <v>ee364d8a-54b2-48a6-a60e-2ee1b478371f</v>
          </cell>
        </row>
        <row r="24">
          <cell r="B24" t="str">
            <v>1cb19bab-0723-4e08-a35f-0c6eb72c7fec</v>
          </cell>
          <cell r="D24" t="str">
            <v>3ac41184-3e03-49dd-981c-47fb5e7feee1</v>
          </cell>
        </row>
        <row r="25">
          <cell r="B25" t="str">
            <v>02097af3-58dc-4cca-8d11-af02faf56d35</v>
          </cell>
          <cell r="D25" t="str">
            <v>02097af3-58dc-4cca-8d11-af02faf56d35</v>
          </cell>
        </row>
        <row r="26">
          <cell r="B26" t="str">
            <v>4a4da73f-cc61-4851-a3ab-4d04f9c58758</v>
          </cell>
          <cell r="D26" t="str">
            <v>4a4da73f-cc61-4851-a3ab-4d04f9c58758</v>
          </cell>
        </row>
        <row r="27">
          <cell r="B27" t="str">
            <v>be03cdda-17ec-4b23-973d-cd3da96f4c17</v>
          </cell>
          <cell r="D27" t="str">
            <v>be03cdda-17ec-4b23-973d-cd3da96f4c17</v>
          </cell>
        </row>
        <row r="28">
          <cell r="B28" t="str">
            <v>b1bd2d0e-aa09-4cfa-b0bc-0c9f5aa6a70f</v>
          </cell>
          <cell r="D28" t="str">
            <v>b1bd2d0e-aa09-4cfa-b0bc-0c9f5aa6a70f</v>
          </cell>
        </row>
        <row r="29">
          <cell r="B29" t="str">
            <v>030b277e-5cf5-4b7c-bba6-a157090b2e1d</v>
          </cell>
          <cell r="D29" t="str">
            <v>52f1f148-e949-4335-9bcb-b1627e2c6a46</v>
          </cell>
        </row>
        <row r="30">
          <cell r="B30" t="str">
            <v>945384eb-dd73-4124-95b5-daa1d0acebc5</v>
          </cell>
          <cell r="D30" t="str">
            <v>e0c3601e-5e44-42a9-ae7e-76dc123a77e8</v>
          </cell>
        </row>
        <row r="31">
          <cell r="B31" t="str">
            <v>3a254a51-dde6-4982-aea2-31f22d659045</v>
          </cell>
          <cell r="D31" t="str">
            <v>615f2dbf-6997-4f36-acd2-b3a85596c32f</v>
          </cell>
        </row>
        <row r="32">
          <cell r="B32" t="str">
            <v>e8038ce4-e39f-4e0a-92c2-456e090da305</v>
          </cell>
          <cell r="D32" t="str">
            <v>e8038ce4-e39f-4e0a-92c2-456e090da305</v>
          </cell>
        </row>
        <row r="33">
          <cell r="B33" t="str">
            <v>44e7085d-57b9-4402-80f8-9ff378a2618d</v>
          </cell>
          <cell r="D33" t="str">
            <v>44e7085d-57b9-4402-80f8-9ff378a2618d</v>
          </cell>
        </row>
        <row r="34">
          <cell r="B34" t="str">
            <v>af755125-9cce-40f3-8c65-6286fd072aed</v>
          </cell>
          <cell r="D34" t="str">
            <v>a8bfe41e-cb32-481c-ad69-e6f28ed49505</v>
          </cell>
        </row>
        <row r="35">
          <cell r="B35" t="str">
            <v>143b3cc6-fe04-4568-a08b-482e9f174a6b</v>
          </cell>
          <cell r="D35" t="str">
            <v>5f0a8d21-65bd-4a10-8205-292f26e4be89</v>
          </cell>
        </row>
        <row r="36">
          <cell r="B36" t="str">
            <v>faf86cf8-8ae9-4c2c-bd3f-bf0d6df3c9c0</v>
          </cell>
          <cell r="D36" t="str">
            <v>faf86cf8-8ae9-4c2c-bd3f-bf0d6df3c9c0</v>
          </cell>
        </row>
        <row r="37">
          <cell r="B37" t="str">
            <v>7458d7bf-ccb6-4053-b6f4-a5ad023a513b</v>
          </cell>
          <cell r="D37" t="str">
            <v>cfbd124d-6961-4aac-8a81-68757aa0282a</v>
          </cell>
        </row>
        <row r="38">
          <cell r="B38" t="str">
            <v>0bb71f89-3d3c-425a-afdc-2dd959e1541d</v>
          </cell>
          <cell r="D38" t="str">
            <v>0bb71f89-3d3c-425a-afdc-2dd959e1541d</v>
          </cell>
        </row>
        <row r="39">
          <cell r="B39" t="str">
            <v>1eb85d37-92bd-4dd1-bf68-37decd4b8520</v>
          </cell>
          <cell r="D39" t="str">
            <v>13179b22-932d-4f4f-9294-5593749beeaf</v>
          </cell>
        </row>
        <row r="40">
          <cell r="B40" t="str">
            <v>3de30a9c-4ee4-42ca-8ffa-c70029c71deb</v>
          </cell>
          <cell r="D40" t="str">
            <v>17e9592a-c6ad-469a-bd85-4b442e350332</v>
          </cell>
        </row>
        <row r="41">
          <cell r="B41" t="str">
            <v>d9dbfe40-a3f7-489b-a512-9ca0f428db86</v>
          </cell>
          <cell r="D41" t="str">
            <v>ec1e7ec3-27d7-4773-8bd0-3f958f51f767</v>
          </cell>
        </row>
        <row r="42">
          <cell r="B42" t="str">
            <v>613cbe86-488e-4695-a06b-e85852fda7cd</v>
          </cell>
          <cell r="D42" t="str">
            <v>528c1f61-2fe2-4017-8057-d11ce3e9a5e6</v>
          </cell>
        </row>
        <row r="43">
          <cell r="B43" t="str">
            <v>8913d62d-45a6-4320-818a-860c271a30da</v>
          </cell>
          <cell r="D43" t="str">
            <v>d88bd82c-7fd9-40a8-b545-27f9f6c59093</v>
          </cell>
        </row>
        <row r="44">
          <cell r="B44" t="str">
            <v>b4611905-5bef-44e6-a585-47c43509b61f</v>
          </cell>
          <cell r="D44" t="str">
            <v>bc370e72-5148-4f6e-a7b9-4c3c856a9204</v>
          </cell>
        </row>
        <row r="45">
          <cell r="B45" t="str">
            <v>99fc7615-ba25-40f5-9ccb-0c5196d7beff</v>
          </cell>
          <cell r="D45" t="str">
            <v>e2cead91-9dd3-45ae-b4b3-411502bfcf34</v>
          </cell>
        </row>
        <row r="46">
          <cell r="B46" t="str">
            <v>07d73fe4-876c-47e0-9f43-45149d08e530</v>
          </cell>
          <cell r="D46" t="str">
            <v>1bc2b2f3-50dc-4ad1-90b0-f78674db3b48</v>
          </cell>
        </row>
        <row r="47">
          <cell r="B47" t="str">
            <v>ed3d3706-3989-4567-9593-9bbd28af6f78</v>
          </cell>
          <cell r="D47" t="str">
            <v>e48e592c-4703-4e88-84fd-b82d9a13f658</v>
          </cell>
        </row>
        <row r="48">
          <cell r="B48" t="str">
            <v>def71915-8036-4f67-a892-985e2cf987e7</v>
          </cell>
          <cell r="D48" t="str">
            <v>1600722a-64b6-4ae6-8178-ab34658e9cda</v>
          </cell>
        </row>
        <row r="49">
          <cell r="B49" t="str">
            <v>b35ae2d8-0d34-4429-a010-dc87cb616c03</v>
          </cell>
          <cell r="D49" t="str">
            <v>6f5c87b2-7e4c-4667-b8ea-98187450d33b</v>
          </cell>
        </row>
        <row r="50">
          <cell r="B50" t="str">
            <v>85339c3a-1f29-46c4-abc0-92431fbe2a01</v>
          </cell>
          <cell r="D50" t="str">
            <v>d693c137-0e4d-4e64-8777-dcfc258fb834</v>
          </cell>
        </row>
        <row r="51">
          <cell r="B51" t="str">
            <v>c69ec3e5-d550-4674-a060-39b8ec5b9b81</v>
          </cell>
          <cell r="D51" t="str">
            <v>c69ec3e5-d550-4674-a060-39b8ec5b9b81</v>
          </cell>
        </row>
        <row r="52">
          <cell r="B52" t="str">
            <v>9ccdd151-185c-4e6c-afed-e97240f8f5f9</v>
          </cell>
          <cell r="D52" t="str">
            <v>302ca347-3579-4abc-bc39-21a78a157add</v>
          </cell>
        </row>
        <row r="53">
          <cell r="B53" t="str">
            <v>e436fd72-2a60-4447-8c3c-9d68749bc529</v>
          </cell>
          <cell r="D53" t="str">
            <v>e436fd72-2a60-4447-8c3c-9d68749bc529</v>
          </cell>
        </row>
        <row r="54">
          <cell r="B54" t="str">
            <v>27cbc047-5e22-43bd-bbdf-0701cc13dc29</v>
          </cell>
          <cell r="D54" t="str">
            <v>27cbc047-5e22-43bd-bbdf-0701cc13dc29</v>
          </cell>
        </row>
        <row r="55">
          <cell r="B55" t="str">
            <v>0ccf2def-c88f-4c01-b8d0-3da32c550b5b</v>
          </cell>
          <cell r="D55" t="str">
            <v>1443684f-35c9-4bde-a867-7d5363ef0366</v>
          </cell>
        </row>
        <row r="56">
          <cell r="B56" t="str">
            <v>1896da5b-179d-4d09-8367-08cac22f0c45</v>
          </cell>
          <cell r="D56" t="str">
            <v>d513a4cf-c3db-4d61-af9e-8398d200a70e</v>
          </cell>
        </row>
        <row r="57">
          <cell r="B57" t="str">
            <v>d0b0c099-5ee5-41d4-81c7-4a9ad9e60022</v>
          </cell>
          <cell r="D57" t="str">
            <v>b186b116-83d7-4517-971e-06097de9fe74</v>
          </cell>
        </row>
        <row r="58">
          <cell r="B58" t="str">
            <v>3c2ba04b-5f6a-43e4-9432-fc715b9d96be</v>
          </cell>
          <cell r="D58" t="str">
            <v>53a423fe-9d90-4ba0-9d75-f8db50eee2a7</v>
          </cell>
        </row>
        <row r="59">
          <cell r="B59" t="str">
            <v>40b520d9-c56d-429b-b27b-f5ff5231ce3d</v>
          </cell>
          <cell r="D59" t="str">
            <v>cbac4bd4-56ba-4377-805e-9d3460959c83</v>
          </cell>
        </row>
        <row r="60">
          <cell r="B60" t="str">
            <v>7c421aad-02b1-4283-9c7a-a14a3a65ba6d</v>
          </cell>
          <cell r="D60" t="str">
            <v>fcee0f47-bbf9-461c-97b6-0ddcf5929f6a</v>
          </cell>
        </row>
        <row r="61">
          <cell r="B61" t="str">
            <v>fbf50045-0015-4baf-9057-a8bfeaf27189</v>
          </cell>
          <cell r="D61" t="str">
            <v>1ceb183b-7010-4637-8415-0b19103be13a</v>
          </cell>
        </row>
        <row r="62">
          <cell r="B62" t="str">
            <v>1d5cdfea-a0d1-40bf-a8fc-559611ebb78e</v>
          </cell>
          <cell r="D62" t="str">
            <v>65802c86-239d-44a5-a250-5763b18bc35d</v>
          </cell>
        </row>
        <row r="63">
          <cell r="B63" t="str">
            <v>17d4720c-abc8-42da-a07e-749f33cc860a</v>
          </cell>
          <cell r="D63" t="str">
            <v>8b2bd62d-6420-45d3-ac26-5d83e2929e58</v>
          </cell>
        </row>
        <row r="64">
          <cell r="B64" t="str">
            <v>532f05cc-8fb0-40c0-b114-5024e3b33d7a</v>
          </cell>
          <cell r="D64" t="str">
            <v>56c94b29-b7bd-4c7b-bf23-d72f1ccf02dc</v>
          </cell>
        </row>
        <row r="65">
          <cell r="B65" t="str">
            <v>041c805a-6767-4509-99c2-bebc32e05102</v>
          </cell>
          <cell r="D65" t="str">
            <v>4a7510b4-e6cb-4e5c-a968-f2af67497372</v>
          </cell>
        </row>
        <row r="66">
          <cell r="B66" t="str">
            <v>0e6e076c-5ec3-4deb-b20e-5b85c22f8474</v>
          </cell>
          <cell r="D66" t="str">
            <v>d67526d1-9995-4c0c-9d4e-a3e00d406a14</v>
          </cell>
        </row>
        <row r="67">
          <cell r="B67" t="str">
            <v>84320566-c675-4405-80d4-534e18c9035e</v>
          </cell>
          <cell r="D67" t="str">
            <v>4f3daa03-f60e-4dbe-9ab3-4ca535271fd2</v>
          </cell>
        </row>
        <row r="68">
          <cell r="B68" t="str">
            <v>080aa06b-359d-4ea2-b127-7e67572ee742</v>
          </cell>
          <cell r="D68" t="str">
            <v>080aa06b-359d-4ea2-b127-7e67572ee742</v>
          </cell>
        </row>
        <row r="69">
          <cell r="B69" t="str">
            <v>0db13979-776a-40b4-952f-362355203ee6</v>
          </cell>
          <cell r="D69" t="str">
            <v>19dfbc5f-45e9-4152-b48c-2887c8509ac3</v>
          </cell>
        </row>
        <row r="70">
          <cell r="B70" t="str">
            <v>e4beed55-160e-4591-9e6c-28b6f2daee97</v>
          </cell>
          <cell r="D70" t="str">
            <v>bc44f699-0117-4279-adc6-eddc01a68f6c</v>
          </cell>
        </row>
        <row r="71">
          <cell r="B71" t="str">
            <v>6738a179-a722-4dfa-9836-c0f838278249</v>
          </cell>
          <cell r="D71" t="str">
            <v>407e6d65-3553-455f-929b-9ae20dc577b5</v>
          </cell>
        </row>
        <row r="72">
          <cell r="B72" t="str">
            <v>3679802f-8f29-43fa-baa5-98c52fedfa6b</v>
          </cell>
          <cell r="D72" t="str">
            <v>a1e5bcd9-a964-4327-847b-901c57be2fd7</v>
          </cell>
        </row>
        <row r="73">
          <cell r="B73" t="str">
            <v>6c9fc971-1bf6-491e-b986-40c8c8fbfd77</v>
          </cell>
          <cell r="D73" t="str">
            <v>dfc694c6-c0ca-460a-95e5-0d20edb8f80e</v>
          </cell>
        </row>
        <row r="74">
          <cell r="B74" t="str">
            <v>a0702302-2b6d-4a1e-97ef-f6a6c34722ae</v>
          </cell>
          <cell r="D74" t="str">
            <v>173604b8-9444-49bd-a0ef-6f5816764b4e</v>
          </cell>
        </row>
        <row r="75">
          <cell r="B75" t="str">
            <v>901a089c-3947-4d62-beee-1bb6468323ba</v>
          </cell>
          <cell r="D75" t="str">
            <v>ab05ff8d-7b06-4bb5-88ad-0f078ec996a7</v>
          </cell>
        </row>
        <row r="76">
          <cell r="B76" t="str">
            <v>a40307c6-c759-49a3-b102-458be0797fd5</v>
          </cell>
          <cell r="D76" t="str">
            <v>2ca3d394-754a-4525-a715-c6b15f5f1506</v>
          </cell>
        </row>
        <row r="77">
          <cell r="B77" t="str">
            <v>170868ea-1534-4563-83d5-30efd28bfe97</v>
          </cell>
          <cell r="D77" t="str">
            <v>4cdc6658-0b04-4056-b7f8-c94a21f05567</v>
          </cell>
        </row>
        <row r="78">
          <cell r="B78" t="str">
            <v>326a486e-1ddb-4e83-ac61-80ac2928a4d7</v>
          </cell>
          <cell r="D78" t="str">
            <v>6c7c31d7-1015-4292-b41f-4f9e93d496c4</v>
          </cell>
        </row>
        <row r="79">
          <cell r="B79" t="str">
            <v>3e62e249-0429-4f40-ae37-86d5bd4c7ba0</v>
          </cell>
          <cell r="D79" t="str">
            <v>b14f50c4-6625-431d-8158-cfef97f5997c</v>
          </cell>
        </row>
        <row r="80">
          <cell r="B80" t="str">
            <v>3561c634-221c-4810-96a2-c0017c88cac2</v>
          </cell>
          <cell r="D80" t="str">
            <v>5126294a-fbc3-4cfd-a44d-8fa0dc0120e4</v>
          </cell>
        </row>
        <row r="81">
          <cell r="B81" t="str">
            <v>522b90d9-a504-46b2-90c5-51ffa4a2e392</v>
          </cell>
          <cell r="D81" t="str">
            <v>b7766c36-6693-42aa-98cc-f73ff6cac609</v>
          </cell>
        </row>
        <row r="82">
          <cell r="B82" t="str">
            <v>cf8fbcfe-db8c-4c6a-aec4-d33809e805d9</v>
          </cell>
          <cell r="D82" t="str">
            <v>d1fb3ea6-0576-4fe3-b47b-c0e1b480c2d1</v>
          </cell>
        </row>
        <row r="83">
          <cell r="B83" t="str">
            <v>c269fb9f-464e-4351-9552-eab589a099e0</v>
          </cell>
          <cell r="D83" t="str">
            <v>3e97b3c9-c688-4067-bfcc-920244c152b4</v>
          </cell>
        </row>
        <row r="84">
          <cell r="B84" t="str">
            <v>ba8e3ab8-9182-45d3-9e30-44486c59e878</v>
          </cell>
          <cell r="D84" t="str">
            <v>0c32149b-9a1e-4d94-80c3-dfbc9705331a</v>
          </cell>
        </row>
        <row r="85">
          <cell r="B85" t="str">
            <v>171748ac-19e8-48b2-91db-8ccd81345449</v>
          </cell>
          <cell r="D85" t="str">
            <v>88323c2c-f716-4763-99de-3f50a47c9424</v>
          </cell>
        </row>
        <row r="86">
          <cell r="B86" t="str">
            <v>54f76fdc-33b9-4af1-9c5c-f377892bac0a</v>
          </cell>
          <cell r="D86" t="str">
            <v>4dddc222-e6fe-4833-b966-459eff6bb370</v>
          </cell>
        </row>
        <row r="87">
          <cell r="B87" t="str">
            <v>21dea044-de8f-4b11-a0e6-cf3eec9634aa</v>
          </cell>
          <cell r="D87" t="str">
            <v>b4bfa346-0f23-4840-b94f-5ff2da60de65</v>
          </cell>
        </row>
        <row r="88">
          <cell r="B88" t="str">
            <v>f8339d53-ee8c-4686-936e-7058c4f0f79d</v>
          </cell>
          <cell r="D88" t="str">
            <v>c4a298fe-662c-494d-a80c-4f79c8990f64</v>
          </cell>
        </row>
        <row r="89">
          <cell r="B89" t="str">
            <v>823a610f-b7a7-4e68-a23b-0a28beeea9d8</v>
          </cell>
          <cell r="D89" t="str">
            <v>addeda11-9f44-4a27-bb57-41dc392910c3</v>
          </cell>
        </row>
        <row r="90">
          <cell r="B90" t="str">
            <v>fb94af8f-d44b-406b-8599-3344c344ab0d</v>
          </cell>
          <cell r="D90" t="str">
            <v>f9743afe-6afe-406b-857e-858b9b04285b</v>
          </cell>
        </row>
        <row r="91">
          <cell r="B91" t="str">
            <v>29e95ad2-a2ff-4352-aee5-f3271aa92bd4</v>
          </cell>
          <cell r="D91" t="str">
            <v>b246af28-3446-4792-b4f8-6d6c87776af7</v>
          </cell>
        </row>
        <row r="92">
          <cell r="B92" t="str">
            <v>f6c5b9c5-b010-4c97-af45-2be77bf6606e</v>
          </cell>
          <cell r="D92" t="str">
            <v>7425169e-95c5-436c-8fc9-95a546235e14</v>
          </cell>
        </row>
        <row r="93">
          <cell r="B93" t="str">
            <v>ad716185-54f7-4352-98ff-e6836b6021d6</v>
          </cell>
          <cell r="D93" t="str">
            <v>0b0eb7d5-f2dc-42ce-bc26-6bcaf27a797d</v>
          </cell>
        </row>
        <row r="94">
          <cell r="B94" t="str">
            <v>3735a91c-029c-4a08-879c-ad53a8dd4ada</v>
          </cell>
          <cell r="D94" t="str">
            <v>234e52bd-f40c-4920-b414-d3d3b07db3eb</v>
          </cell>
        </row>
        <row r="95">
          <cell r="B95" t="str">
            <v>fef45136-91d4-4e9b-9476-c31deb56c80a</v>
          </cell>
          <cell r="D95" t="str">
            <v>1d0f1ae6-c733-4cbe-821c-8e848c4f136d</v>
          </cell>
        </row>
        <row r="96">
          <cell r="B96" t="str">
            <v>02ac7df9-9d9a-4f66-a124-bb9bf04fbfb4</v>
          </cell>
          <cell r="D96" t="str">
            <v>12aa5fc0-435a-42ac-a8a4-ee4f7c3d661d</v>
          </cell>
        </row>
        <row r="97">
          <cell r="B97" t="str">
            <v>9d6c44d2-8695-4592-bf7e-d882d4cb0e47</v>
          </cell>
          <cell r="D97" t="str">
            <v>42d26fff-2ccb-4908-b81c-0a3c9f5120c8</v>
          </cell>
        </row>
        <row r="98">
          <cell r="B98" t="str">
            <v>ed2eaa3a-90a6-4555-9e24-b8d71fac7b37</v>
          </cell>
          <cell r="D98" t="str">
            <v>57d7cea8-ca0a-4f09-991b-f0254fb056f8</v>
          </cell>
        </row>
        <row r="99">
          <cell r="B99" t="str">
            <v>13b2d866-b8f3-4ebc-a122-13b4cd3cb29b</v>
          </cell>
          <cell r="D99" t="str">
            <v>33c5a6b5-3299-48e9-81b4-0fb5262b43eb</v>
          </cell>
        </row>
        <row r="100">
          <cell r="B100" t="str">
            <v>ea5451fc-13e6-405c-831f-619483cc6958</v>
          </cell>
          <cell r="D100" t="str">
            <v>2da77c71-454d-4884-935b-d162552d11e3</v>
          </cell>
        </row>
        <row r="101">
          <cell r="B101" t="str">
            <v>1ef711bd-99bb-47b5-a0b3-9bbf16a7cecc</v>
          </cell>
          <cell r="D101" t="str">
            <v>fd2fdd4c-826e-4725-ad2e-bea67bb66c24</v>
          </cell>
        </row>
        <row r="102">
          <cell r="B102" t="str">
            <v>ec07276e-499f-45b6-a725-827c6f4c83ef</v>
          </cell>
          <cell r="D102" t="str">
            <v>ca81d465-f4e2-416c-b68e-9d1883d89671</v>
          </cell>
        </row>
        <row r="103">
          <cell r="B103" t="str">
            <v>003e3b8f-aa81-4b68-9266-8b4fccb66e2d</v>
          </cell>
          <cell r="D103" t="str">
            <v>003e3b8f-aa81-4b68-9266-8b4fccb66e2d</v>
          </cell>
        </row>
        <row r="104">
          <cell r="B104" t="str">
            <v>29ee7a57-611f-45e5-ae50-e783abd1f4d4</v>
          </cell>
          <cell r="D104" t="str">
            <v>e65ae86e-022f-40ef-9bdd-116fd56ee3f9</v>
          </cell>
        </row>
        <row r="105">
          <cell r="B105" t="str">
            <v>66f05453-b6bc-4314-b367-132f86703834</v>
          </cell>
          <cell r="D105" t="str">
            <v>c14b6f30-0d87-43e1-adce-92960163e89e</v>
          </cell>
        </row>
        <row r="106">
          <cell r="B106" t="str">
            <v>1f881ac9-83ce-4657-b801-22605053ff57</v>
          </cell>
          <cell r="D106" t="str">
            <v>8f8e4a64-6a00-4638-821b-ed1683fbe52a</v>
          </cell>
        </row>
        <row r="107">
          <cell r="B107" t="str">
            <v>c309c08a-c872-4cfb-8b07-03124b330efc</v>
          </cell>
          <cell r="D107" t="str">
            <v>c9308c6d-8ca9-4ba7-88ab-6781fb358d7d</v>
          </cell>
        </row>
        <row r="108">
          <cell r="B108" t="str">
            <v>36cabedb-da63-428c-956f-599eec2d7da7</v>
          </cell>
          <cell r="D108" t="str">
            <v>98893b46-aab6-43c2-93a2-0a1a68112705</v>
          </cell>
        </row>
        <row r="109">
          <cell r="B109" t="str">
            <v>31d4f295-3a32-4f96-a964-9acda88665bc</v>
          </cell>
          <cell r="D109" t="str">
            <v>a9679729-915a-4733-a324-e855c8b46866</v>
          </cell>
        </row>
        <row r="110">
          <cell r="B110" t="str">
            <v>5b2dc949-d130-4e88-bf26-5e52d113c904</v>
          </cell>
          <cell r="D110" t="str">
            <v>e9f4a02f-219d-4d72-990c-ce0c9d4f704d</v>
          </cell>
        </row>
        <row r="111">
          <cell r="B111" t="str">
            <v>2f3db371-c815-48ae-9e41-4480cf269923</v>
          </cell>
          <cell r="D111" t="str">
            <v>bd302e75-79e7-4be3-95f5-05d069d14c10</v>
          </cell>
        </row>
        <row r="112">
          <cell r="B112" t="str">
            <v>e88d63cd-993e-4979-bc9c-578a40debfd7</v>
          </cell>
          <cell r="D112" t="str">
            <v>28389ce3-9119-4a36-aaeb-0a86f080063c</v>
          </cell>
        </row>
        <row r="113">
          <cell r="B113" t="str">
            <v>c9258108-147f-491f-a42f-cb93485b742e</v>
          </cell>
          <cell r="D113" t="str">
            <v>cb4a4686-856d-46d9-a0ee-8dc3adab6caf</v>
          </cell>
        </row>
        <row r="114">
          <cell r="B114" t="str">
            <v>a799afdc-92f4-482d-82a8-22fce5a892dc</v>
          </cell>
          <cell r="D114" t="str">
            <v>39016563-b88a-48fe-8557-237c4643603c</v>
          </cell>
        </row>
        <row r="115">
          <cell r="B115" t="str">
            <v>3f736956-7b7b-46ab-8a7c-ee6fb4a4fd4e</v>
          </cell>
          <cell r="D115" t="str">
            <v>cd10b1ac-e962-4666-88c0-e7d09e48ffeb</v>
          </cell>
        </row>
        <row r="116">
          <cell r="B116" t="str">
            <v>3891f4d6-7d73-4bc5-82f5-894d3d5a8600</v>
          </cell>
          <cell r="D116" t="str">
            <v>fa79bdfa-0f71-4878-9dcd-a2a4543537d5</v>
          </cell>
        </row>
        <row r="117">
          <cell r="B117" t="str">
            <v>9336c4f3-7c1f-45f8-a247-be297eab26e5</v>
          </cell>
          <cell r="D117" t="str">
            <v>c14ebc53-e394-4bd5-a243-b8f4bf48bb36</v>
          </cell>
        </row>
        <row r="118">
          <cell r="B118" t="str">
            <v>bc694373-3052-4a88-9945-987dea5709b1</v>
          </cell>
          <cell r="D118" t="str">
            <v>1d30bd78-79c5-443d-a6b4-ebbece3e3161</v>
          </cell>
        </row>
        <row r="119">
          <cell r="B119" t="str">
            <v>7d41839e-7414-4973-844f-7b00df9b9869</v>
          </cell>
          <cell r="D119" t="str">
            <v>78e1e266-6441-403e-8f5a-ea7c11165dc7</v>
          </cell>
        </row>
        <row r="120">
          <cell r="B120" t="str">
            <v>f3698925-b15f-4889-8dcc-21eaa05a185b</v>
          </cell>
          <cell r="D120" t="str">
            <v>f13489d8-0c86-4235-8470-f9f8e5139595</v>
          </cell>
        </row>
        <row r="121">
          <cell r="B121" t="str">
            <v>2d5ddf4e-e7c8-4e62-8082-ce4ae5ac750a</v>
          </cell>
          <cell r="D121" t="str">
            <v>a5a352ab-6bc5-497e-be7e-ac057c5c099a</v>
          </cell>
        </row>
        <row r="122">
          <cell r="B122" t="str">
            <v>f5c13f14-4889-4bf4-817f-d4f51e84dd32</v>
          </cell>
          <cell r="D122" t="str">
            <v>f682f635-62f9-4951-a641-3e19ab1d801d</v>
          </cell>
        </row>
        <row r="123">
          <cell r="B123" t="str">
            <v>9270054d-4438-4fb3-8280-c0f746dc4165</v>
          </cell>
          <cell r="D123" t="str">
            <v>d9f50e1c-3d68-42b3-a628-d46a068f15a1</v>
          </cell>
        </row>
        <row r="124">
          <cell r="B124" t="str">
            <v>cb149365-8aea-4249-9951-cf8ab2cf9248</v>
          </cell>
          <cell r="D124" t="str">
            <v>96e72b98-d263-4bbf-aa65-7a0ccf823ab3</v>
          </cell>
        </row>
        <row r="125">
          <cell r="B125" t="str">
            <v>83ef2f28-5fcc-47b6-ac3f-0d0a4e0fd414</v>
          </cell>
          <cell r="D125" t="str">
            <v>57902380-6ce3-4348-bab0-ee84bed398e6</v>
          </cell>
        </row>
        <row r="126">
          <cell r="B126" t="str">
            <v>29ee7a57-611f-45e5-ae50-e783abd1f4d4</v>
          </cell>
          <cell r="D126" t="str">
            <v>e65ae86e-022f-40ef-9bdd-116fd56ee3f9</v>
          </cell>
        </row>
        <row r="127">
          <cell r="B127" t="str">
            <v>90fd1b50-2ae4-4009-abeb-de7f15308a12</v>
          </cell>
          <cell r="D127" t="str">
            <v>3e61ec15-0636-4821-a3de-8ceb780975df</v>
          </cell>
        </row>
        <row r="128">
          <cell r="B128" t="str">
            <v>0c4ad65a-3e68-4585-abbd-490b71e17745</v>
          </cell>
          <cell r="D128" t="str">
            <v>d7bbd710-9080-4c6c-a3bf-02423b37ea7a</v>
          </cell>
        </row>
        <row r="129">
          <cell r="B129" t="str">
            <v>31725355-c6fd-483d-9729-68646b3c18e2</v>
          </cell>
          <cell r="D129" t="str">
            <v>d37977b9-35dd-42ce-a1ea-cf27798bf294</v>
          </cell>
        </row>
        <row r="130">
          <cell r="B130" t="str">
            <v>86f766cc-853c-4724-8255-0e176252a6a8</v>
          </cell>
          <cell r="D130" t="str">
            <v>7750abd8-97f7-4a64-be99-9e451003d7b2</v>
          </cell>
        </row>
        <row r="131">
          <cell r="B131" t="str">
            <v>e9053593-2fc0-482d-8661-3dcb153bccd0</v>
          </cell>
          <cell r="D131" t="str">
            <v>c3ba3041-9993-4316-96de-daab6bebd6dd</v>
          </cell>
        </row>
        <row r="132">
          <cell r="B132" t="str">
            <v>13f4fa2b-ae1f-4f0a-9fab-46ba86587608</v>
          </cell>
          <cell r="D132" t="str">
            <v>ff9fbd5a-ae2a-4870-801a-2495ec6a5066</v>
          </cell>
        </row>
        <row r="133">
          <cell r="B133" t="str">
            <v>9555d632-79ed-4670-85e3-38127fe90da3</v>
          </cell>
          <cell r="D133" t="str">
            <v>e49f94da-62d7-479a-8ffc-e29d07f2a2a6</v>
          </cell>
        </row>
        <row r="134">
          <cell r="B134" t="str">
            <v>cc6843d1-1d94-4d38-8dd6-629d7f56d69d</v>
          </cell>
          <cell r="D134" t="str">
            <v>3be33e9d-15aa-46d4-a105-0a3340b7e6c8</v>
          </cell>
        </row>
        <row r="135">
          <cell r="B135" t="str">
            <v>029b1fbb-f9b7-43f7-8b54-5e9c34ac6d60</v>
          </cell>
          <cell r="D135" t="str">
            <v>6a72dcd7-9e7b-4d1d-8625-70285f5ec878</v>
          </cell>
        </row>
        <row r="136">
          <cell r="B136" t="str">
            <v>f974d7a0-880a-45fd-b85c-16621e3ee985</v>
          </cell>
          <cell r="D136" t="str">
            <v>a1b96073-8f65-4d12-ac1e-524282fa3167</v>
          </cell>
        </row>
        <row r="137">
          <cell r="B137" t="str">
            <v>21948631-c786-44c6-ac99-dee3cf752cbe</v>
          </cell>
          <cell r="D137" t="str">
            <v>9e09f1c1-910f-43ac-b5fd-fe5c80284c62</v>
          </cell>
        </row>
        <row r="138">
          <cell r="B138" t="str">
            <v>b6f24632-44fc-43c8-a42f-5ee53b35fa51</v>
          </cell>
          <cell r="D138" t="str">
            <v>589cf086-c435-4632-850b-37863c554640</v>
          </cell>
        </row>
        <row r="139">
          <cell r="B139" t="str">
            <v>99411fbd-545c-41da-84ea-9471fe17e461</v>
          </cell>
          <cell r="D139" t="str">
            <v>8b4c9b85-e850-45db-83e9-81e8bc66a4cc</v>
          </cell>
        </row>
        <row r="140">
          <cell r="B140" t="str">
            <v>7a4261cf-fe83-48c0-a960-5fc3369251e2</v>
          </cell>
          <cell r="D140" t="str">
            <v>b0a1f27e-203f-4e28-86a7-e32197f9f59d</v>
          </cell>
        </row>
        <row r="141">
          <cell r="B141" t="str">
            <v>c295f3fa-fd99-4840-8c0a-728a509ff132</v>
          </cell>
          <cell r="D141" t="str">
            <v>49a1e798-f159-48ff-9389-4a7158c51332</v>
          </cell>
        </row>
        <row r="142">
          <cell r="B142" t="str">
            <v>c67f0071-649c-4ed2-9baa-21a2209c0534</v>
          </cell>
          <cell r="D142" t="str">
            <v>6b3f1491-7b85-4854-9978-5f52dbb8f5f3</v>
          </cell>
        </row>
        <row r="143">
          <cell r="B143" t="str">
            <v>02fdd367-66b5-45ac-b78e-ff44c45a4905</v>
          </cell>
          <cell r="D143" t="str">
            <v>cbb1f97a-caea-4464-84c5-d7a714830e61</v>
          </cell>
        </row>
        <row r="144">
          <cell r="B144" t="str">
            <v>17620956-6da2-44e2-8b53-3d6dad52172c</v>
          </cell>
          <cell r="D144" t="str">
            <v>f809bfef-9782-4267-8e96-2925ff3914d7</v>
          </cell>
        </row>
        <row r="145">
          <cell r="B145" t="str">
            <v>eaeb6b75-08d4-4521-a4d0-fe7f27d63e71</v>
          </cell>
          <cell r="D145" t="str">
            <v>b9f723a7-c78c-4061-b8a7-bf57ac3d1103</v>
          </cell>
        </row>
        <row r="146">
          <cell r="B146" t="str">
            <v>f1a9c6c5-172e-4f0c-be8a-13bb6118ce63</v>
          </cell>
          <cell r="D146" t="str">
            <v>98e5f283-00e6-49c0-965b-f7d734f2fa49</v>
          </cell>
        </row>
        <row r="147">
          <cell r="B147" t="str">
            <v>d9113846-e366-4026-9d57-0116751f3dc8</v>
          </cell>
          <cell r="D147" t="str">
            <v>526e9298-ad8d-4647-984c-d83912ced51c</v>
          </cell>
        </row>
        <row r="148">
          <cell r="B148" t="str">
            <v>fc0c3bd9-dcc7-47e0-a00e-abb90fdaad2b</v>
          </cell>
          <cell r="D148" t="str">
            <v>5865ab13-0177-4dbf-b4a2-0a2f2e7ea0bc</v>
          </cell>
        </row>
        <row r="149">
          <cell r="B149" t="str">
            <v>9ed27ee0-7447-4324-bb0d-15fe7f804bd4</v>
          </cell>
          <cell r="D149" t="str">
            <v>e2b4f05f-bbf4-4360-b0a6-b3f9afce07ab</v>
          </cell>
        </row>
        <row r="150">
          <cell r="B150" t="str">
            <v>1f3df9d6-8a66-4036-9eda-799e69fb1285</v>
          </cell>
          <cell r="D150" t="str">
            <v>c56f1f76-e1a4-44a6-98ea-51c3e31970d9</v>
          </cell>
        </row>
        <row r="151">
          <cell r="B151" t="str">
            <v>02551529-ad11-4b13-afa8-0852fa9e6fb8</v>
          </cell>
          <cell r="D151" t="str">
            <v>e65c3cbf-42aa-43c5-a373-8555b1b43a31</v>
          </cell>
        </row>
        <row r="152">
          <cell r="B152" t="str">
            <v>2637fd7f-23dc-42df-8ad4-bb5d918f1ed7</v>
          </cell>
          <cell r="D152" t="str">
            <v>2b6f49ed-1a02-4ea5-a595-6b5208e7a641</v>
          </cell>
        </row>
        <row r="153">
          <cell r="B153" t="str">
            <v>3b98f333-5fda-4212-afe5-95c6e6ec8a8a</v>
          </cell>
          <cell r="D153" t="str">
            <v>562368cf-f49f-4549-9e32-86a17572ce9f</v>
          </cell>
        </row>
        <row r="154">
          <cell r="B154" t="str">
            <v>83dd95cf-72b8-49f8-bab2-70299ce78f8f</v>
          </cell>
          <cell r="D154" t="str">
            <v>a6bfff7f-e175-404a-a38f-6df3651af63d</v>
          </cell>
        </row>
        <row r="155">
          <cell r="B155" t="str">
            <v>719c8d7f-d646-482a-8aba-9fb36be64aba</v>
          </cell>
          <cell r="D155" t="str">
            <v>c09ce764-80a2-4742-ae2c-a97605d59e4b</v>
          </cell>
        </row>
        <row r="156">
          <cell r="B156" t="str">
            <v>936658fc-23f2-407d-b46a-0c587a2db36b</v>
          </cell>
          <cell r="D156" t="str">
            <v>bb2d5667-c7b8-4f52-9839-3a93bd6c9d3d</v>
          </cell>
        </row>
        <row r="157">
          <cell r="B157" t="str">
            <v>98cc30dc-2a3f-4407-a7ae-78b8adf0ca99</v>
          </cell>
          <cell r="D157" t="str">
            <v>0a7be90a-f9bd-4fd2-806e-2d6027e16c11</v>
          </cell>
        </row>
        <row r="158">
          <cell r="B158" t="str">
            <v>2740545c-e39e-4a47-ad18-106294619dde</v>
          </cell>
          <cell r="D158" t="str">
            <v>2a036671-a28c-4435-8c35-06607903632a</v>
          </cell>
        </row>
        <row r="159">
          <cell r="B159" t="str">
            <v>8fd455e3-6890-46f6-9453-4a0474e3be25</v>
          </cell>
          <cell r="D159" t="str">
            <v>c44ac23b-72f1-4bea-b760-41d842574d1f</v>
          </cell>
        </row>
        <row r="160">
          <cell r="B160" t="str">
            <v>a580ad02-88ce-458d-a518-e3f3728a7b3e</v>
          </cell>
          <cell r="D160" t="str">
            <v>80e286f2-bc66-4e4a-a973-6ae3caf05674</v>
          </cell>
        </row>
        <row r="161">
          <cell r="B161" t="str">
            <v>937227f8-676c-4b3a-8d78-b52588c637f3</v>
          </cell>
          <cell r="D161" t="str">
            <v>0baa0225-b31b-44da-9a28-c341876ae43e</v>
          </cell>
        </row>
        <row r="162">
          <cell r="B162" t="str">
            <v>0dfc2951-4bcf-4e30-a0eb-471254594111</v>
          </cell>
          <cell r="D162" t="str">
            <v>fd5e08aa-6957-4520-b847-80ed3d29a8de</v>
          </cell>
        </row>
        <row r="163">
          <cell r="B163" t="str">
            <v>57d16c06-44f1-414d-a87a-351a3e2958d6</v>
          </cell>
          <cell r="D163" t="str">
            <v>57d16c06-44f1-414d-a87a-351a3e2958d6</v>
          </cell>
        </row>
        <row r="164">
          <cell r="B164" t="str">
            <v>cc71450d-96a6-4833-9be7-a0ab347cf8a8</v>
          </cell>
          <cell r="D164" t="str">
            <v>86ebb7df-82c9-4408-8891-02e5fd922931</v>
          </cell>
        </row>
        <row r="165">
          <cell r="B165" t="str">
            <v>0c7ff3cf-9625-4b20-b349-133ef90aaf24</v>
          </cell>
          <cell r="D165" t="str">
            <v>b146bfec-4154-4436-a5ba-36d300fefc64</v>
          </cell>
        </row>
        <row r="166">
          <cell r="B166" t="str">
            <v>935b18b1-b9a8-43ea-947d-ac9b8e8396c7</v>
          </cell>
          <cell r="D166" t="str">
            <v>82775fe8-9c9a-476b-a678-6a1b6efaca25</v>
          </cell>
        </row>
        <row r="167">
          <cell r="B167" t="str">
            <v>4706e237-1f9f-47fa-87c3-0c81fcf23b8b</v>
          </cell>
          <cell r="D167" t="str">
            <v>33213e8a-921d-4ca6-a050-b09d9bb5bf8a</v>
          </cell>
        </row>
        <row r="168">
          <cell r="B168" t="str">
            <v>3047aad0-4e2f-49c8-8136-a5dfb32a394a</v>
          </cell>
          <cell r="D168" t="str">
            <v>c1b130e9-ed21-4e04-9e7e-9f6f779e36cc</v>
          </cell>
        </row>
        <row r="169">
          <cell r="B169" t="str">
            <v>e088d256-152e-478d-8ee1-ca460974a611</v>
          </cell>
          <cell r="D169" t="str">
            <v>05dbeff8-ef22-4db7-b87c-0deb394f65f1</v>
          </cell>
        </row>
        <row r="170">
          <cell r="B170" t="str">
            <v>d18e3541-cb85-4c3e-b7e1-4a12022f2c5d</v>
          </cell>
          <cell r="D170" t="str">
            <v>afc90605-2a0d-4ca0-94b8-b084f937aa97</v>
          </cell>
        </row>
        <row r="171">
          <cell r="B171" t="str">
            <v>f6118623-d928-4da8-9649-361f45d0a0af</v>
          </cell>
          <cell r="D171" t="str">
            <v>f31d55f8-8ba0-4ecc-ac7c-2176dbe27b07</v>
          </cell>
        </row>
        <row r="172">
          <cell r="B172" t="str">
            <v>1c1af1d5-6f8c-47d6-93d8-df00a85b8916</v>
          </cell>
          <cell r="D172" t="str">
            <v>cdb62608-6381-4d4e-975b-46b370c250be</v>
          </cell>
        </row>
        <row r="173">
          <cell r="B173" t="str">
            <v>76a74ad4-b2b9-4683-a6a1-5e54311d73c9</v>
          </cell>
          <cell r="D173" t="str">
            <v>76a74ad4-b2b9-4683-a6a1-5e54311d73c9</v>
          </cell>
        </row>
        <row r="174">
          <cell r="B174" t="str">
            <v>1ac8e940-8e0e-4ba1-aa2a-5e166e1b53cf</v>
          </cell>
          <cell r="D174" t="str">
            <v>1ac8e940-8e0e-4ba1-aa2a-5e166e1b53cf</v>
          </cell>
        </row>
        <row r="175">
          <cell r="B175" t="str">
            <v>01189daf-6c6f-4300-a8f9-9c5b5f3d21c0</v>
          </cell>
          <cell r="D175" t="str">
            <v>baba564a-5be6-4710-b149-89afe0b5a44a</v>
          </cell>
        </row>
        <row r="176">
          <cell r="B176" t="str">
            <v>32eded19-1f8a-47e5-8ac5-ecd91fd1a719</v>
          </cell>
          <cell r="D176" t="str">
            <v>32eded19-1f8a-47e5-8ac5-ecd91fd1a719</v>
          </cell>
        </row>
        <row r="177">
          <cell r="B177" t="str">
            <v>01f70625-2d69-4e4f-a0d3-b9ce9323bd5b</v>
          </cell>
          <cell r="D177" t="str">
            <v>d47f566f-281a-429b-a3d7-953f8e056f73</v>
          </cell>
        </row>
        <row r="178">
          <cell r="B178" t="str">
            <v>2ef3c4da-61d2-4ba3-a7d5-d86e319236be</v>
          </cell>
          <cell r="D178" t="str">
            <v>0a976c86-7b23-4fcc-90e0-216310e54d25</v>
          </cell>
        </row>
        <row r="179">
          <cell r="B179" t="str">
            <v>8e3b4d38-feea-41c6-819e-5f63407f7ca8</v>
          </cell>
          <cell r="D179" t="str">
            <v>dea0d657-508d-486c-8437-7f54c11cd575</v>
          </cell>
        </row>
        <row r="180">
          <cell r="B180" t="str">
            <v>e7631e06-aa76-4d99-b4f6-dbf12d9481a8</v>
          </cell>
          <cell r="D180" t="str">
            <v>c4dc94ca-bea4-4327-aa36-c9dc2dab1e21</v>
          </cell>
        </row>
        <row r="181">
          <cell r="B181" t="str">
            <v>e352d439-2b7d-418c-a375-d3d9aa9bea1e</v>
          </cell>
          <cell r="D181" t="str">
            <v>51ab4940-ce4c-4381-8906-e25ac1746781</v>
          </cell>
        </row>
        <row r="182">
          <cell r="B182" t="str">
            <v>d52df895-55ff-4337-bd9f-fa7207a1c38e</v>
          </cell>
          <cell r="D182" t="str">
            <v>c06fcd63-1501-4f1b-85c1-3cc7ec5a96cf</v>
          </cell>
        </row>
        <row r="183">
          <cell r="B183" t="str">
            <v>ba74dc8a-6a44-49d9-8687-e9050f8a5f60</v>
          </cell>
          <cell r="D183" t="str">
            <v>c3efa2be-7478-4850-8b50-27453ee982ff</v>
          </cell>
        </row>
        <row r="184">
          <cell r="B184" t="str">
            <v>ff4f2c6e-fb73-49d2-a8c1-f12e36fe8657</v>
          </cell>
          <cell r="D184" t="str">
            <v>68498cd4-87fc-4290-a051-49c2ffa0f3f0</v>
          </cell>
        </row>
        <row r="185">
          <cell r="B185" t="str">
            <v>2740545c-e39e-4a47-ad18-106294619dde</v>
          </cell>
          <cell r="D185" t="str">
            <v>2a036671-a28c-4435-8c35-06607903632a</v>
          </cell>
        </row>
        <row r="186">
          <cell r="B186" t="str">
            <v>b095587d-5561-4a3b-ae25-35e4cb1980e5</v>
          </cell>
          <cell r="D186" t="str">
            <v>e7ed0c43-e01c-499a-88ac-bcd56033ccba</v>
          </cell>
        </row>
        <row r="187">
          <cell r="B187" t="str">
            <v>723c463a-9ed7-43e9-98ce-7902e643fda2</v>
          </cell>
          <cell r="D187" t="str">
            <v>78786c30-828a-4cf5-9cf8-7b17e54dcc93</v>
          </cell>
        </row>
        <row r="188">
          <cell r="B188" t="str">
            <v>d767c7d5-d4c3-474c-b55e-680937bbc6ef</v>
          </cell>
          <cell r="D188" t="str">
            <v>80c1ee2b-7eeb-4ff2-bd3f-f8e82d634587</v>
          </cell>
        </row>
        <row r="189">
          <cell r="B189" t="str">
            <v>a7f85d66-872d-41ce-b8bc-c518690c751a</v>
          </cell>
          <cell r="D189" t="str">
            <v xml:space="preserve"> 4946b964-1468-435a-b87d-674768d75c2c</v>
          </cell>
        </row>
        <row r="190">
          <cell r="B190" t="str">
            <v>78df6019-6221-4fdb-a197-c24888642d44</v>
          </cell>
          <cell r="D190" t="str">
            <v>0e61e70f-0b6d-4e1d-aa16-b4ec7518074d</v>
          </cell>
        </row>
        <row r="191">
          <cell r="B191" t="str">
            <v>1a5b3c03-8784-45a8-9250-6b8de645b58e</v>
          </cell>
          <cell r="D191" t="str">
            <v>e0d0e22b-9664-467d-b887-f7ed55666d1f</v>
          </cell>
        </row>
        <row r="192">
          <cell r="B192" t="str">
            <v>be1158b5-c4df-48ea-b19a-3910d1464900</v>
          </cell>
        </row>
        <row r="193">
          <cell r="B193" t="str">
            <v>12f2186f-4fcb-4a00-8390-9dacf7ddfd87</v>
          </cell>
        </row>
        <row r="194">
          <cell r="B194" t="str">
            <v>bbf480c6-3ea8-4b6c-be0d-8ffd3fd3fe48</v>
          </cell>
        </row>
        <row r="195">
          <cell r="B195" t="str">
            <v>09c84861-5f93-4295-a103-046d3341cee9</v>
          </cell>
        </row>
        <row r="196">
          <cell r="B196" t="str">
            <v>747be69f-7b13-4a37-b155-ec505995767a</v>
          </cell>
        </row>
        <row r="197">
          <cell r="B197" t="str">
            <v>5c3b9f89-0e2f-407a-8da0-a3a191a4d4cf</v>
          </cell>
        </row>
        <row r="198">
          <cell r="B198" t="str">
            <v>1f814373-19aa-4f26-9277-9b4780b1e549</v>
          </cell>
        </row>
        <row r="199">
          <cell r="B199" t="str">
            <v>8cbd6f9c-7c49-480e-a4b2-f86b8f73f010</v>
          </cell>
        </row>
        <row r="200">
          <cell r="B200" t="str">
            <v>e75d1518-8bbb-47f6-8273-22ed681b1857</v>
          </cell>
        </row>
        <row r="201">
          <cell r="B201" t="str">
            <v>9bbd2eb0-2b86-4a39-8981-adc088e892a5</v>
          </cell>
        </row>
        <row r="202">
          <cell r="B202" t="str">
            <v>becf6572-6652-423f-9d6e-b3514bd90fa7</v>
          </cell>
        </row>
        <row r="203">
          <cell r="B203" t="str">
            <v>2bc8771f-a618-433d-ae3a-b22a831ad9cc</v>
          </cell>
        </row>
        <row r="204">
          <cell r="B204" t="str">
            <v>dc2c5e24-7861-4bde-8810-fe935fb8c1cd</v>
          </cell>
        </row>
        <row r="205">
          <cell r="B205" t="str">
            <v>1fa25ed5-6f6f-471d-874b-674d74f03cf0</v>
          </cell>
        </row>
        <row r="206">
          <cell r="B206" t="str">
            <v>5f938345-0fb7-41ae-8679-31f991f66d23</v>
          </cell>
        </row>
        <row r="207">
          <cell r="B207" t="str">
            <v>6dc40cea-792a-42af-8a87-62990676047d</v>
          </cell>
        </row>
        <row r="208">
          <cell r="B208" t="str">
            <v>52772669-ba7e-4451-b9f2-51a02147d660</v>
          </cell>
        </row>
        <row r="209">
          <cell r="B209" t="str">
            <v>0442c55f-8353-46fe-ab6b-0f752126c420</v>
          </cell>
        </row>
        <row r="210">
          <cell r="B210" t="str">
            <v>be6f2b80-4d96-45bf-a425-25431055ed38</v>
          </cell>
          <cell r="D210" t="str">
            <v>36eaffa4-37e9-4fa9-8734-644b50a18ed3</v>
          </cell>
        </row>
        <row r="211">
          <cell r="B211" t="str">
            <v>153eb09a-5a60-454d-ad1b-7f9060f601ac</v>
          </cell>
        </row>
        <row r="212">
          <cell r="B212" t="str">
            <v>03a5c8b8-76f4-46f2-b34b-10eaa65eee46</v>
          </cell>
        </row>
        <row r="213">
          <cell r="B213" t="str">
            <v>2366443f-ab2f-42b9-95c4-d8c5a34bcd9d</v>
          </cell>
        </row>
        <row r="214">
          <cell r="B214" t="str">
            <v>4e08f6ea-80d4-48f4-a544-9385b0a8a2a6</v>
          </cell>
        </row>
        <row r="215">
          <cell r="B215" t="str">
            <v>92634be8-3b74-45a6-b2a5-7cc74b745c8f</v>
          </cell>
          <cell r="D215" t="str">
            <v>310a279b-7d01-4825-bd79-7de3bc6310e3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TF Portfolio"/>
      <sheetName val="Guidelines"/>
      <sheetName val="ILS"/>
      <sheetName val="Broker"/>
      <sheetName val="AK"/>
    </sheetNames>
    <sheetDataSet>
      <sheetData sheetId="0">
        <row r="19">
          <cell r="H19" t="str">
            <v>613752AE4</v>
          </cell>
          <cell r="I19" t="str">
            <v>Inigo Insurance</v>
          </cell>
          <cell r="J19" t="str">
            <v>Occurrence</v>
          </cell>
          <cell r="K19" t="str">
            <v>Industry Loss Index</v>
          </cell>
          <cell r="L19" t="str">
            <v>1/29/2025</v>
          </cell>
          <cell r="M19" t="str">
            <v>4/7/2028</v>
          </cell>
          <cell r="N19">
            <v>30000000</v>
          </cell>
        </row>
        <row r="20">
          <cell r="H20" t="str">
            <v>096003AA6</v>
          </cell>
          <cell r="I20" t="str">
            <v>NC Farm Bureau</v>
          </cell>
          <cell r="J20" t="str">
            <v>Occurrence</v>
          </cell>
          <cell r="K20" t="str">
            <v>Indemnity</v>
          </cell>
          <cell r="L20" t="str">
            <v>11/22/2023</v>
          </cell>
          <cell r="M20" t="str">
            <v>1/8/2027</v>
          </cell>
          <cell r="N20">
            <v>200000000</v>
          </cell>
        </row>
        <row r="21">
          <cell r="H21" t="str">
            <v>89009PAB4</v>
          </cell>
          <cell r="I21" t="str">
            <v>Mitsui Sumitomo</v>
          </cell>
          <cell r="J21" t="str">
            <v>Occurrence</v>
          </cell>
          <cell r="K21" t="str">
            <v>Indemnity</v>
          </cell>
          <cell r="L21" t="str">
            <v>3/30/2022</v>
          </cell>
          <cell r="M21" t="str">
            <v>4/7/2026</v>
          </cell>
          <cell r="N21">
            <v>120000000</v>
          </cell>
        </row>
        <row r="22">
          <cell r="H22" t="str">
            <v>90323WAP5</v>
          </cell>
          <cell r="I22" t="str">
            <v>CEA</v>
          </cell>
          <cell r="J22" t="str">
            <v>Aggregate</v>
          </cell>
          <cell r="K22" t="str">
            <v>Indemnity</v>
          </cell>
          <cell r="L22" t="str">
            <v>12/7/2023</v>
          </cell>
          <cell r="M22" t="str">
            <v>12/7/2026</v>
          </cell>
          <cell r="N22">
            <v>300000000</v>
          </cell>
        </row>
        <row r="23">
          <cell r="H23" t="str">
            <v>92335TAD1</v>
          </cell>
          <cell r="I23" t="str">
            <v>GeoVera</v>
          </cell>
          <cell r="J23" t="str">
            <v>Occurrence</v>
          </cell>
          <cell r="K23" t="str">
            <v>Indemnity</v>
          </cell>
          <cell r="L23" t="str">
            <v>2/5/2025</v>
          </cell>
          <cell r="M23" t="str">
            <v>3/8/2028</v>
          </cell>
          <cell r="N23">
            <v>300000000</v>
          </cell>
        </row>
        <row r="24">
          <cell r="H24" t="str">
            <v>541917AA8</v>
          </cell>
          <cell r="I24" t="str">
            <v>Beazley</v>
          </cell>
          <cell r="J24" t="str">
            <v>Occurrence</v>
          </cell>
          <cell r="K24" t="str">
            <v>Indemnity</v>
          </cell>
          <cell r="L24" t="str">
            <v>12/23/2024</v>
          </cell>
          <cell r="M24" t="str">
            <v>4/6/2028</v>
          </cell>
          <cell r="N24">
            <v>200000000</v>
          </cell>
        </row>
        <row r="25">
          <cell r="H25" t="str">
            <v>33774EAA2</v>
          </cell>
          <cell r="I25" t="str">
            <v>Texaf Farm Bureau</v>
          </cell>
          <cell r="J25" t="str">
            <v>Occurrence</v>
          </cell>
          <cell r="K25" t="str">
            <v>Indemnity</v>
          </cell>
          <cell r="L25" t="str">
            <v>1/9/2024</v>
          </cell>
          <cell r="M25" t="str">
            <v>1/8/2027</v>
          </cell>
          <cell r="N25">
            <v>255000000</v>
          </cell>
        </row>
        <row r="26">
          <cell r="H26" t="str">
            <v>05826BAB2</v>
          </cell>
          <cell r="I26" t="str">
            <v>Vermont Mutual</v>
          </cell>
          <cell r="J26" t="str">
            <v>Occurrence</v>
          </cell>
          <cell r="K26" t="str">
            <v>Indemnity</v>
          </cell>
          <cell r="L26" t="str">
            <v>6/28/2023</v>
          </cell>
          <cell r="M26" t="str">
            <v>7/7/2027</v>
          </cell>
          <cell r="N26">
            <v>100000000</v>
          </cell>
        </row>
        <row r="27">
          <cell r="H27" t="str">
            <v>80001QAA1</v>
          </cell>
          <cell r="I27" t="str">
            <v>AllState</v>
          </cell>
          <cell r="J27" t="str">
            <v>Occurrence</v>
          </cell>
          <cell r="K27" t="str">
            <v>Indemnity</v>
          </cell>
          <cell r="L27" t="str">
            <v>3/31/2023</v>
          </cell>
          <cell r="M27" t="str">
            <v>4/7/2027</v>
          </cell>
          <cell r="N27">
            <v>100000000</v>
          </cell>
        </row>
        <row r="28">
          <cell r="H28" t="str">
            <v>574591AA1</v>
          </cell>
          <cell r="I28" t="str">
            <v>Talanx AG (Via Hannover Re)</v>
          </cell>
          <cell r="J28" t="str">
            <v>Occurrence</v>
          </cell>
          <cell r="K28" t="str">
            <v>Parametric</v>
          </cell>
          <cell r="L28" t="str">
            <v>12/4/2024</v>
          </cell>
          <cell r="M28" t="str">
            <v>1/10/2028</v>
          </cell>
          <cell r="N28">
            <v>100000000</v>
          </cell>
        </row>
        <row r="29">
          <cell r="H29" t="str">
            <v>36779CAN6</v>
          </cell>
          <cell r="I29" t="str">
            <v>SageSure</v>
          </cell>
          <cell r="J29" t="str">
            <v>Occ (2nd event)</v>
          </cell>
          <cell r="K29" t="str">
            <v>Indemnity</v>
          </cell>
          <cell r="L29" t="str">
            <v>2/27/2025</v>
          </cell>
          <cell r="M29" t="str">
            <v>7/7/2027</v>
          </cell>
          <cell r="N29">
            <v>150000000</v>
          </cell>
        </row>
        <row r="30">
          <cell r="H30" t="str">
            <v>74639NAC7</v>
          </cell>
          <cell r="I30" t="str">
            <v>Slide</v>
          </cell>
          <cell r="J30" t="str">
            <v>Occurrence</v>
          </cell>
          <cell r="K30" t="str">
            <v>Indemnity</v>
          </cell>
          <cell r="L30" t="str">
            <v>4/9/2024</v>
          </cell>
          <cell r="M30" t="str">
            <v>6/7/2027</v>
          </cell>
          <cell r="N30">
            <v>210000000</v>
          </cell>
        </row>
        <row r="31">
          <cell r="H31" t="str">
            <v>03851YAA7</v>
          </cell>
          <cell r="I31" t="str">
            <v>Brookfield Property</v>
          </cell>
          <cell r="J31" t="str">
            <v>Occurrence</v>
          </cell>
          <cell r="K31" t="str">
            <v>Indemnity</v>
          </cell>
          <cell r="L31" t="str">
            <v>3/28/2024</v>
          </cell>
          <cell r="M31" t="str">
            <v>4/7/2027</v>
          </cell>
          <cell r="N31">
            <v>100000000</v>
          </cell>
        </row>
        <row r="32">
          <cell r="H32" t="str">
            <v>00485YAD1</v>
          </cell>
          <cell r="I32" t="str">
            <v>Oak Tree Insurance</v>
          </cell>
          <cell r="J32" t="str">
            <v>Occurrence</v>
          </cell>
          <cell r="K32" t="str">
            <v>Parametric</v>
          </cell>
          <cell r="L32" t="str">
            <v>6/27/2023</v>
          </cell>
          <cell r="M32" t="str">
            <v>11/6/2026</v>
          </cell>
          <cell r="N32">
            <v>150000000</v>
          </cell>
        </row>
        <row r="33">
          <cell r="H33" t="str">
            <v>349939AA6</v>
          </cell>
          <cell r="I33" t="str">
            <v>Hartford</v>
          </cell>
          <cell r="J33" t="str">
            <v>Occurrence</v>
          </cell>
          <cell r="K33" t="str">
            <v>Indemnity</v>
          </cell>
          <cell r="L33" t="str">
            <v>12/27/2023</v>
          </cell>
          <cell r="M33" t="str">
            <v>1/8/2027</v>
          </cell>
          <cell r="N33">
            <v>200000000</v>
          </cell>
        </row>
        <row r="34">
          <cell r="H34" t="str">
            <v>203235AB2</v>
          </cell>
          <cell r="I34" t="str">
            <v>Hannover Insurance</v>
          </cell>
          <cell r="J34" t="str">
            <v>Occurrence</v>
          </cell>
          <cell r="K34" t="str">
            <v>Indemnity</v>
          </cell>
          <cell r="L34" t="str">
            <v>6/21/2023</v>
          </cell>
          <cell r="M34" t="str">
            <v>7/8/2026</v>
          </cell>
          <cell r="N34">
            <v>150000000</v>
          </cell>
        </row>
        <row r="35">
          <cell r="H35" t="str">
            <v>982533AB7</v>
          </cell>
          <cell r="I35" t="str">
            <v>Gryphon Mutual (Blackstone)</v>
          </cell>
          <cell r="J35" t="str">
            <v>Occurrence</v>
          </cell>
          <cell r="K35" t="str">
            <v>Indemnity</v>
          </cell>
          <cell r="L35" t="str">
            <v>7/19/2023</v>
          </cell>
          <cell r="M35" t="str">
            <v>8/7/2026</v>
          </cell>
          <cell r="N35">
            <v>100000000</v>
          </cell>
        </row>
        <row r="36">
          <cell r="H36" t="str">
            <v>159873AA6</v>
          </cell>
          <cell r="I36" t="str">
            <v xml:space="preserve">American European Insurance </v>
          </cell>
          <cell r="J36" t="str">
            <v>Occurrence</v>
          </cell>
          <cell r="K36" t="str">
            <v>Indemnity</v>
          </cell>
          <cell r="L36" t="str">
            <v>4/11/2024</v>
          </cell>
          <cell r="M36" t="str">
            <v>5/10/2027</v>
          </cell>
          <cell r="N36">
            <v>125000000</v>
          </cell>
        </row>
        <row r="37">
          <cell r="H37" t="str">
            <v>975660AC5</v>
          </cell>
          <cell r="I37" t="str">
            <v>Tower Hill Ins Exch</v>
          </cell>
          <cell r="J37" t="str">
            <v>Occurrence</v>
          </cell>
          <cell r="K37" t="str">
            <v>Indemnity</v>
          </cell>
          <cell r="L37" t="str">
            <v>2/13/2025</v>
          </cell>
          <cell r="M37" t="str">
            <v>2/21/2028</v>
          </cell>
          <cell r="N37">
            <v>175000000</v>
          </cell>
        </row>
        <row r="38">
          <cell r="H38" t="str">
            <v>89141WAF9</v>
          </cell>
          <cell r="I38" t="str">
            <v>Palomar Specialty</v>
          </cell>
          <cell r="J38" t="str">
            <v>Occurrence</v>
          </cell>
          <cell r="K38" t="str">
            <v>Indemnity</v>
          </cell>
          <cell r="L38" t="str">
            <v>5/25/2023</v>
          </cell>
          <cell r="M38" t="str">
            <v>6/5/2026</v>
          </cell>
          <cell r="N38">
            <v>150000000</v>
          </cell>
        </row>
        <row r="39">
          <cell r="H39" t="str">
            <v>532242AA2</v>
          </cell>
          <cell r="I39" t="str">
            <v>FL Citizens</v>
          </cell>
          <cell r="J39" t="str">
            <v>Aggregate</v>
          </cell>
          <cell r="K39" t="str">
            <v>Industry Loss Index</v>
          </cell>
          <cell r="L39" t="str">
            <v>3/24/2023</v>
          </cell>
          <cell r="M39" t="str">
            <v>3/31/2026</v>
          </cell>
          <cell r="N39">
            <v>500000000</v>
          </cell>
        </row>
        <row r="40">
          <cell r="H40" t="str">
            <v>011395AJ9</v>
          </cell>
          <cell r="I40" t="str">
            <v>TWIA</v>
          </cell>
          <cell r="J40" t="str">
            <v>Aggregate</v>
          </cell>
          <cell r="K40" t="str">
            <v>Indemnity</v>
          </cell>
          <cell r="L40" t="str">
            <v>4/19/2023</v>
          </cell>
          <cell r="M40" t="str">
            <v>6/7/2026</v>
          </cell>
          <cell r="N40">
            <v>500000000</v>
          </cell>
        </row>
        <row r="41">
          <cell r="H41" t="str">
            <v>07304LAA9</v>
          </cell>
          <cell r="I41" t="str">
            <v>LA Citizens</v>
          </cell>
          <cell r="J41" t="str">
            <v>Occurrence</v>
          </cell>
          <cell r="K41" t="str">
            <v>Indemnity</v>
          </cell>
          <cell r="L41" t="str">
            <v>5/18/2023</v>
          </cell>
          <cell r="M41" t="str">
            <v>5/26/2026</v>
          </cell>
          <cell r="N41">
            <v>120000000</v>
          </cell>
        </row>
        <row r="42">
          <cell r="H42" t="str">
            <v>69664FAA6</v>
          </cell>
          <cell r="I42" t="str">
            <v>FL Peninsula</v>
          </cell>
          <cell r="J42" t="str">
            <v>Occurrence</v>
          </cell>
          <cell r="K42" t="str">
            <v>Indemnity</v>
          </cell>
          <cell r="L42" t="str">
            <v>4/11/2024</v>
          </cell>
          <cell r="M42" t="str">
            <v>6/7/2027</v>
          </cell>
          <cell r="N42">
            <v>150000000</v>
          </cell>
        </row>
        <row r="43">
          <cell r="H43" t="str">
            <v>888329AC3</v>
          </cell>
          <cell r="I43" t="str">
            <v>Ariel Re</v>
          </cell>
          <cell r="J43" t="str">
            <v>Aggregate</v>
          </cell>
          <cell r="K43" t="str">
            <v>Industry Loss Index</v>
          </cell>
          <cell r="L43" t="str">
            <v>2/23/2023</v>
          </cell>
          <cell r="M43" t="str">
            <v>2/27/2026</v>
          </cell>
          <cell r="N43">
            <v>75000000</v>
          </cell>
        </row>
        <row r="44">
          <cell r="H44" t="str">
            <v>54143LAB4</v>
          </cell>
          <cell r="I44" t="str">
            <v>Prologis</v>
          </cell>
          <cell r="J44" t="str">
            <v>Occurrence</v>
          </cell>
          <cell r="K44" t="str">
            <v>Indemnity</v>
          </cell>
          <cell r="L44" t="str">
            <v>10/28/2024</v>
          </cell>
          <cell r="M44" t="str">
            <v>12/21/2027</v>
          </cell>
          <cell r="N44">
            <v>95000000</v>
          </cell>
        </row>
        <row r="45">
          <cell r="H45" t="str">
            <v>62426LAA7</v>
          </cell>
          <cell r="I45" t="str">
            <v>Spinnaker Insurance</v>
          </cell>
          <cell r="J45" t="str">
            <v>Occurrence</v>
          </cell>
          <cell r="K45" t="str">
            <v>Indemnity</v>
          </cell>
          <cell r="L45" t="str">
            <v>5/31/2023</v>
          </cell>
          <cell r="M45" t="str">
            <v>6/5/2026</v>
          </cell>
          <cell r="N45">
            <v>110000000</v>
          </cell>
        </row>
        <row r="46">
          <cell r="H46" t="str">
            <v>349939AA6</v>
          </cell>
          <cell r="I46" t="str">
            <v>Hartford</v>
          </cell>
          <cell r="J46" t="str">
            <v>Occurrence</v>
          </cell>
          <cell r="K46" t="str">
            <v>Indemnity</v>
          </cell>
          <cell r="L46" t="str">
            <v>12/27/2023</v>
          </cell>
          <cell r="M46" t="str">
            <v>1/8/2027</v>
          </cell>
          <cell r="N46">
            <v>200000000</v>
          </cell>
        </row>
        <row r="47">
          <cell r="H47" t="str">
            <v>92335TAA7</v>
          </cell>
          <cell r="I47" t="str">
            <v>GeoVera</v>
          </cell>
          <cell r="J47" t="str">
            <v>Occurrence</v>
          </cell>
          <cell r="K47" t="str">
            <v>Indemnity</v>
          </cell>
          <cell r="L47" t="str">
            <v>12/20/2022</v>
          </cell>
          <cell r="M47" t="str">
            <v>3/9/2026</v>
          </cell>
          <cell r="N47">
            <v>75000000</v>
          </cell>
        </row>
        <row r="48">
          <cell r="H48" t="str">
            <v>89141WAG7</v>
          </cell>
          <cell r="I48" t="str">
            <v>Palomar Specialty</v>
          </cell>
          <cell r="J48" t="str">
            <v>Occurrence</v>
          </cell>
          <cell r="K48" t="str">
            <v>Indemnity</v>
          </cell>
          <cell r="L48" t="str">
            <v>5/25/2023</v>
          </cell>
          <cell r="M48" t="str">
            <v>6/5/2026</v>
          </cell>
          <cell r="N48">
            <v>50000000</v>
          </cell>
        </row>
        <row r="49">
          <cell r="H49" t="str">
            <v>177510AM6</v>
          </cell>
          <cell r="I49" t="str">
            <v>Heritage</v>
          </cell>
          <cell r="J49" t="str">
            <v>Occurrence</v>
          </cell>
          <cell r="K49" t="str">
            <v>Indemnity</v>
          </cell>
          <cell r="L49" t="str">
            <v>5/11/2023</v>
          </cell>
          <cell r="M49" t="str">
            <v>6/7/2026</v>
          </cell>
          <cell r="N49">
            <v>115000000</v>
          </cell>
        </row>
        <row r="50">
          <cell r="H50" t="str">
            <v>74639NAB9</v>
          </cell>
          <cell r="I50" t="str">
            <v>Slide</v>
          </cell>
          <cell r="J50" t="str">
            <v>Occurrence</v>
          </cell>
          <cell r="K50" t="str">
            <v>Indemnity</v>
          </cell>
          <cell r="L50" t="str">
            <v>7/5/2023</v>
          </cell>
          <cell r="M50" t="str">
            <v>6/5/2026</v>
          </cell>
          <cell r="N50">
            <v>100000000</v>
          </cell>
        </row>
      </sheetData>
      <sheetData sheetId="1"/>
      <sheetData sheetId="2">
        <row r="1">
          <cell r="A1" t="str">
            <v>CusipID</v>
          </cell>
          <cell r="B1" t="str">
            <v>ILSName</v>
          </cell>
          <cell r="C1" t="str">
            <v>ILSInstrumentID</v>
          </cell>
          <cell r="D1" t="str">
            <v>AcctGrpId</v>
          </cell>
          <cell r="E1" t="str">
            <v>InceptionDate</v>
          </cell>
          <cell r="F1" t="str">
            <v>ExpirationDate</v>
          </cell>
          <cell r="G1" t="str">
            <v>PrincipalAmount</v>
          </cell>
          <cell r="H1" t="str">
            <v>Issuer_Name</v>
          </cell>
          <cell r="I1" t="str">
            <v>CoveredPerils</v>
          </cell>
          <cell r="J1" t="str">
            <v>OccurrenceLimit</v>
          </cell>
          <cell r="K1" t="str">
            <v>AggregateLimit</v>
          </cell>
        </row>
        <row r="2">
          <cell r="A2" t="str">
            <v>42703VAM5</v>
          </cell>
          <cell r="B2" t="str">
            <v>CB-Herbie Re Ltd. Series 2025-1 Class A LMF USSCS</v>
          </cell>
          <cell r="C2">
            <v>332</v>
          </cell>
          <cell r="D2">
            <v>332</v>
          </cell>
          <cell r="E2">
            <v>45804</v>
          </cell>
          <cell r="F2">
            <v>46538</v>
          </cell>
          <cell r="G2">
            <v>90000000</v>
          </cell>
          <cell r="H2" t="str">
            <v>Herbie Re Ltd.</v>
          </cell>
          <cell r="I2" t="str">
            <v>EQ / North America, Australasia, Japan, Italy, Turkey ; NS / North America, Australia, Japan ; EW / Europe ; Other Wind / U.S., Canada ; WF / U.S.</v>
          </cell>
          <cell r="K2">
            <v>30000000000</v>
          </cell>
        </row>
        <row r="3">
          <cell r="A3" t="str">
            <v>33975CAP0</v>
          </cell>
          <cell r="B3" t="str">
            <v>CB-FloodSmart Re Ltd. Series 2024-1 Class A Reset 2025_wLMF</v>
          </cell>
          <cell r="C3">
            <v>333</v>
          </cell>
          <cell r="D3">
            <v>333</v>
          </cell>
          <cell r="E3">
            <v>45359</v>
          </cell>
          <cell r="F3">
            <v>46453</v>
          </cell>
          <cell r="G3">
            <v>475000000</v>
          </cell>
          <cell r="H3" t="str">
            <v>FloodSmart Re Ltd.</v>
          </cell>
          <cell r="I3" t="str">
            <v>Flood / U.S., Puerto Rico, U.S. VI</v>
          </cell>
          <cell r="J3">
            <v>0</v>
          </cell>
          <cell r="K3">
            <v>2000000000</v>
          </cell>
        </row>
        <row r="4">
          <cell r="A4" t="str">
            <v>58320RAA9</v>
          </cell>
          <cell r="B4" t="str">
            <v>CB-Meadows Ltd. Series 2025-1 Class A</v>
          </cell>
          <cell r="C4">
            <v>334</v>
          </cell>
          <cell r="D4">
            <v>334</v>
          </cell>
          <cell r="E4">
            <v>45992</v>
          </cell>
          <cell r="F4">
            <v>47452</v>
          </cell>
          <cell r="G4">
            <v>55000000</v>
          </cell>
          <cell r="H4" t="str">
            <v>Meadows Ltd.</v>
          </cell>
          <cell r="I4" t="str">
            <v>Named Storm / Florida, Puerto Rico, U.S. VI</v>
          </cell>
          <cell r="K4">
            <v>10000000000</v>
          </cell>
        </row>
        <row r="5">
          <cell r="A5" t="str">
            <v>58320RAC5</v>
          </cell>
          <cell r="B5" t="str">
            <v>CB-Meadows Ltd. Series 2025-1 Class C</v>
          </cell>
          <cell r="C5">
            <v>335</v>
          </cell>
          <cell r="D5">
            <v>335</v>
          </cell>
          <cell r="E5">
            <v>45992</v>
          </cell>
          <cell r="F5">
            <v>47452</v>
          </cell>
          <cell r="G5">
            <v>30000000</v>
          </cell>
          <cell r="H5" t="str">
            <v>Meadows Ltd.</v>
          </cell>
          <cell r="I5" t="str">
            <v>Named Storm / Florida, Georgia, North Carolina, South Carolina, Puerto Rico, U.S. VI</v>
          </cell>
          <cell r="J5">
            <v>30000000000</v>
          </cell>
          <cell r="K5">
            <v>10000000000</v>
          </cell>
        </row>
        <row r="6">
          <cell r="A6" t="str">
            <v>096003AD0</v>
          </cell>
          <cell r="B6" t="str">
            <v>CB-Blue Ridge Re Ltd. Series 2025-1 Class B</v>
          </cell>
          <cell r="C6">
            <v>336</v>
          </cell>
          <cell r="D6">
            <v>336</v>
          </cell>
          <cell r="E6">
            <v>46023</v>
          </cell>
          <cell r="F6">
            <v>47118</v>
          </cell>
          <cell r="G6">
            <v>150000000</v>
          </cell>
          <cell r="H6" t="str">
            <v>Blue Ridge Re Ltd.</v>
          </cell>
          <cell r="I6" t="str">
            <v>Named Storm, Severe Thunderstorm / North Carolina</v>
          </cell>
          <cell r="J6">
            <v>0</v>
          </cell>
          <cell r="K6">
            <v>500000000</v>
          </cell>
        </row>
        <row r="7">
          <cell r="A7" t="str">
            <v>096003AF5</v>
          </cell>
          <cell r="B7" t="str">
            <v>CB-Blue Ridge Re Ltd. Series 2025-1 Class D</v>
          </cell>
          <cell r="C7">
            <v>337</v>
          </cell>
          <cell r="D7">
            <v>337</v>
          </cell>
          <cell r="E7">
            <v>46023</v>
          </cell>
          <cell r="F7">
            <v>47118</v>
          </cell>
          <cell r="G7">
            <v>100000000</v>
          </cell>
          <cell r="H7" t="str">
            <v>Blue Ridge Re Ltd.</v>
          </cell>
          <cell r="I7" t="str">
            <v>Named Storm, Severe Thunderstorm, Winter Storm / North Carolina</v>
          </cell>
          <cell r="J7">
            <v>0</v>
          </cell>
          <cell r="K7">
            <v>100000000</v>
          </cell>
        </row>
        <row r="8">
          <cell r="A8" t="str">
            <v>03843AAA0</v>
          </cell>
          <cell r="B8" t="str">
            <v>CB-Aquila Re I Ltd. Series 2023-1 Class A-1 Reset 2025</v>
          </cell>
          <cell r="C8">
            <v>1</v>
          </cell>
          <cell r="D8">
            <v>1</v>
          </cell>
          <cell r="E8">
            <v>45078</v>
          </cell>
          <cell r="F8">
            <v>46173</v>
          </cell>
          <cell r="G8">
            <v>50000000</v>
          </cell>
          <cell r="H8" t="str">
            <v>Aquila Re I Ltd.</v>
          </cell>
          <cell r="I8" t="str">
            <v>All Natural Perils / U.S.</v>
          </cell>
          <cell r="K8">
            <v>700000000</v>
          </cell>
        </row>
        <row r="9">
          <cell r="A9" t="str">
            <v>03843AAB8</v>
          </cell>
          <cell r="B9" t="str">
            <v>CB-Aquila Re I Ltd. Series 2023-1 Class B-1 Reset 2025</v>
          </cell>
          <cell r="C9">
            <v>2</v>
          </cell>
          <cell r="D9">
            <v>2</v>
          </cell>
          <cell r="E9">
            <v>45078</v>
          </cell>
          <cell r="F9">
            <v>46173</v>
          </cell>
          <cell r="G9">
            <v>125000000</v>
          </cell>
          <cell r="H9" t="str">
            <v>Aquila Re I Ltd.</v>
          </cell>
          <cell r="I9" t="str">
            <v>All Natural Perils / U.S.</v>
          </cell>
          <cell r="K9">
            <v>1150000000</v>
          </cell>
        </row>
        <row r="10">
          <cell r="A10" t="str">
            <v>03843AAC6</v>
          </cell>
          <cell r="B10" t="str">
            <v>CB-Aquila Re I Ltd. Series 2023-1 Class C-1 Reset 2025</v>
          </cell>
          <cell r="C10">
            <v>3</v>
          </cell>
          <cell r="D10">
            <v>3</v>
          </cell>
          <cell r="E10">
            <v>45078</v>
          </cell>
          <cell r="F10">
            <v>46173</v>
          </cell>
          <cell r="G10">
            <v>125000000</v>
          </cell>
          <cell r="H10" t="str">
            <v>Aquila Re I Ltd.</v>
          </cell>
          <cell r="I10" t="str">
            <v>All Natural Perils / U.S.</v>
          </cell>
          <cell r="K10">
            <v>950000000</v>
          </cell>
        </row>
        <row r="11">
          <cell r="A11" t="str">
            <v>037987AA2</v>
          </cell>
          <cell r="B11" t="str">
            <v>CB-Aquila Re I Ltd. Series 2024-1 Class A-1 Reset 2025</v>
          </cell>
          <cell r="C11">
            <v>4</v>
          </cell>
          <cell r="D11">
            <v>4</v>
          </cell>
          <cell r="E11">
            <v>45444</v>
          </cell>
          <cell r="F11">
            <v>46538</v>
          </cell>
          <cell r="G11">
            <v>125000000</v>
          </cell>
          <cell r="H11" t="str">
            <v>Aquila Re I Ltd.</v>
          </cell>
          <cell r="I11" t="str">
            <v>All Natural Perils / U.S.</v>
          </cell>
          <cell r="K11">
            <v>400000000</v>
          </cell>
        </row>
        <row r="12">
          <cell r="A12" t="str">
            <v>037987AB0</v>
          </cell>
          <cell r="B12" t="str">
            <v>CB-Aquila Re I Ltd. Series 2024-1 Class B-1 Reset 2025</v>
          </cell>
          <cell r="C12">
            <v>5</v>
          </cell>
          <cell r="D12">
            <v>5</v>
          </cell>
          <cell r="E12">
            <v>45444</v>
          </cell>
          <cell r="F12">
            <v>46538</v>
          </cell>
          <cell r="G12">
            <v>100000000</v>
          </cell>
          <cell r="H12" t="str">
            <v>Aquila Re I Ltd.</v>
          </cell>
          <cell r="I12" t="str">
            <v>All Natural Perils / U.S.</v>
          </cell>
          <cell r="K12">
            <v>750000000</v>
          </cell>
        </row>
        <row r="13">
          <cell r="A13" t="str">
            <v>68302QAA2</v>
          </cell>
          <cell r="B13" t="str">
            <v>CB-123 Lights Re Ltd. Series 2025-1 Class A</v>
          </cell>
          <cell r="C13">
            <v>6</v>
          </cell>
          <cell r="D13">
            <v>6</v>
          </cell>
          <cell r="E13">
            <v>45885</v>
          </cell>
          <cell r="F13">
            <v>46996</v>
          </cell>
          <cell r="G13">
            <v>100000000</v>
          </cell>
          <cell r="H13" t="str">
            <v>123 Lights Re Ltd.</v>
          </cell>
          <cell r="I13" t="str">
            <v>Wildfire / California</v>
          </cell>
          <cell r="K13">
            <v>5000000000</v>
          </cell>
        </row>
        <row r="14">
          <cell r="A14" t="str">
            <v>79381MAC8</v>
          </cell>
          <cell r="B14" t="str">
            <v>CB-Sakura Re Ltd. Series 2022-1 Class A Reset 2024</v>
          </cell>
          <cell r="C14">
            <v>7</v>
          </cell>
          <cell r="D14">
            <v>7</v>
          </cell>
          <cell r="E14">
            <v>44925</v>
          </cell>
          <cell r="F14">
            <v>46020</v>
          </cell>
          <cell r="G14">
            <v>150000000</v>
          </cell>
          <cell r="H14" t="str">
            <v>Sakura Re Ltd.</v>
          </cell>
          <cell r="I14" t="str">
            <v>Earthquake ; Named Storm / U.S., Canada, Puerto Rico, U.S. VI</v>
          </cell>
          <cell r="K14">
            <v>42106000000</v>
          </cell>
        </row>
        <row r="15">
          <cell r="A15" t="str">
            <v>571253AA1</v>
          </cell>
          <cell r="B15" t="str">
            <v>CB-Marlon Ltd. Series 2024-1 Class A Reset 2025</v>
          </cell>
          <cell r="C15">
            <v>8</v>
          </cell>
          <cell r="D15">
            <v>8</v>
          </cell>
          <cell r="E15">
            <v>45444</v>
          </cell>
          <cell r="F15">
            <v>46538</v>
          </cell>
          <cell r="G15">
            <v>100000000</v>
          </cell>
          <cell r="H15" t="str">
            <v>Marlon Ltd.</v>
          </cell>
          <cell r="I15" t="str">
            <v>Named Storm / Florida</v>
          </cell>
          <cell r="K15">
            <v>600000000</v>
          </cell>
        </row>
        <row r="16">
          <cell r="A16" t="str">
            <v>571253AB9</v>
          </cell>
          <cell r="B16" t="str">
            <v>CB-Marlon Ltd. Series 2024-1 Class B Reset 2025</v>
          </cell>
          <cell r="C16">
            <v>9</v>
          </cell>
          <cell r="D16">
            <v>9</v>
          </cell>
          <cell r="E16">
            <v>45444</v>
          </cell>
          <cell r="F16">
            <v>46538</v>
          </cell>
          <cell r="G16">
            <v>50000000</v>
          </cell>
          <cell r="H16" t="str">
            <v>Marlon Ltd.</v>
          </cell>
          <cell r="I16" t="str">
            <v>Named Storm / Florida</v>
          </cell>
          <cell r="K16">
            <v>420000000</v>
          </cell>
        </row>
        <row r="17">
          <cell r="A17" t="str">
            <v>532242AA2</v>
          </cell>
          <cell r="B17" t="str">
            <v>CB-Lightning Re Ltd. Series 2023-1 Class A Reset 2025</v>
          </cell>
          <cell r="C17">
            <v>10</v>
          </cell>
          <cell r="D17">
            <v>10</v>
          </cell>
          <cell r="E17">
            <v>45017</v>
          </cell>
          <cell r="F17">
            <v>46112</v>
          </cell>
          <cell r="G17">
            <v>500000000</v>
          </cell>
          <cell r="H17" t="str">
            <v>Lightning Re Ltd.</v>
          </cell>
          <cell r="I17" t="str">
            <v>Named Storm / Florida</v>
          </cell>
          <cell r="K17">
            <v>16626000000</v>
          </cell>
        </row>
        <row r="18">
          <cell r="A18" t="str">
            <v>755933AA6</v>
          </cell>
          <cell r="B18" t="str">
            <v>CB-Recoletos Re DAC Series 2024-1 Class A</v>
          </cell>
          <cell r="C18">
            <v>11</v>
          </cell>
          <cell r="D18">
            <v>11</v>
          </cell>
          <cell r="E18">
            <v>45658</v>
          </cell>
          <cell r="F18">
            <v>46752</v>
          </cell>
          <cell r="G18">
            <v>125000000</v>
          </cell>
          <cell r="H18" t="str">
            <v>Recoletos Re DAC</v>
          </cell>
          <cell r="I18" t="str">
            <v>Named Storm / U.S.</v>
          </cell>
          <cell r="K18">
            <v>100000000</v>
          </cell>
        </row>
        <row r="19">
          <cell r="A19" t="str">
            <v>85237TAA0</v>
          </cell>
          <cell r="B19" t="str">
            <v>CB-Stabilitas Re Ltd. Series 2023-1 Class A Reset 2025</v>
          </cell>
          <cell r="C19">
            <v>12</v>
          </cell>
          <cell r="D19">
            <v>12</v>
          </cell>
          <cell r="E19">
            <v>45092</v>
          </cell>
          <cell r="F19">
            <v>46173</v>
          </cell>
          <cell r="G19">
            <v>100000000</v>
          </cell>
          <cell r="H19" t="str">
            <v>Stabilitas Re Ltd.</v>
          </cell>
          <cell r="I19" t="str">
            <v>Earthquake ; Named Storm / U.S.</v>
          </cell>
          <cell r="K19">
            <v>100000000</v>
          </cell>
        </row>
        <row r="20">
          <cell r="A20" t="str">
            <v>13947LAE2</v>
          </cell>
          <cell r="B20" t="str">
            <v>CB-Cape Lookout Re Ltd. Series 2023-1 Class A Reset 2025</v>
          </cell>
          <cell r="C20">
            <v>13</v>
          </cell>
          <cell r="D20">
            <v>13</v>
          </cell>
          <cell r="E20">
            <v>45031</v>
          </cell>
          <cell r="F20">
            <v>46126</v>
          </cell>
          <cell r="G20">
            <v>350000000</v>
          </cell>
          <cell r="H20" t="str">
            <v>Cape Lookout Re Ltd.</v>
          </cell>
          <cell r="I20" t="str">
            <v>Named Storm / North Carolina</v>
          </cell>
          <cell r="J20">
            <v>0</v>
          </cell>
          <cell r="K20">
            <v>350000000</v>
          </cell>
        </row>
        <row r="21">
          <cell r="A21" t="str">
            <v>13947LAF9</v>
          </cell>
          <cell r="B21" t="str">
            <v>CB-Cape Lookout Re Ltd. Series 2024-1 Class A Reset 2025</v>
          </cell>
          <cell r="C21">
            <v>14</v>
          </cell>
          <cell r="D21">
            <v>14</v>
          </cell>
          <cell r="E21">
            <v>45377</v>
          </cell>
          <cell r="F21">
            <v>46471</v>
          </cell>
          <cell r="G21">
            <v>450000000</v>
          </cell>
          <cell r="H21" t="str">
            <v>Cape Lookout Re Ltd.</v>
          </cell>
          <cell r="I21" t="str">
            <v>Named Storm / North Carolina</v>
          </cell>
          <cell r="J21">
            <v>0</v>
          </cell>
          <cell r="K21">
            <v>450000000</v>
          </cell>
        </row>
        <row r="22">
          <cell r="A22" t="str">
            <v>04401RAA5</v>
          </cell>
          <cell r="B22" t="str">
            <v>CB-Ashera Re Ltd. Series 2024-1 Class A Reset 2025</v>
          </cell>
          <cell r="C22">
            <v>15</v>
          </cell>
          <cell r="D22">
            <v>15</v>
          </cell>
          <cell r="E22">
            <v>45383</v>
          </cell>
          <cell r="F22">
            <v>46477</v>
          </cell>
          <cell r="G22">
            <v>105000000</v>
          </cell>
          <cell r="H22" t="str">
            <v>Ashera Re Ltd.</v>
          </cell>
          <cell r="I22" t="str">
            <v>Earthquake ; Named Storm / U.S., Canada</v>
          </cell>
          <cell r="K22">
            <v>650000000</v>
          </cell>
        </row>
        <row r="23">
          <cell r="A23" t="str">
            <v>751443AA0</v>
          </cell>
          <cell r="B23" t="str">
            <v>CB-Ramble Re Ltd. Series 2024-1 Class A Reset 2025</v>
          </cell>
          <cell r="C23">
            <v>16</v>
          </cell>
          <cell r="D23">
            <v>16</v>
          </cell>
          <cell r="E23">
            <v>45352</v>
          </cell>
          <cell r="F23">
            <v>46446</v>
          </cell>
          <cell r="G23">
            <v>100000000</v>
          </cell>
          <cell r="H23" t="str">
            <v>Ramble Re Ltd.</v>
          </cell>
          <cell r="I23" t="str">
            <v>Earthquake / U.S., Canada ; Named Storm / Northeast U.S.</v>
          </cell>
          <cell r="K23">
            <v>200000000</v>
          </cell>
        </row>
        <row r="24">
          <cell r="A24" t="str">
            <v>36354TAN2</v>
          </cell>
          <cell r="B24" t="str">
            <v>CB-Galileo Re Ltd. Series 2023-1 Class A Reset 2025</v>
          </cell>
          <cell r="C24">
            <v>17</v>
          </cell>
          <cell r="D24">
            <v>17</v>
          </cell>
          <cell r="E24">
            <v>45292</v>
          </cell>
          <cell r="F24">
            <v>46752</v>
          </cell>
          <cell r="G24">
            <v>200000000</v>
          </cell>
          <cell r="H24" t="str">
            <v>Galileo Re Ltd.</v>
          </cell>
          <cell r="I24" t="str">
            <v>Earthquake / U.S., Canada, Puerto Rico, U.S. VI ; Named Storm / U.S., Puerto Rico, U.S. VI</v>
          </cell>
          <cell r="J24">
            <v>0</v>
          </cell>
          <cell r="K24">
            <v>420000000</v>
          </cell>
        </row>
        <row r="25">
          <cell r="A25" t="str">
            <v>35087TAF5</v>
          </cell>
          <cell r="B25" t="str">
            <v>CB-Four Lakes Re Ltd. Series 2023-1 Class B Reset 2025_V12</v>
          </cell>
          <cell r="C25">
            <v>327</v>
          </cell>
          <cell r="D25">
            <v>327</v>
          </cell>
          <cell r="E25">
            <v>45292</v>
          </cell>
          <cell r="F25">
            <v>46387</v>
          </cell>
          <cell r="G25">
            <v>50000000</v>
          </cell>
          <cell r="H25" t="str">
            <v>Four Lakes Re Ltd.</v>
          </cell>
          <cell r="I25" t="str">
            <v>All Natural Perils / U.S.</v>
          </cell>
          <cell r="K25">
            <v>600000000</v>
          </cell>
        </row>
        <row r="26">
          <cell r="A26" t="str">
            <v>35087TAH1</v>
          </cell>
          <cell r="B26" t="str">
            <v>CB-Four Lakes Re Ltd. Series 2024-1 Class B_V12</v>
          </cell>
          <cell r="C26">
            <v>331</v>
          </cell>
          <cell r="D26">
            <v>331</v>
          </cell>
          <cell r="E26">
            <v>45658</v>
          </cell>
          <cell r="F26">
            <v>46752</v>
          </cell>
          <cell r="G26">
            <v>75000000</v>
          </cell>
          <cell r="H26" t="str">
            <v>Four Lakes Re Ltd.</v>
          </cell>
          <cell r="I26" t="str">
            <v>All Natural Perils / U.S.</v>
          </cell>
          <cell r="K26">
            <v>600000000</v>
          </cell>
        </row>
        <row r="27">
          <cell r="A27" t="str">
            <v>36354TAP7</v>
          </cell>
          <cell r="B27" t="str">
            <v>CB-Galileo Re Ltd. Series 2023-1 Class B Reset 2025</v>
          </cell>
          <cell r="C27">
            <v>18</v>
          </cell>
          <cell r="D27">
            <v>18</v>
          </cell>
          <cell r="E27">
            <v>45292</v>
          </cell>
          <cell r="F27">
            <v>46022</v>
          </cell>
          <cell r="G27">
            <v>175000000</v>
          </cell>
          <cell r="H27" t="str">
            <v>Galileo Re Ltd.</v>
          </cell>
          <cell r="I27" t="str">
            <v>Earthquake / U.S., Canada, Puerto Rico, U.S. VI ; Named Storm / U.S., Puerto Rico, U.S. VI</v>
          </cell>
          <cell r="J27">
            <v>0</v>
          </cell>
          <cell r="K27">
            <v>420000000</v>
          </cell>
        </row>
        <row r="28">
          <cell r="A28" t="str">
            <v>XS2969300081</v>
          </cell>
          <cell r="B28" t="str">
            <v>CB-MMIFS Re Ltd. Series 2025-1 Class A</v>
          </cell>
          <cell r="C28">
            <v>19</v>
          </cell>
          <cell r="D28">
            <v>19</v>
          </cell>
          <cell r="E28">
            <v>45674</v>
          </cell>
          <cell r="F28">
            <v>46752</v>
          </cell>
          <cell r="G28">
            <v>150000000</v>
          </cell>
          <cell r="H28" t="str">
            <v>MMIFS Re Ltd.</v>
          </cell>
          <cell r="I28" t="str">
            <v>Earthquake ; Severe Convective Storm / Canada</v>
          </cell>
          <cell r="K28">
            <v>150000000</v>
          </cell>
        </row>
        <row r="29">
          <cell r="A29" t="str">
            <v>09785EAN1</v>
          </cell>
          <cell r="B29" t="str">
            <v>CB-Bonanza Re Ltd. Series 2024-1 Class A</v>
          </cell>
          <cell r="C29">
            <v>20</v>
          </cell>
          <cell r="D29">
            <v>20</v>
          </cell>
          <cell r="E29">
            <v>45658</v>
          </cell>
          <cell r="F29">
            <v>46022</v>
          </cell>
          <cell r="G29">
            <v>70000000</v>
          </cell>
          <cell r="H29" t="str">
            <v>Bonanza Re Ltd.</v>
          </cell>
          <cell r="I29" t="str">
            <v>All Natural Perils / U.S.</v>
          </cell>
          <cell r="J29">
            <v>0</v>
          </cell>
          <cell r="K29">
            <v>100000000</v>
          </cell>
        </row>
        <row r="30">
          <cell r="A30" t="str">
            <v>09785EAP6</v>
          </cell>
          <cell r="B30" t="str">
            <v>CB-Bonanza Re Ltd. Series 2024-1 Class B</v>
          </cell>
          <cell r="C30">
            <v>21</v>
          </cell>
          <cell r="D30">
            <v>21</v>
          </cell>
          <cell r="E30">
            <v>45809</v>
          </cell>
          <cell r="F30">
            <v>46752</v>
          </cell>
          <cell r="G30">
            <v>75000000</v>
          </cell>
          <cell r="H30" t="str">
            <v>Bonanza Re Ltd.</v>
          </cell>
          <cell r="I30" t="str">
            <v>All Natural Perils / U.S.</v>
          </cell>
          <cell r="J30">
            <v>0</v>
          </cell>
          <cell r="K30">
            <v>330000000</v>
          </cell>
        </row>
        <row r="31">
          <cell r="A31" t="str">
            <v>09785EAQ4</v>
          </cell>
          <cell r="B31" t="str">
            <v>CB-Bonanza Re Ltd. Series 2024-1 Class C</v>
          </cell>
          <cell r="C31">
            <v>22</v>
          </cell>
          <cell r="D31">
            <v>22</v>
          </cell>
          <cell r="E31">
            <v>45809</v>
          </cell>
          <cell r="F31">
            <v>46752</v>
          </cell>
          <cell r="G31">
            <v>200000000</v>
          </cell>
          <cell r="H31" t="str">
            <v>Bonanza Re Ltd.</v>
          </cell>
          <cell r="I31" t="str">
            <v>All Natural Perils / U.S.</v>
          </cell>
          <cell r="J31">
            <v>0</v>
          </cell>
          <cell r="K31">
            <v>200000000</v>
          </cell>
        </row>
        <row r="32">
          <cell r="A32" t="str">
            <v>80001RAB7</v>
          </cell>
          <cell r="B32" t="str">
            <v>CB-Sanders Re II Ltd. Series 2024-3 Class B Reset 2025</v>
          </cell>
          <cell r="C32">
            <v>23</v>
          </cell>
          <cell r="D32">
            <v>23</v>
          </cell>
          <cell r="E32">
            <v>45748</v>
          </cell>
          <cell r="F32">
            <v>47208</v>
          </cell>
          <cell r="G32">
            <v>350000000</v>
          </cell>
          <cell r="H32" t="str">
            <v>Sanders Re II Ltd.</v>
          </cell>
          <cell r="I32" t="str">
            <v>All Natural Perils / U.S. (excl. FL)</v>
          </cell>
          <cell r="J32">
            <v>0</v>
          </cell>
          <cell r="K32">
            <v>950000000</v>
          </cell>
        </row>
        <row r="33">
          <cell r="A33" t="str">
            <v>80001RAA9</v>
          </cell>
          <cell r="B33" t="str">
            <v>CB-Sanders Re II Ltd. Series 2024-3 Class A Reset 2025</v>
          </cell>
          <cell r="C33">
            <v>24</v>
          </cell>
          <cell r="D33">
            <v>24</v>
          </cell>
          <cell r="E33">
            <v>45658</v>
          </cell>
          <cell r="F33">
            <v>47208</v>
          </cell>
          <cell r="G33">
            <v>300000000</v>
          </cell>
          <cell r="H33" t="str">
            <v>Sanders Re II Ltd.</v>
          </cell>
          <cell r="I33" t="str">
            <v>All Natural Perils / U.S. (excl. FL)</v>
          </cell>
          <cell r="J33">
            <v>0</v>
          </cell>
          <cell r="K33">
            <v>1999375000</v>
          </cell>
        </row>
        <row r="34">
          <cell r="A34" t="str">
            <v>747977AA4</v>
          </cell>
          <cell r="B34" t="str">
            <v>CB-Queen Street 2023 Re DAC Reset 2025</v>
          </cell>
          <cell r="C34">
            <v>25</v>
          </cell>
          <cell r="D34">
            <v>25</v>
          </cell>
          <cell r="E34">
            <v>45078</v>
          </cell>
          <cell r="F34">
            <v>45992</v>
          </cell>
          <cell r="G34">
            <v>300000000</v>
          </cell>
          <cell r="H34" t="str">
            <v>Queen Street 2023 Re DAC Reset 2025</v>
          </cell>
          <cell r="I34" t="str">
            <v>Named Storm / U.S., Puerto Rico, U.S. VI</v>
          </cell>
          <cell r="K34">
            <v>59765000000</v>
          </cell>
        </row>
        <row r="35">
          <cell r="A35" t="str">
            <v>76091DAA9</v>
          </cell>
          <cell r="B35" t="str">
            <v>CB-Res Re 2025 Ltd. Series 2025-I Class 13</v>
          </cell>
          <cell r="C35">
            <v>26</v>
          </cell>
          <cell r="D35">
            <v>26</v>
          </cell>
          <cell r="E35">
            <v>45809</v>
          </cell>
          <cell r="F35">
            <v>47269</v>
          </cell>
          <cell r="G35">
            <v>50000000</v>
          </cell>
          <cell r="H35" t="str">
            <v>Res Re 2025 Ltd.</v>
          </cell>
          <cell r="I35" t="str">
            <v>All Natural Perils / U.S.</v>
          </cell>
          <cell r="J35">
            <v>0</v>
          </cell>
          <cell r="K35">
            <v>800000000</v>
          </cell>
        </row>
        <row r="36">
          <cell r="A36" t="str">
            <v>76091DAB7</v>
          </cell>
          <cell r="B36" t="str">
            <v>CB-Res Re 2025 Ltd. Series 2025-I Class 14</v>
          </cell>
          <cell r="C36">
            <v>27</v>
          </cell>
          <cell r="D36">
            <v>27</v>
          </cell>
          <cell r="E36">
            <v>45809</v>
          </cell>
          <cell r="F36">
            <v>47269</v>
          </cell>
          <cell r="G36">
            <v>150000000</v>
          </cell>
          <cell r="H36" t="str">
            <v>Res Re 2025 Ltd.</v>
          </cell>
          <cell r="I36" t="str">
            <v>All Natural Perils / U.S.</v>
          </cell>
          <cell r="J36">
            <v>0</v>
          </cell>
          <cell r="K36">
            <v>1100000000</v>
          </cell>
        </row>
        <row r="37">
          <cell r="A37" t="str">
            <v>76091DAC5</v>
          </cell>
          <cell r="B37" t="str">
            <v>CB-Res Re 2025 Ltd. Series 2025-I Class 15</v>
          </cell>
          <cell r="C37">
            <v>28</v>
          </cell>
          <cell r="D37">
            <v>28</v>
          </cell>
          <cell r="E37">
            <v>45809</v>
          </cell>
          <cell r="F37">
            <v>47269</v>
          </cell>
          <cell r="G37">
            <v>225000000</v>
          </cell>
          <cell r="H37" t="str">
            <v>Res Re 2025 Ltd.</v>
          </cell>
          <cell r="I37" t="str">
            <v>All Natural Perils / U.S.</v>
          </cell>
          <cell r="J37">
            <v>0</v>
          </cell>
          <cell r="K37">
            <v>450000000</v>
          </cell>
        </row>
        <row r="38">
          <cell r="A38" t="str">
            <v>27777AAA9</v>
          </cell>
          <cell r="B38" t="str">
            <v>CB-Easton Re Ltd. Series 2024-1 Class A Reset 2025</v>
          </cell>
          <cell r="C38">
            <v>29</v>
          </cell>
          <cell r="D38">
            <v>29</v>
          </cell>
          <cell r="E38">
            <v>45292</v>
          </cell>
          <cell r="F38">
            <v>46387</v>
          </cell>
          <cell r="G38">
            <v>200000000</v>
          </cell>
          <cell r="H38" t="str">
            <v>Easton Re Ltd.</v>
          </cell>
          <cell r="I38" t="str">
            <v>Earthquake / U.S., Canada ; Named Storm / U.S., Puerto Rico, U.S. VI</v>
          </cell>
          <cell r="J38">
            <v>0</v>
          </cell>
          <cell r="K38">
            <v>330000000</v>
          </cell>
        </row>
        <row r="39">
          <cell r="A39" t="str">
            <v>10807LAA5</v>
          </cell>
          <cell r="B39" t="str">
            <v>CB-Bridge Street Re Ltd. Series 2025-1 Class A</v>
          </cell>
          <cell r="C39">
            <v>30</v>
          </cell>
          <cell r="D39">
            <v>30</v>
          </cell>
          <cell r="E39">
            <v>45666</v>
          </cell>
          <cell r="F39">
            <v>46752</v>
          </cell>
          <cell r="G39">
            <v>250000000</v>
          </cell>
          <cell r="H39" t="str">
            <v>Bridge Street Re Ltd.</v>
          </cell>
          <cell r="I39" t="str">
            <v>Earthquake ; Named Storm / U.S., Canada, Puerto Rico, U.S. VI</v>
          </cell>
          <cell r="K39">
            <v>250000000</v>
          </cell>
        </row>
        <row r="40">
          <cell r="A40" t="str">
            <v>76114NAE2</v>
          </cell>
          <cell r="B40" t="str">
            <v>CB-Res Re 2021 Ltd. Series 2021-II Class 2 Reset 2025</v>
          </cell>
          <cell r="C40">
            <v>31</v>
          </cell>
          <cell r="D40">
            <v>31</v>
          </cell>
          <cell r="E40">
            <v>44531</v>
          </cell>
          <cell r="F40">
            <v>45991</v>
          </cell>
          <cell r="G40">
            <v>175000000</v>
          </cell>
          <cell r="H40" t="str">
            <v>Res Re 2021 Ltd.</v>
          </cell>
          <cell r="I40" t="str">
            <v>NULL</v>
          </cell>
          <cell r="J40">
            <v>0</v>
          </cell>
          <cell r="K40">
            <v>1400000000</v>
          </cell>
        </row>
        <row r="41">
          <cell r="A41" t="str">
            <v>76114NAF9</v>
          </cell>
          <cell r="B41" t="str">
            <v>CB-Res Re 2021 Ltd. Series 2021-II Class 3 Reset 2025</v>
          </cell>
          <cell r="C41">
            <v>32</v>
          </cell>
          <cell r="D41">
            <v>32</v>
          </cell>
          <cell r="E41">
            <v>44531</v>
          </cell>
          <cell r="F41">
            <v>45991</v>
          </cell>
          <cell r="G41">
            <v>125000000</v>
          </cell>
          <cell r="H41" t="str">
            <v>Res Re 2021 Ltd.</v>
          </cell>
          <cell r="I41" t="str">
            <v>NULL</v>
          </cell>
          <cell r="J41">
            <v>0</v>
          </cell>
          <cell r="K41">
            <v>1300000000</v>
          </cell>
        </row>
        <row r="42">
          <cell r="A42" t="str">
            <v>76119YAF0</v>
          </cell>
          <cell r="B42" t="str">
            <v>CB-Res Re 2022 Ltd. Series 2022-II Class 3 Reset 2025</v>
          </cell>
          <cell r="C42">
            <v>33</v>
          </cell>
          <cell r="D42">
            <v>33</v>
          </cell>
          <cell r="E42">
            <v>44896</v>
          </cell>
          <cell r="F42">
            <v>46356</v>
          </cell>
          <cell r="G42">
            <v>60000000</v>
          </cell>
          <cell r="H42" t="str">
            <v>Res Re 2022 Ltd.</v>
          </cell>
          <cell r="I42" t="str">
            <v>All Natural Perils / U.S.</v>
          </cell>
          <cell r="J42">
            <v>0</v>
          </cell>
          <cell r="K42">
            <v>1300000000</v>
          </cell>
        </row>
        <row r="43">
          <cell r="A43" t="str">
            <v>76119YAG8</v>
          </cell>
          <cell r="B43" t="str">
            <v>CB-Res Re 2022 Ltd. Series 2022-II Class 5 Reset 2025</v>
          </cell>
          <cell r="C43">
            <v>34</v>
          </cell>
          <cell r="D43">
            <v>34</v>
          </cell>
          <cell r="E43">
            <v>44896</v>
          </cell>
          <cell r="F43">
            <v>46356</v>
          </cell>
          <cell r="G43">
            <v>135000000</v>
          </cell>
          <cell r="H43" t="str">
            <v>Res Re 2022 Ltd.</v>
          </cell>
          <cell r="I43" t="str">
            <v>All Natural Perils / U.S.</v>
          </cell>
          <cell r="J43">
            <v>0</v>
          </cell>
          <cell r="K43">
            <v>500000000</v>
          </cell>
        </row>
        <row r="44">
          <cell r="A44" t="str">
            <v>76090WAB6</v>
          </cell>
          <cell r="B44" t="str">
            <v>CB-Res Re 2023 Ltd. Series 2023-II Class 3 Reset 2025</v>
          </cell>
          <cell r="C44">
            <v>35</v>
          </cell>
          <cell r="D44">
            <v>35</v>
          </cell>
          <cell r="E44">
            <v>45261</v>
          </cell>
          <cell r="F44">
            <v>46721</v>
          </cell>
          <cell r="G44">
            <v>150000000</v>
          </cell>
          <cell r="H44" t="str">
            <v>Res Re 2023 Ltd.</v>
          </cell>
          <cell r="I44" t="str">
            <v>All Natural Perils / U.S.</v>
          </cell>
          <cell r="J44">
            <v>0</v>
          </cell>
          <cell r="K44">
            <v>1300000000</v>
          </cell>
        </row>
        <row r="45">
          <cell r="A45" t="str">
            <v>76090WAC4</v>
          </cell>
          <cell r="B45" t="str">
            <v>CB-Res Re 2023 Ltd. Series 2023-II Class 5 Reset 2025</v>
          </cell>
          <cell r="C45">
            <v>36</v>
          </cell>
          <cell r="D45">
            <v>36</v>
          </cell>
          <cell r="E45">
            <v>45261</v>
          </cell>
          <cell r="F45">
            <v>46721</v>
          </cell>
          <cell r="G45">
            <v>200000000</v>
          </cell>
          <cell r="H45" t="str">
            <v>Res Re 2023 Ltd.</v>
          </cell>
          <cell r="I45" t="str">
            <v>All Natural Perils / U.S.</v>
          </cell>
          <cell r="K45">
            <v>600000000</v>
          </cell>
        </row>
        <row r="46">
          <cell r="A46" t="str">
            <v>76112AAC6</v>
          </cell>
          <cell r="B46" t="str">
            <v>CB-Res Re 2024 Ltd. Series 2024-II Class 2 Reset 2025</v>
          </cell>
          <cell r="C46">
            <v>37</v>
          </cell>
          <cell r="D46">
            <v>37</v>
          </cell>
          <cell r="E46">
            <v>45627</v>
          </cell>
          <cell r="F46">
            <v>47087</v>
          </cell>
          <cell r="G46">
            <v>75000000</v>
          </cell>
          <cell r="H46" t="str">
            <v>Res Re 2024 Ltd.</v>
          </cell>
          <cell r="I46" t="str">
            <v>All Natural Perils / U.S.</v>
          </cell>
          <cell r="J46">
            <v>0</v>
          </cell>
          <cell r="K46">
            <v>1100000000</v>
          </cell>
        </row>
        <row r="47">
          <cell r="A47" t="str">
            <v>76112AAD4</v>
          </cell>
          <cell r="B47" t="str">
            <v>CB-Res Re 2024 Ltd. Series 2024-II Class 3 Reset 2025</v>
          </cell>
          <cell r="C47">
            <v>38</v>
          </cell>
          <cell r="D47">
            <v>38</v>
          </cell>
          <cell r="E47">
            <v>45627</v>
          </cell>
          <cell r="F47">
            <v>47087</v>
          </cell>
          <cell r="G47">
            <v>200000000</v>
          </cell>
          <cell r="H47" t="str">
            <v>Res Re 2024 Ltd.</v>
          </cell>
          <cell r="I47" t="str">
            <v>All Natural Perils / U.S.</v>
          </cell>
          <cell r="J47">
            <v>0</v>
          </cell>
          <cell r="K47">
            <v>1300000000</v>
          </cell>
        </row>
        <row r="48">
          <cell r="A48" t="str">
            <v>76112AAE2</v>
          </cell>
          <cell r="B48" t="str">
            <v>CB-Res Re 2024 Ltd. Series 2024-II Class 4 Reset 2025</v>
          </cell>
          <cell r="C48">
            <v>39</v>
          </cell>
          <cell r="D48">
            <v>39</v>
          </cell>
          <cell r="E48">
            <v>45627</v>
          </cell>
          <cell r="F48">
            <v>47087</v>
          </cell>
          <cell r="G48">
            <v>175000000</v>
          </cell>
          <cell r="H48" t="str">
            <v>Res Re 2024 Ltd.</v>
          </cell>
          <cell r="I48" t="str">
            <v>All Natural Perils / U.S.</v>
          </cell>
          <cell r="J48">
            <v>0</v>
          </cell>
          <cell r="K48">
            <v>500000000</v>
          </cell>
        </row>
        <row r="49">
          <cell r="A49" t="str">
            <v>05826BAC0</v>
          </cell>
          <cell r="B49" t="str">
            <v>CB-Baldwin Re Ltd. Series 2025-1 Class A</v>
          </cell>
          <cell r="C49">
            <v>40</v>
          </cell>
          <cell r="D49">
            <v>40</v>
          </cell>
          <cell r="E49">
            <v>45839</v>
          </cell>
          <cell r="F49">
            <v>47299</v>
          </cell>
          <cell r="G49">
            <v>250000000</v>
          </cell>
          <cell r="H49" t="str">
            <v>Baldwin Re Ltd.</v>
          </cell>
          <cell r="I49" t="str">
            <v>All Natural Perils / Northeast U.S.</v>
          </cell>
          <cell r="K49">
            <v>500000000</v>
          </cell>
        </row>
        <row r="50">
          <cell r="A50" t="str">
            <v>05826BAB2</v>
          </cell>
          <cell r="B50" t="str">
            <v>CB-Baldwin Re Ltd. Series 2023-1 Class A Reset 2025</v>
          </cell>
          <cell r="C50">
            <v>41</v>
          </cell>
          <cell r="D50">
            <v>41</v>
          </cell>
          <cell r="E50">
            <v>45108</v>
          </cell>
          <cell r="F50">
            <v>46568</v>
          </cell>
          <cell r="G50">
            <v>100000000</v>
          </cell>
          <cell r="H50" t="str">
            <v>Baldwin Re Ltd.</v>
          </cell>
          <cell r="I50" t="str">
            <v>All Natural Perils / Northeast U.S.</v>
          </cell>
          <cell r="K50">
            <v>300000000</v>
          </cell>
        </row>
        <row r="51">
          <cell r="A51" t="str">
            <v>57839MAA6</v>
          </cell>
          <cell r="B51" t="str">
            <v>CB-Mayflower Re Ltd. Series 2023-1 Class A Reset 2025</v>
          </cell>
          <cell r="C51">
            <v>42</v>
          </cell>
          <cell r="D51">
            <v>42</v>
          </cell>
          <cell r="E51">
            <v>45108</v>
          </cell>
          <cell r="F51">
            <v>46203</v>
          </cell>
          <cell r="G51">
            <v>100000000</v>
          </cell>
          <cell r="H51" t="str">
            <v>Mayflower Re Ltd.</v>
          </cell>
          <cell r="I51" t="str">
            <v>Named Storm ; Severe Thunderstorm ; Winter Storm / Massachusetts</v>
          </cell>
          <cell r="K51">
            <v>400000000</v>
          </cell>
        </row>
        <row r="52">
          <cell r="A52" t="str">
            <v>57839MAB4</v>
          </cell>
          <cell r="B52" t="str">
            <v>CB-Mayflower Re Ltd. Series 2023-1 Class B Reset 2025</v>
          </cell>
          <cell r="C52">
            <v>43</v>
          </cell>
          <cell r="D52">
            <v>43</v>
          </cell>
          <cell r="E52">
            <v>45108</v>
          </cell>
          <cell r="F52">
            <v>46203</v>
          </cell>
          <cell r="G52">
            <v>150000000</v>
          </cell>
          <cell r="H52" t="str">
            <v>Mayflower Re Ltd.</v>
          </cell>
          <cell r="I52" t="str">
            <v>Named Storm ; Severe Thunderstorm ; Winter Storm / Massachusetts</v>
          </cell>
          <cell r="K52">
            <v>300000000</v>
          </cell>
        </row>
        <row r="53">
          <cell r="A53" t="str">
            <v>57839MAC2</v>
          </cell>
          <cell r="B53" t="str">
            <v>CB-Mayflower Re Ltd. Series 2024-1 Class A Reset 2025</v>
          </cell>
          <cell r="C53">
            <v>44</v>
          </cell>
          <cell r="D53">
            <v>44</v>
          </cell>
          <cell r="E53">
            <v>45474</v>
          </cell>
          <cell r="F53">
            <v>46568</v>
          </cell>
          <cell r="G53">
            <v>100000000</v>
          </cell>
          <cell r="H53" t="str">
            <v>Mayflower Re Ltd.</v>
          </cell>
          <cell r="I53" t="str">
            <v>Named Storm ; Severe Thunderstorm ; Winter Storm / Massachusetts</v>
          </cell>
          <cell r="K53">
            <v>500000000</v>
          </cell>
        </row>
        <row r="54">
          <cell r="A54" t="str">
            <v>57839MAD0</v>
          </cell>
          <cell r="B54" t="str">
            <v>CB-Mayflower Re Ltd. Series 2025-1 Class A</v>
          </cell>
          <cell r="C54">
            <v>45</v>
          </cell>
          <cell r="D54">
            <v>45</v>
          </cell>
          <cell r="E54">
            <v>45839</v>
          </cell>
          <cell r="F54">
            <v>46934</v>
          </cell>
          <cell r="G54">
            <v>225000000</v>
          </cell>
          <cell r="H54" t="str">
            <v>Mayflower Re Ltd.</v>
          </cell>
          <cell r="I54" t="str">
            <v>Named Storm ; Severe Thunderstorm ; Winter Storm / Massachusetts</v>
          </cell>
          <cell r="K54">
            <v>600000000</v>
          </cell>
        </row>
        <row r="55">
          <cell r="A55" t="str">
            <v>76119YAB9</v>
          </cell>
          <cell r="B55" t="str">
            <v>CB-Res Re 2022 Ltd. Series 2022-I Class 11 Reset 2025</v>
          </cell>
          <cell r="C55">
            <v>46</v>
          </cell>
          <cell r="D55">
            <v>46</v>
          </cell>
          <cell r="E55">
            <v>44713</v>
          </cell>
          <cell r="F55">
            <v>46173</v>
          </cell>
          <cell r="G55">
            <v>35000000</v>
          </cell>
          <cell r="H55" t="str">
            <v>Res Re 2022 Ltd.</v>
          </cell>
          <cell r="I55" t="str">
            <v>NULL</v>
          </cell>
          <cell r="J55">
            <v>0</v>
          </cell>
          <cell r="K55">
            <v>550000000</v>
          </cell>
        </row>
        <row r="56">
          <cell r="A56" t="str">
            <v>76119YAC7</v>
          </cell>
          <cell r="B56" t="str">
            <v>CB-Res Re 2022 Ltd. Series 2022-I Class 12 Reset 2025</v>
          </cell>
          <cell r="C56">
            <v>47</v>
          </cell>
          <cell r="D56">
            <v>47</v>
          </cell>
          <cell r="E56">
            <v>44713</v>
          </cell>
          <cell r="F56">
            <v>46173</v>
          </cell>
          <cell r="G56">
            <v>60000000</v>
          </cell>
          <cell r="H56" t="str">
            <v>Res Re 2022 Ltd.</v>
          </cell>
          <cell r="I56" t="str">
            <v>NULL</v>
          </cell>
          <cell r="J56">
            <v>0</v>
          </cell>
          <cell r="K56">
            <v>600000000</v>
          </cell>
        </row>
        <row r="57">
          <cell r="A57" t="str">
            <v>76119YAD5</v>
          </cell>
          <cell r="B57" t="str">
            <v>CB-Res Re 2022 Ltd. Series 2022-I Class 13 Reset 2025</v>
          </cell>
          <cell r="C57">
            <v>48</v>
          </cell>
          <cell r="D57">
            <v>48</v>
          </cell>
          <cell r="E57">
            <v>44713</v>
          </cell>
          <cell r="F57">
            <v>46173</v>
          </cell>
          <cell r="G57">
            <v>155000000</v>
          </cell>
          <cell r="H57" t="str">
            <v>Res Re 2022 Ltd.</v>
          </cell>
          <cell r="I57" t="str">
            <v>NULL</v>
          </cell>
          <cell r="J57">
            <v>0</v>
          </cell>
          <cell r="K57">
            <v>400000000</v>
          </cell>
        </row>
        <row r="58">
          <cell r="A58" t="str">
            <v>76119YAE3</v>
          </cell>
          <cell r="B58" t="str">
            <v>CB-Res Re 2022 Ltd. Series 2022-I Class 14 Reset 2025</v>
          </cell>
          <cell r="C58">
            <v>49</v>
          </cell>
          <cell r="D58">
            <v>49</v>
          </cell>
          <cell r="E58">
            <v>44713</v>
          </cell>
          <cell r="F58">
            <v>46173</v>
          </cell>
          <cell r="G58">
            <v>180000000</v>
          </cell>
          <cell r="H58" t="str">
            <v>Res Re 2022 Ltd.</v>
          </cell>
          <cell r="I58" t="str">
            <v>All Natural Perils / U.S.</v>
          </cell>
          <cell r="J58">
            <v>0</v>
          </cell>
          <cell r="K58">
            <v>450000000</v>
          </cell>
        </row>
        <row r="59">
          <cell r="A59" t="str">
            <v>76133XAA5</v>
          </cell>
          <cell r="B59" t="str">
            <v>CB-Res Re 2023 Ltd. Series 2023-I Class 13 Reset 2025</v>
          </cell>
          <cell r="C59">
            <v>50</v>
          </cell>
          <cell r="D59">
            <v>50</v>
          </cell>
          <cell r="E59">
            <v>45078</v>
          </cell>
          <cell r="F59">
            <v>46538</v>
          </cell>
          <cell r="G59">
            <v>125000000</v>
          </cell>
          <cell r="H59" t="str">
            <v>Res Re 2023 Ltd.</v>
          </cell>
          <cell r="I59" t="str">
            <v>All Natural Perils / U.S.</v>
          </cell>
          <cell r="J59">
            <v>0</v>
          </cell>
          <cell r="K59">
            <v>600000000</v>
          </cell>
        </row>
        <row r="60">
          <cell r="A60" t="str">
            <v>76133XAB3</v>
          </cell>
          <cell r="B60" t="str">
            <v>CB-Res Re 2023 Ltd. Series 2023-I Class 14 Reset 2025</v>
          </cell>
          <cell r="C60">
            <v>51</v>
          </cell>
          <cell r="D60">
            <v>51</v>
          </cell>
          <cell r="E60">
            <v>45078</v>
          </cell>
          <cell r="F60">
            <v>46538</v>
          </cell>
          <cell r="G60">
            <v>275000000</v>
          </cell>
          <cell r="H60" t="str">
            <v>Res Re 2023 Ltd.</v>
          </cell>
          <cell r="I60" t="str">
            <v>All Natural Perils / U.S.</v>
          </cell>
          <cell r="J60">
            <v>0</v>
          </cell>
          <cell r="K60">
            <v>900000000</v>
          </cell>
        </row>
        <row r="61">
          <cell r="A61" t="str">
            <v>76091BAB1</v>
          </cell>
          <cell r="B61" t="str">
            <v>CB-Res Re 2024 Ltd. Series 2024-I Class 13 Reset 2025</v>
          </cell>
          <cell r="C61">
            <v>52</v>
          </cell>
          <cell r="D61">
            <v>52</v>
          </cell>
          <cell r="E61">
            <v>45444</v>
          </cell>
          <cell r="F61">
            <v>46904</v>
          </cell>
          <cell r="G61">
            <v>50000000</v>
          </cell>
          <cell r="H61" t="str">
            <v>Res Re 2024 Ltd.</v>
          </cell>
          <cell r="I61" t="str">
            <v>All Natural Perils / U.S.</v>
          </cell>
          <cell r="J61">
            <v>0</v>
          </cell>
          <cell r="K61">
            <v>600000000</v>
          </cell>
        </row>
        <row r="62">
          <cell r="A62" t="str">
            <v>76091BAC9</v>
          </cell>
          <cell r="B62" t="str">
            <v>CB-Res Re 2024 Ltd. Series 2024-I Class 14 Reset 2025</v>
          </cell>
          <cell r="C62">
            <v>53</v>
          </cell>
          <cell r="D62">
            <v>53</v>
          </cell>
          <cell r="E62">
            <v>45444</v>
          </cell>
          <cell r="F62">
            <v>46904</v>
          </cell>
          <cell r="G62">
            <v>75000000</v>
          </cell>
          <cell r="H62" t="str">
            <v>Res Re 2024 Ltd.</v>
          </cell>
          <cell r="I62" t="str">
            <v>All Natural Perils / U.S.</v>
          </cell>
          <cell r="J62">
            <v>0</v>
          </cell>
          <cell r="K62">
            <v>900000000</v>
          </cell>
        </row>
        <row r="63">
          <cell r="A63" t="str">
            <v>36779CAM8</v>
          </cell>
          <cell r="B63" t="str">
            <v>CB-Gateway Re Ltd. Series 2025-1 Class AAA</v>
          </cell>
          <cell r="C63">
            <v>54</v>
          </cell>
          <cell r="D63">
            <v>54</v>
          </cell>
          <cell r="E63">
            <v>45839</v>
          </cell>
          <cell r="F63">
            <v>46934</v>
          </cell>
          <cell r="G63">
            <v>110000000</v>
          </cell>
          <cell r="H63" t="str">
            <v>Gateway Re Ltd.</v>
          </cell>
          <cell r="I63" t="str">
            <v>Named Storm / Alabama, Louisiana, Mississippi, New York, North Carolina, South Carolina, Texas</v>
          </cell>
          <cell r="K63">
            <v>125000000</v>
          </cell>
        </row>
        <row r="64">
          <cell r="A64" t="str">
            <v>36779CAR7</v>
          </cell>
          <cell r="B64" t="str">
            <v>CB-Gateway Re Ltd. Series 2025-1 Class C1</v>
          </cell>
          <cell r="C64">
            <v>55</v>
          </cell>
          <cell r="D64">
            <v>55</v>
          </cell>
          <cell r="E64">
            <v>45839</v>
          </cell>
          <cell r="F64">
            <v>46006</v>
          </cell>
          <cell r="G64">
            <v>50000000</v>
          </cell>
          <cell r="H64" t="str">
            <v>Gateway Re Ltd.</v>
          </cell>
          <cell r="I64" t="str">
            <v>Named Storm / Alabama, Florida, Louisiana, Mississippi, New York, North Carolina, South Carolina, Texas</v>
          </cell>
          <cell r="J64">
            <v>200000000</v>
          </cell>
          <cell r="K64">
            <v>200000000</v>
          </cell>
        </row>
        <row r="65">
          <cell r="A65" t="str">
            <v>36779CAP1</v>
          </cell>
          <cell r="B65" t="str">
            <v>CB-Gateway Re Ltd. Series 2025-1 Class AA</v>
          </cell>
          <cell r="C65">
            <v>56</v>
          </cell>
          <cell r="D65">
            <v>56</v>
          </cell>
          <cell r="E65">
            <v>45839</v>
          </cell>
          <cell r="F65">
            <v>46006</v>
          </cell>
          <cell r="G65">
            <v>130000000</v>
          </cell>
          <cell r="H65" t="str">
            <v>Gateway Re Ltd.</v>
          </cell>
          <cell r="I65" t="str">
            <v>Named Storm / Alabama, Florida, Louisiana, Mississippi, New York, North Carolina, South Carolina, Texas</v>
          </cell>
          <cell r="K65">
            <v>160000000</v>
          </cell>
        </row>
        <row r="66">
          <cell r="A66" t="str">
            <v>36779CAQ9</v>
          </cell>
          <cell r="B66" t="str">
            <v>CB-Gateway Re Ltd. Series 2025-1 Class A</v>
          </cell>
          <cell r="C66">
            <v>57</v>
          </cell>
          <cell r="D66">
            <v>57</v>
          </cell>
          <cell r="E66">
            <v>45839</v>
          </cell>
          <cell r="F66">
            <v>46934</v>
          </cell>
          <cell r="G66">
            <v>80000000</v>
          </cell>
          <cell r="H66" t="str">
            <v>Gateway Re Ltd.</v>
          </cell>
          <cell r="I66" t="str">
            <v>Named Storm / Alabama, Florida, Louisiana, Mississippi, New York, North Carolina, South Carolina, Texas</v>
          </cell>
          <cell r="K66">
            <v>400000000</v>
          </cell>
        </row>
        <row r="67">
          <cell r="A67" t="str">
            <v>36779CAN6</v>
          </cell>
          <cell r="B67" t="str">
            <v>CB-Gateway Re Ltd. Series 2025-1 Class C2</v>
          </cell>
          <cell r="C67">
            <v>58</v>
          </cell>
          <cell r="D67">
            <v>58</v>
          </cell>
          <cell r="E67">
            <v>45839</v>
          </cell>
          <cell r="F67">
            <v>46568</v>
          </cell>
          <cell r="G67">
            <v>150000000</v>
          </cell>
          <cell r="H67" t="str">
            <v>Gateway Re Ltd.</v>
          </cell>
          <cell r="I67" t="str">
            <v>Named Storm / Alabama, Florida, Louisiana, Mississippi, New York, North Carolina, South Carolina, Texas</v>
          </cell>
          <cell r="J67">
            <v>200000000</v>
          </cell>
          <cell r="K67">
            <v>200000000</v>
          </cell>
        </row>
        <row r="68">
          <cell r="A68" t="str">
            <v>36779CAS5</v>
          </cell>
          <cell r="B68" t="str">
            <v>CB-Gateway Re Ltd. Series 2025-2 Class A</v>
          </cell>
          <cell r="C68">
            <v>59</v>
          </cell>
          <cell r="D68">
            <v>59</v>
          </cell>
          <cell r="E68">
            <v>45839</v>
          </cell>
          <cell r="F68">
            <v>46934</v>
          </cell>
          <cell r="G68">
            <v>150000000</v>
          </cell>
          <cell r="H68" t="str">
            <v>Gateway Re Ltd.</v>
          </cell>
          <cell r="I68" t="str">
            <v xml:space="preserve">Named Storm / Louisiana, Mississippi, South Carolina, Texas </v>
          </cell>
          <cell r="K68">
            <v>250000000</v>
          </cell>
        </row>
        <row r="69">
          <cell r="A69" t="str">
            <v>59165HAD1</v>
          </cell>
          <cell r="B69" t="str">
            <v>CB-MetroCat Re Ltd. Series 2023-1 Class A</v>
          </cell>
          <cell r="C69">
            <v>60</v>
          </cell>
          <cell r="D69">
            <v>60</v>
          </cell>
          <cell r="E69">
            <v>45066</v>
          </cell>
          <cell r="F69">
            <v>46142</v>
          </cell>
          <cell r="G69">
            <v>100000000</v>
          </cell>
          <cell r="H69" t="str">
            <v>MetroCat Re Ltd.</v>
          </cell>
          <cell r="I69" t="str">
            <v>Named Storm / New York, New Jersey</v>
          </cell>
          <cell r="J69">
            <v>0</v>
          </cell>
          <cell r="K69">
            <v>100000000</v>
          </cell>
        </row>
        <row r="70">
          <cell r="A70" t="str">
            <v>XS2806459314</v>
          </cell>
          <cell r="B70" t="str">
            <v>CB-IBRD CAR Jamaica 2024</v>
          </cell>
          <cell r="C70">
            <v>61</v>
          </cell>
          <cell r="D70">
            <v>61</v>
          </cell>
          <cell r="E70">
            <v>45415</v>
          </cell>
          <cell r="F70">
            <v>46740</v>
          </cell>
          <cell r="G70">
            <v>150000000</v>
          </cell>
          <cell r="H70" t="str">
            <v>IBRD CAR Jamaica 2024</v>
          </cell>
          <cell r="I70" t="str">
            <v>Named Storm / Jamaica</v>
          </cell>
          <cell r="J70">
            <v>0</v>
          </cell>
          <cell r="K70">
            <v>150000000</v>
          </cell>
        </row>
        <row r="71">
          <cell r="A71" t="str">
            <v>XS2599161192</v>
          </cell>
          <cell r="B71" t="str">
            <v>CB-IBRD CAR Chile 2023</v>
          </cell>
          <cell r="C71">
            <v>62</v>
          </cell>
          <cell r="D71">
            <v>62</v>
          </cell>
          <cell r="E71">
            <v>45010</v>
          </cell>
          <cell r="F71">
            <v>46105</v>
          </cell>
          <cell r="G71">
            <v>350000000</v>
          </cell>
          <cell r="H71" t="str">
            <v>IBRD CAR Chile 2023</v>
          </cell>
          <cell r="I71" t="str">
            <v>Earthquake / Chile</v>
          </cell>
          <cell r="J71">
            <v>0</v>
          </cell>
          <cell r="K71">
            <v>350000000</v>
          </cell>
        </row>
        <row r="72">
          <cell r="A72" t="str">
            <v>37173WAA0</v>
          </cell>
          <cell r="B72" t="str">
            <v>CB-Genesee Street Re Ltd. Series 2025-1 Class A</v>
          </cell>
          <cell r="C72">
            <v>63</v>
          </cell>
          <cell r="D72">
            <v>63</v>
          </cell>
          <cell r="E72">
            <v>45779</v>
          </cell>
          <cell r="F72">
            <v>46843</v>
          </cell>
          <cell r="G72">
            <v>150000000</v>
          </cell>
          <cell r="H72" t="str">
            <v>Genesee Street Re Ltd.</v>
          </cell>
          <cell r="I72" t="str">
            <v>Named Storm ; Severe Thunderstorm / Eastern U.S.</v>
          </cell>
          <cell r="K72">
            <v>300000000</v>
          </cell>
        </row>
        <row r="73">
          <cell r="A73" t="str">
            <v>799927AA6</v>
          </cell>
          <cell r="B73" t="str">
            <v>CB-Sanders Re III Ltd. Series 2024-1 Class A Reset 2025</v>
          </cell>
          <cell r="C73">
            <v>64</v>
          </cell>
          <cell r="D73">
            <v>64</v>
          </cell>
          <cell r="E73">
            <v>45315</v>
          </cell>
          <cell r="F73">
            <v>46843</v>
          </cell>
          <cell r="G73">
            <v>400000000</v>
          </cell>
          <cell r="H73" t="str">
            <v>Sanders Re III Ltd.</v>
          </cell>
          <cell r="I73" t="str">
            <v>All Natural Perils / U.S. (excl. FL)</v>
          </cell>
          <cell r="J73">
            <v>0</v>
          </cell>
          <cell r="K73">
            <v>1000000000</v>
          </cell>
        </row>
        <row r="74">
          <cell r="A74" t="str">
            <v>80001QAA1</v>
          </cell>
          <cell r="B74" t="str">
            <v>CB-Sanders Re III Ltd. Series 2023-1 Class A Reset 2025</v>
          </cell>
          <cell r="C74">
            <v>65</v>
          </cell>
          <cell r="D74">
            <v>65</v>
          </cell>
          <cell r="E74">
            <v>45017</v>
          </cell>
          <cell r="F74">
            <v>46477</v>
          </cell>
          <cell r="G74">
            <v>100000000</v>
          </cell>
          <cell r="H74" t="str">
            <v>Sanders Re III Ltd.</v>
          </cell>
          <cell r="I74" t="str">
            <v>All Natural Perils / U.S. (excl. FL)</v>
          </cell>
          <cell r="J74">
            <v>0</v>
          </cell>
          <cell r="K74">
            <v>750000000</v>
          </cell>
        </row>
        <row r="75">
          <cell r="A75" t="str">
            <v>80001QAB9</v>
          </cell>
          <cell r="B75" t="str">
            <v>CB-Sanders Re III Ltd. Series 2023-1 Class B Reset 2025</v>
          </cell>
          <cell r="C75">
            <v>66</v>
          </cell>
          <cell r="D75">
            <v>66</v>
          </cell>
          <cell r="E75">
            <v>45017</v>
          </cell>
          <cell r="F75">
            <v>46477</v>
          </cell>
          <cell r="G75">
            <v>150000000</v>
          </cell>
          <cell r="H75" t="str">
            <v>Sanders Re III Ltd.</v>
          </cell>
          <cell r="I75" t="str">
            <v>All Natural Perils / U.S. (excl. FL)</v>
          </cell>
          <cell r="J75">
            <v>0</v>
          </cell>
          <cell r="K75">
            <v>500000000</v>
          </cell>
        </row>
        <row r="76">
          <cell r="A76" t="str">
            <v>80000YAA5</v>
          </cell>
          <cell r="B76" t="str">
            <v>CB-Sanders Re III Ltd. Series 2022-3 Class A Reset 2025</v>
          </cell>
          <cell r="C76">
            <v>67</v>
          </cell>
          <cell r="D76">
            <v>67</v>
          </cell>
          <cell r="E76">
            <v>44903</v>
          </cell>
          <cell r="F76">
            <v>46477</v>
          </cell>
          <cell r="G76">
            <v>100000000</v>
          </cell>
          <cell r="H76" t="str">
            <v>Sanders Re III Ltd.</v>
          </cell>
          <cell r="I76" t="str">
            <v>All Natural Perils / U.S. (excl. FL)</v>
          </cell>
          <cell r="J76">
            <v>0</v>
          </cell>
          <cell r="K76">
            <v>250000000</v>
          </cell>
        </row>
        <row r="77">
          <cell r="A77" t="str">
            <v>80000XAA7</v>
          </cell>
          <cell r="B77" t="str">
            <v>CB-Sanders Re III Ltd. Series 2022-1 Class A Reset 2025</v>
          </cell>
          <cell r="C77">
            <v>68</v>
          </cell>
          <cell r="D77">
            <v>68</v>
          </cell>
          <cell r="E77">
            <v>44652</v>
          </cell>
          <cell r="F77">
            <v>46112</v>
          </cell>
          <cell r="G77">
            <v>200000000</v>
          </cell>
          <cell r="H77" t="str">
            <v>Sanders Re III Ltd.</v>
          </cell>
          <cell r="I77" t="str">
            <v>All Natural Perils / U.S. (excl. FL)</v>
          </cell>
          <cell r="J77">
            <v>0</v>
          </cell>
          <cell r="K77">
            <v>750000000</v>
          </cell>
        </row>
        <row r="78">
          <cell r="A78" t="str">
            <v>80001QAB9</v>
          </cell>
          <cell r="B78" t="str">
            <v>CB-Sanders Re III Ltd. Series 2022-1 Class B Reset 2025</v>
          </cell>
          <cell r="C78">
            <v>69</v>
          </cell>
          <cell r="D78">
            <v>69</v>
          </cell>
          <cell r="E78">
            <v>44652</v>
          </cell>
          <cell r="F78">
            <v>46112</v>
          </cell>
          <cell r="G78">
            <v>175000000</v>
          </cell>
          <cell r="H78" t="str">
            <v>Sanders Re III Ltd.</v>
          </cell>
          <cell r="I78" t="str">
            <v>All Natural Perils / U.S. (excl. FL)</v>
          </cell>
          <cell r="J78">
            <v>0</v>
          </cell>
          <cell r="K78">
            <v>500000000</v>
          </cell>
        </row>
        <row r="79">
          <cell r="A79" t="str">
            <v>80000XAC3</v>
          </cell>
          <cell r="B79" t="str">
            <v>CB-Sanders Re III Ltd. Series 2022-1 Class C Reset 2025</v>
          </cell>
          <cell r="C79">
            <v>70</v>
          </cell>
          <cell r="D79">
            <v>70</v>
          </cell>
          <cell r="E79">
            <v>44652</v>
          </cell>
          <cell r="F79">
            <v>46112</v>
          </cell>
          <cell r="G79">
            <v>175000000</v>
          </cell>
          <cell r="H79" t="str">
            <v>Sanders Re III Ltd.</v>
          </cell>
          <cell r="I79" t="str">
            <v>All Natural Perils / U.S.</v>
          </cell>
          <cell r="J79">
            <v>0</v>
          </cell>
          <cell r="K79">
            <v>500000000</v>
          </cell>
        </row>
        <row r="80">
          <cell r="A80" t="str">
            <v>80001TAA5</v>
          </cell>
          <cell r="B80" t="str">
            <v>CB-Sanders Re II Ltd. Series 2025-1 Class A-1</v>
          </cell>
          <cell r="C80">
            <v>71</v>
          </cell>
          <cell r="D80">
            <v>71</v>
          </cell>
          <cell r="E80">
            <v>45748</v>
          </cell>
          <cell r="F80">
            <v>46843</v>
          </cell>
          <cell r="G80">
            <v>175000000</v>
          </cell>
          <cell r="H80" t="str">
            <v>Sanders Re II Ltd.</v>
          </cell>
          <cell r="I80" t="str">
            <v>All Natural Perils / U.S. (excl. FL)</v>
          </cell>
          <cell r="J80">
            <v>0</v>
          </cell>
          <cell r="K80">
            <v>998636875</v>
          </cell>
        </row>
        <row r="81">
          <cell r="A81" t="str">
            <v>80001TAC1</v>
          </cell>
          <cell r="B81" t="str">
            <v>CB-Sanders Re II Ltd. Series 2025-1 Class B-1</v>
          </cell>
          <cell r="C81">
            <v>72</v>
          </cell>
          <cell r="D81">
            <v>72</v>
          </cell>
          <cell r="E81">
            <v>45748</v>
          </cell>
          <cell r="F81">
            <v>46843</v>
          </cell>
          <cell r="G81">
            <v>100000000</v>
          </cell>
          <cell r="H81" t="str">
            <v>Sanders Re II Ltd.</v>
          </cell>
          <cell r="I81" t="str">
            <v>All Natural Perils / U.S. (excl. FL)</v>
          </cell>
          <cell r="J81">
            <v>0</v>
          </cell>
          <cell r="K81">
            <v>1999375000</v>
          </cell>
        </row>
        <row r="82">
          <cell r="A82" t="str">
            <v>80001TAB3</v>
          </cell>
          <cell r="B82" t="str">
            <v>CB-Sanders Re II Ltd. Series 2025-1 Class A-2</v>
          </cell>
          <cell r="C82">
            <v>73</v>
          </cell>
          <cell r="D82">
            <v>73</v>
          </cell>
          <cell r="E82">
            <v>45748</v>
          </cell>
          <cell r="F82">
            <v>47573</v>
          </cell>
          <cell r="G82">
            <v>175000000</v>
          </cell>
          <cell r="H82" t="str">
            <v>Sanders Re II Ltd.</v>
          </cell>
          <cell r="I82" t="str">
            <v>All Natural Perils / U.S. (excl. FL)</v>
          </cell>
          <cell r="J82">
            <v>0</v>
          </cell>
          <cell r="K82">
            <v>998636875</v>
          </cell>
        </row>
        <row r="83">
          <cell r="A83" t="str">
            <v>80001TAD9</v>
          </cell>
          <cell r="B83" t="str">
            <v>CB-Sanders Re II Ltd. Series 2025-1 Class B-2</v>
          </cell>
          <cell r="C83">
            <v>74</v>
          </cell>
          <cell r="D83">
            <v>74</v>
          </cell>
          <cell r="E83">
            <v>45748</v>
          </cell>
          <cell r="F83">
            <v>47573</v>
          </cell>
          <cell r="G83">
            <v>300000000</v>
          </cell>
          <cell r="H83" t="str">
            <v>Sanders Re II Ltd.</v>
          </cell>
          <cell r="I83" t="str">
            <v>All Natural Perils / U.S. (excl. FL)</v>
          </cell>
          <cell r="J83">
            <v>0</v>
          </cell>
          <cell r="K83">
            <v>1999375000</v>
          </cell>
        </row>
        <row r="84">
          <cell r="A84" t="str">
            <v>577092AZ2</v>
          </cell>
          <cell r="B84" t="str">
            <v>CB-Matterhorn Re Ltd. Series 2025-3 Class A</v>
          </cell>
          <cell r="C84">
            <v>75</v>
          </cell>
          <cell r="D84">
            <v>75</v>
          </cell>
          <cell r="E84">
            <v>45915</v>
          </cell>
          <cell r="F84">
            <v>47026</v>
          </cell>
          <cell r="G84">
            <v>60000000</v>
          </cell>
          <cell r="H84" t="str">
            <v>Matterhorn Re Ltd.</v>
          </cell>
          <cell r="I84" t="str">
            <v>Earthquake / U.S. (excl. HI), Canada</v>
          </cell>
          <cell r="J84">
            <v>0</v>
          </cell>
          <cell r="K84">
            <v>65000000000</v>
          </cell>
        </row>
        <row r="85">
          <cell r="A85" t="str">
            <v>577092BA6</v>
          </cell>
          <cell r="B85" t="str">
            <v>CB-Matterhorn Re Ltd. Series 2025-3 Class B</v>
          </cell>
          <cell r="C85">
            <v>76</v>
          </cell>
          <cell r="D85">
            <v>76</v>
          </cell>
          <cell r="E85">
            <v>45915</v>
          </cell>
          <cell r="F85">
            <v>47026</v>
          </cell>
          <cell r="G85">
            <v>40000000</v>
          </cell>
          <cell r="H85" t="str">
            <v>Matterhorn Re Ltd.</v>
          </cell>
          <cell r="I85" t="str">
            <v>Earthquake / U.S. (excl. HI), Canada</v>
          </cell>
          <cell r="J85">
            <v>0</v>
          </cell>
          <cell r="K85">
            <v>24000000000</v>
          </cell>
        </row>
        <row r="86">
          <cell r="A86" t="str">
            <v>04681FAA2</v>
          </cell>
          <cell r="B86" t="str">
            <v>CB-Atela Re Ltd. Series 2024-1 Class A Reset 2025</v>
          </cell>
          <cell r="C86">
            <v>77</v>
          </cell>
          <cell r="D86">
            <v>77</v>
          </cell>
          <cell r="E86">
            <v>45415</v>
          </cell>
          <cell r="F86">
            <v>46509</v>
          </cell>
          <cell r="G86">
            <v>60000000</v>
          </cell>
          <cell r="H86" t="str">
            <v>Atela Re Ltd.</v>
          </cell>
          <cell r="I86" t="str">
            <v>Earthquake ; Named Storm / U.S., Puerto Rico, U.S. VI</v>
          </cell>
          <cell r="K86">
            <v>1043000000</v>
          </cell>
        </row>
        <row r="87">
          <cell r="A87" t="str">
            <v>04681FAB0</v>
          </cell>
          <cell r="B87" t="str">
            <v>CB-Atela Re Ltd. Series 2024-1 Class B Reset 2025</v>
          </cell>
          <cell r="C87">
            <v>78</v>
          </cell>
          <cell r="D87">
            <v>78</v>
          </cell>
          <cell r="E87">
            <v>45415</v>
          </cell>
          <cell r="F87">
            <v>46509</v>
          </cell>
          <cell r="G87">
            <v>30000000</v>
          </cell>
          <cell r="H87" t="str">
            <v>Atela Re Ltd.</v>
          </cell>
          <cell r="I87" t="str">
            <v>Earthquake ; Named Storm / U.S., Puerto Rico, U.S. VI</v>
          </cell>
          <cell r="K87">
            <v>1156000000</v>
          </cell>
        </row>
        <row r="88">
          <cell r="A88" t="str">
            <v>83427GAA3</v>
          </cell>
          <cell r="B88" t="str">
            <v>CB-Solomon Re Ltd. Series 2023-1 Class A Reset 2025</v>
          </cell>
          <cell r="C88">
            <v>79</v>
          </cell>
          <cell r="D88">
            <v>79</v>
          </cell>
          <cell r="E88">
            <v>45093</v>
          </cell>
          <cell r="F88">
            <v>46173</v>
          </cell>
          <cell r="G88">
            <v>75000000</v>
          </cell>
          <cell r="H88" t="str">
            <v>Solomon Re Ltd.</v>
          </cell>
          <cell r="I88" t="str">
            <v>Earthquake ; Named Storm / U.S.</v>
          </cell>
          <cell r="K88">
            <v>175000000</v>
          </cell>
        </row>
        <row r="89">
          <cell r="A89" t="str">
            <v>35087TAD0</v>
          </cell>
          <cell r="B89" t="str">
            <v>CB-Four Lakes Re Ltd. Series 2022-1 Class A Reset 2025</v>
          </cell>
          <cell r="C89">
            <v>80</v>
          </cell>
          <cell r="D89">
            <v>80</v>
          </cell>
          <cell r="E89">
            <v>44927</v>
          </cell>
          <cell r="F89">
            <v>46022</v>
          </cell>
          <cell r="G89">
            <v>100000000</v>
          </cell>
          <cell r="H89" t="str">
            <v>Four Lakes Re Ltd.</v>
          </cell>
          <cell r="I89" t="str">
            <v>All Natural Perils / U.S.</v>
          </cell>
          <cell r="K89">
            <v>875000000</v>
          </cell>
        </row>
        <row r="90">
          <cell r="A90" t="str">
            <v>35087TAE8</v>
          </cell>
          <cell r="B90" t="str">
            <v>CB-Four Lakes Re Ltd. Series 2023-1 Class A Reset 2025</v>
          </cell>
          <cell r="C90">
            <v>81</v>
          </cell>
          <cell r="D90">
            <v>81</v>
          </cell>
          <cell r="E90">
            <v>45292</v>
          </cell>
          <cell r="F90">
            <v>46387</v>
          </cell>
          <cell r="G90">
            <v>125000000</v>
          </cell>
          <cell r="H90" t="str">
            <v>Four Lakes Re Ltd.</v>
          </cell>
          <cell r="I90" t="str">
            <v>All Natural Perils / U.S.</v>
          </cell>
          <cell r="K90">
            <v>875000000</v>
          </cell>
        </row>
        <row r="91">
          <cell r="A91" t="str">
            <v>35087TAF5</v>
          </cell>
          <cell r="B91" t="str">
            <v>CB-Four Lakes Re Ltd. Series 2023-1 Class B Reset 2025</v>
          </cell>
          <cell r="C91">
            <v>82</v>
          </cell>
          <cell r="D91">
            <v>82</v>
          </cell>
          <cell r="E91">
            <v>45292</v>
          </cell>
          <cell r="F91">
            <v>46387</v>
          </cell>
          <cell r="G91">
            <v>50000000</v>
          </cell>
          <cell r="H91" t="str">
            <v>Four Lakes Re Ltd.</v>
          </cell>
          <cell r="I91" t="str">
            <v>All Natural Perils / U.S.</v>
          </cell>
          <cell r="K91">
            <v>600000000</v>
          </cell>
        </row>
        <row r="92">
          <cell r="A92" t="str">
            <v>35087TAG3</v>
          </cell>
          <cell r="B92" t="str">
            <v>CB-Four Lakes Re Ltd. Series 2024-1 Class A</v>
          </cell>
          <cell r="C92">
            <v>83</v>
          </cell>
          <cell r="D92">
            <v>83</v>
          </cell>
          <cell r="E92">
            <v>45658</v>
          </cell>
          <cell r="F92">
            <v>46752</v>
          </cell>
          <cell r="G92">
            <v>200000000</v>
          </cell>
          <cell r="H92" t="str">
            <v>Four Lakes Re Ltd.</v>
          </cell>
          <cell r="I92" t="str">
            <v>All Natural Perils / U.S.</v>
          </cell>
          <cell r="K92">
            <v>200000000</v>
          </cell>
        </row>
        <row r="93">
          <cell r="A93" t="str">
            <v>35087TAH1</v>
          </cell>
          <cell r="B93" t="str">
            <v>CB-Four Lakes Re Ltd. Series 2024-1 Class B</v>
          </cell>
          <cell r="C93">
            <v>84</v>
          </cell>
          <cell r="D93">
            <v>84</v>
          </cell>
          <cell r="E93">
            <v>45658</v>
          </cell>
          <cell r="F93">
            <v>46752</v>
          </cell>
          <cell r="G93">
            <v>75000000</v>
          </cell>
          <cell r="H93" t="str">
            <v>Four Lakes Re Ltd.</v>
          </cell>
          <cell r="I93" t="str">
            <v>All Natural Perils / U.S.</v>
          </cell>
          <cell r="K93">
            <v>600000000</v>
          </cell>
        </row>
        <row r="94">
          <cell r="A94" t="str">
            <v>49407QAJ7</v>
          </cell>
          <cell r="B94" t="str">
            <v>CB-Kilimanjaro II Re Ltd. Series 2025-1 Class A-1</v>
          </cell>
          <cell r="C94">
            <v>85</v>
          </cell>
          <cell r="D94">
            <v>85</v>
          </cell>
          <cell r="E94">
            <v>45839</v>
          </cell>
          <cell r="F94">
            <v>47299</v>
          </cell>
          <cell r="G94">
            <v>105000000</v>
          </cell>
          <cell r="H94" t="str">
            <v>Kilimanjaro II Re Ltd.</v>
          </cell>
          <cell r="I94" t="str">
            <v>Earthquake ; Named Storm / U.S., Canada, Puerto Rico, U.S. VI</v>
          </cell>
          <cell r="K94">
            <v>1920000000</v>
          </cell>
        </row>
        <row r="95">
          <cell r="A95" t="str">
            <v>49407QAK4</v>
          </cell>
          <cell r="B95" t="str">
            <v>CB-Kilimanjaro II Re Ltd. Series 2025-1 Class B-1</v>
          </cell>
          <cell r="C95">
            <v>86</v>
          </cell>
          <cell r="D95">
            <v>86</v>
          </cell>
          <cell r="E95">
            <v>45839</v>
          </cell>
          <cell r="F95">
            <v>47299</v>
          </cell>
          <cell r="G95">
            <v>120000000</v>
          </cell>
          <cell r="H95" t="str">
            <v>Kilimanjaro II Re Ltd.</v>
          </cell>
          <cell r="I95" t="str">
            <v>Earthquake ; Named Storm / U.S., Canada, Puerto Rico, U.S. VI</v>
          </cell>
          <cell r="K95">
            <v>1516000000</v>
          </cell>
        </row>
        <row r="96">
          <cell r="A96" t="str">
            <v>49407QAL2</v>
          </cell>
          <cell r="B96" t="str">
            <v>CB-Kilimanjaro II Re Ltd. Series 2025-1 Class C-1</v>
          </cell>
          <cell r="C96">
            <v>87</v>
          </cell>
          <cell r="D96">
            <v>87</v>
          </cell>
          <cell r="E96">
            <v>45839</v>
          </cell>
          <cell r="F96">
            <v>47299</v>
          </cell>
          <cell r="G96">
            <v>170000000</v>
          </cell>
          <cell r="H96" t="str">
            <v>Kilimanjaro II Re Ltd.</v>
          </cell>
          <cell r="I96" t="str">
            <v>Earthquake ; Named Storm / U.S., Canada, Puerto Rico, U.S. VI</v>
          </cell>
          <cell r="K96">
            <v>2295000000</v>
          </cell>
        </row>
        <row r="97">
          <cell r="A97" t="str">
            <v>49407QAM0</v>
          </cell>
          <cell r="B97" t="str">
            <v>CB-Kilimanjaro II Re Ltd. Series 2025-1 Class D-1</v>
          </cell>
          <cell r="C97">
            <v>88</v>
          </cell>
          <cell r="D97">
            <v>88</v>
          </cell>
          <cell r="E97">
            <v>45839</v>
          </cell>
          <cell r="F97">
            <v>47299</v>
          </cell>
          <cell r="G97">
            <v>105000000</v>
          </cell>
          <cell r="H97" t="str">
            <v>Kilimanjaro II Re Ltd.</v>
          </cell>
          <cell r="I97" t="str">
            <v>Earthquake ; Named Storm / U.S., Canada, Puerto Rico, U.S. VI</v>
          </cell>
          <cell r="K97">
            <v>1995000000</v>
          </cell>
        </row>
        <row r="98">
          <cell r="A98" t="str">
            <v>49407QAN8</v>
          </cell>
          <cell r="B98" t="str">
            <v>CB-Kilimanjaro II Re Ltd. Series 2025-2 Class A-2</v>
          </cell>
          <cell r="C98">
            <v>89</v>
          </cell>
          <cell r="D98">
            <v>89</v>
          </cell>
          <cell r="E98">
            <v>45839</v>
          </cell>
          <cell r="F98">
            <v>47664</v>
          </cell>
          <cell r="G98">
            <v>105000000</v>
          </cell>
          <cell r="H98" t="str">
            <v>Kilimanjaro II Re Ltd.</v>
          </cell>
          <cell r="I98" t="str">
            <v>Earthquake ; Named Storm / U.S., Canada, Puerto Rico, U.S. VI</v>
          </cell>
          <cell r="K98">
            <v>1920000000</v>
          </cell>
        </row>
        <row r="99">
          <cell r="A99" t="str">
            <v>49407QAP3</v>
          </cell>
          <cell r="B99" t="str">
            <v>CB-Kilimanjaro II Re Ltd. Series 2025-2 Class B-2</v>
          </cell>
          <cell r="C99">
            <v>90</v>
          </cell>
          <cell r="D99">
            <v>90</v>
          </cell>
          <cell r="E99">
            <v>45839</v>
          </cell>
          <cell r="F99">
            <v>47664</v>
          </cell>
          <cell r="G99">
            <v>120000000</v>
          </cell>
          <cell r="H99" t="str">
            <v>Kilimanjaro II Re Ltd.</v>
          </cell>
          <cell r="I99" t="str">
            <v>Earthquake ; Named Storm / U.S., Canada, Puerto Rico, U.S. VI</v>
          </cell>
          <cell r="K99">
            <v>1516000000</v>
          </cell>
        </row>
        <row r="100">
          <cell r="A100" t="str">
            <v>49407QAQ1</v>
          </cell>
          <cell r="B100" t="str">
            <v>CB-Kilimanjaro II Re Ltd. Series 2025-2 Class C-2</v>
          </cell>
          <cell r="C100">
            <v>91</v>
          </cell>
          <cell r="D100">
            <v>91</v>
          </cell>
          <cell r="E100">
            <v>45839</v>
          </cell>
          <cell r="F100">
            <v>47664</v>
          </cell>
          <cell r="G100">
            <v>170000000</v>
          </cell>
          <cell r="H100" t="str">
            <v>Kilimanjaro II Re Ltd.</v>
          </cell>
          <cell r="I100" t="str">
            <v>Earthquake ; Named Storm / U.S., Canada, Puerto Rico, U.S. VI</v>
          </cell>
          <cell r="K100">
            <v>2295000000</v>
          </cell>
        </row>
        <row r="101">
          <cell r="A101" t="str">
            <v>49407QAR9</v>
          </cell>
          <cell r="B101" t="str">
            <v>CB-Kilimanjaro II Re Ltd. Series 2025-2 Class D-2</v>
          </cell>
          <cell r="C101">
            <v>92</v>
          </cell>
          <cell r="D101">
            <v>92</v>
          </cell>
          <cell r="E101">
            <v>45839</v>
          </cell>
          <cell r="F101">
            <v>47664</v>
          </cell>
          <cell r="G101">
            <v>105000000</v>
          </cell>
          <cell r="H101" t="str">
            <v>Kilimanjaro II Re Ltd.</v>
          </cell>
          <cell r="I101" t="str">
            <v>Earthquake ; Named Storm / U.S., Canada, Puerto Rico, U.S. VI</v>
          </cell>
          <cell r="K101">
            <v>1995000000</v>
          </cell>
        </row>
        <row r="102">
          <cell r="A102" t="str">
            <v>49407QAG3</v>
          </cell>
          <cell r="B102" t="str">
            <v>CB-Kilimanjaro II Re Ltd. Series 2024-1 Class A Reset 2025</v>
          </cell>
          <cell r="C102">
            <v>93</v>
          </cell>
          <cell r="D102">
            <v>93</v>
          </cell>
          <cell r="E102">
            <v>45471</v>
          </cell>
          <cell r="F102">
            <v>46931</v>
          </cell>
          <cell r="G102">
            <v>75000000</v>
          </cell>
          <cell r="H102" t="str">
            <v>Kilimanjaro II Re Ltd.</v>
          </cell>
          <cell r="I102" t="str">
            <v>Earthquake ; Named Storm / U.S., Canada, Puerto Rico, U.S. VI</v>
          </cell>
          <cell r="K102">
            <v>1507000000</v>
          </cell>
        </row>
        <row r="103">
          <cell r="A103" t="str">
            <v>49407QAH1</v>
          </cell>
          <cell r="B103" t="str">
            <v>CB-Kilimanjaro II Re Ltd. Series 2024-1 Class B Reset 2025</v>
          </cell>
          <cell r="C103">
            <v>94</v>
          </cell>
          <cell r="D103">
            <v>94</v>
          </cell>
          <cell r="E103">
            <v>45471</v>
          </cell>
          <cell r="F103">
            <v>46931</v>
          </cell>
          <cell r="G103">
            <v>125000000</v>
          </cell>
          <cell r="H103" t="str">
            <v>Kilimanjaro II Re Ltd.</v>
          </cell>
          <cell r="I103" t="str">
            <v>Earthquake ; Named Storm / U.S., Canada, Puerto Rico, U.S. VI</v>
          </cell>
          <cell r="K103">
            <v>1597000000</v>
          </cell>
        </row>
        <row r="104">
          <cell r="A104" t="str">
            <v>49407PAH3</v>
          </cell>
          <cell r="B104" t="str">
            <v>CB-Kilimanjaro III Re Ltd. Series 2021-2 Class A-2 Reset 2025</v>
          </cell>
          <cell r="C104">
            <v>95</v>
          </cell>
          <cell r="D104">
            <v>95</v>
          </cell>
          <cell r="E104">
            <v>44300</v>
          </cell>
          <cell r="F104">
            <v>46125</v>
          </cell>
          <cell r="G104">
            <v>150000000</v>
          </cell>
          <cell r="H104" t="str">
            <v>Kilimanjaro III Re Ltd.</v>
          </cell>
          <cell r="I104" t="str">
            <v>NULL</v>
          </cell>
          <cell r="J104">
            <v>0</v>
          </cell>
          <cell r="K104">
            <v>320000000</v>
          </cell>
        </row>
        <row r="105">
          <cell r="A105" t="str">
            <v>49407PAJ9</v>
          </cell>
          <cell r="B105" t="str">
            <v>CB-Kilimanjaro III Re Ltd. Series 2021-2 Class B-2 Reset 2025</v>
          </cell>
          <cell r="C105">
            <v>96</v>
          </cell>
          <cell r="D105">
            <v>96</v>
          </cell>
          <cell r="E105">
            <v>44300</v>
          </cell>
          <cell r="F105">
            <v>46125</v>
          </cell>
          <cell r="G105">
            <v>90000000</v>
          </cell>
          <cell r="H105" t="str">
            <v>Kilimanjaro III Re Ltd.</v>
          </cell>
          <cell r="I105" t="str">
            <v>NULL</v>
          </cell>
          <cell r="J105">
            <v>0</v>
          </cell>
          <cell r="K105">
            <v>734000000</v>
          </cell>
        </row>
        <row r="106">
          <cell r="A106" t="str">
            <v>49407PAK6</v>
          </cell>
          <cell r="B106" t="str">
            <v>CB-Kilimanjaro III Re Ltd. Series 2021-2 Class C-2 Reset 2025</v>
          </cell>
          <cell r="C106">
            <v>97</v>
          </cell>
          <cell r="D106">
            <v>97</v>
          </cell>
          <cell r="E106">
            <v>44300</v>
          </cell>
          <cell r="F106">
            <v>46125</v>
          </cell>
          <cell r="G106">
            <v>90000000</v>
          </cell>
          <cell r="H106" t="str">
            <v>Kilimanjaro III Re Ltd.</v>
          </cell>
          <cell r="I106" t="str">
            <v>NULL</v>
          </cell>
          <cell r="J106">
            <v>0</v>
          </cell>
          <cell r="K106">
            <v>392000000</v>
          </cell>
        </row>
        <row r="107">
          <cell r="A107" t="str">
            <v>76870YAG7</v>
          </cell>
          <cell r="B107" t="str">
            <v>CB-Riverfront Re Ltd. Series 2025-1 Class B</v>
          </cell>
          <cell r="C107">
            <v>98</v>
          </cell>
          <cell r="D107">
            <v>98</v>
          </cell>
          <cell r="E107">
            <v>45778</v>
          </cell>
          <cell r="F107">
            <v>47118</v>
          </cell>
          <cell r="G107">
            <v>110000000</v>
          </cell>
          <cell r="H107" t="str">
            <v>Riverfront Re Ltd.</v>
          </cell>
          <cell r="I107" t="str">
            <v>All Natural Perils / U.S., Canada</v>
          </cell>
          <cell r="J107">
            <v>0</v>
          </cell>
          <cell r="K107">
            <v>125000000</v>
          </cell>
        </row>
        <row r="108">
          <cell r="A108" t="str">
            <v>76870YAF9</v>
          </cell>
          <cell r="B108" t="str">
            <v>CB-Riverfront Re Ltd. Series 2025-1 Class A</v>
          </cell>
          <cell r="C108">
            <v>99</v>
          </cell>
          <cell r="D108">
            <v>99</v>
          </cell>
          <cell r="E108">
            <v>45778</v>
          </cell>
          <cell r="F108">
            <v>47118</v>
          </cell>
          <cell r="G108">
            <v>200000000</v>
          </cell>
          <cell r="H108" t="str">
            <v>Riverfront Re Ltd.</v>
          </cell>
          <cell r="I108" t="str">
            <v>All Natural Perils / U.S., Canada</v>
          </cell>
          <cell r="J108">
            <v>0</v>
          </cell>
          <cell r="K108">
            <v>225000000</v>
          </cell>
        </row>
        <row r="109">
          <cell r="A109" t="str">
            <v>63901CAD3</v>
          </cell>
          <cell r="B109" t="str">
            <v>CB-Nature Coast Re Ltd. Series 2025-1 Class A Reset 2025</v>
          </cell>
          <cell r="C109">
            <v>100</v>
          </cell>
          <cell r="D109">
            <v>100</v>
          </cell>
          <cell r="E109">
            <v>45667</v>
          </cell>
          <cell r="F109">
            <v>47127</v>
          </cell>
          <cell r="G109">
            <v>200000000</v>
          </cell>
          <cell r="H109" t="str">
            <v>Nature Coast Re Ltd.</v>
          </cell>
          <cell r="I109" t="str">
            <v>Named Storm / Alabama, Florida, Louisiana, Mississippi, Texas</v>
          </cell>
          <cell r="K109">
            <v>185000000</v>
          </cell>
        </row>
        <row r="110">
          <cell r="A110" t="str">
            <v>54180CAA0</v>
          </cell>
          <cell r="B110" t="str">
            <v>CB-Lapis 2025-1 Series 2025-1</v>
          </cell>
          <cell r="C110">
            <v>101</v>
          </cell>
          <cell r="D110">
            <v>101</v>
          </cell>
          <cell r="E110">
            <v>45748</v>
          </cell>
          <cell r="F110">
            <v>47118</v>
          </cell>
          <cell r="G110">
            <v>100000000</v>
          </cell>
          <cell r="H110" t="str">
            <v>Lapis 2025-1</v>
          </cell>
          <cell r="I110" t="str">
            <v>Named Storm ; Earthquake / U.S., Canada, Puerto Rico, U.S. VI</v>
          </cell>
          <cell r="K110">
            <v>100000000</v>
          </cell>
        </row>
        <row r="111">
          <cell r="A111" t="str">
            <v>36779CAF3</v>
          </cell>
          <cell r="B111" t="str">
            <v>CB-Gateway Re Ltd. Series 2023-3 Class A Reset 2025</v>
          </cell>
          <cell r="C111">
            <v>102</v>
          </cell>
          <cell r="D111">
            <v>102</v>
          </cell>
          <cell r="E111">
            <v>45128</v>
          </cell>
          <cell r="F111">
            <v>46203</v>
          </cell>
          <cell r="G111">
            <v>50000000</v>
          </cell>
          <cell r="H111" t="str">
            <v>Gateway Re Ltd.</v>
          </cell>
          <cell r="I111" t="str">
            <v>Named Storm / Alabama, Louisiana, Mississippi, New York, North Carolina, South Carolina, Texas, Virginia</v>
          </cell>
          <cell r="J111">
            <v>57000000</v>
          </cell>
          <cell r="K111">
            <v>51000000</v>
          </cell>
        </row>
        <row r="112">
          <cell r="A112" t="str">
            <v>68252UAA3</v>
          </cell>
          <cell r="B112" t="str">
            <v>CB-1886 Re Ltd. Series 2025-1 Class A</v>
          </cell>
          <cell r="C112">
            <v>103</v>
          </cell>
          <cell r="D112">
            <v>103</v>
          </cell>
          <cell r="E112">
            <v>45839</v>
          </cell>
          <cell r="F112">
            <v>47299</v>
          </cell>
          <cell r="G112">
            <v>125000000</v>
          </cell>
          <cell r="H112" t="str">
            <v>1886 Re Ltd.</v>
          </cell>
          <cell r="I112" t="str">
            <v>Named Storm / Connecticut, Massachusetts, New York, New Jersey, Rhode Island</v>
          </cell>
          <cell r="K112">
            <v>240000000</v>
          </cell>
        </row>
        <row r="113">
          <cell r="A113" t="str">
            <v>03851YAA7</v>
          </cell>
          <cell r="B113" t="str">
            <v>CB-Aragonite Re Ltd. Series 2024-1 Class A Reset 2025</v>
          </cell>
          <cell r="C113">
            <v>104</v>
          </cell>
          <cell r="D113">
            <v>104</v>
          </cell>
          <cell r="E113">
            <v>45382</v>
          </cell>
          <cell r="F113">
            <v>46476</v>
          </cell>
          <cell r="G113">
            <v>100000000</v>
          </cell>
          <cell r="H113" t="str">
            <v>Aragonite Re Ltd.</v>
          </cell>
          <cell r="I113" t="str">
            <v>Earthquake ; Named Storm / U.S., Canada</v>
          </cell>
          <cell r="J113">
            <v>0</v>
          </cell>
          <cell r="K113">
            <v>250000000</v>
          </cell>
        </row>
        <row r="114">
          <cell r="A114" t="str">
            <v>04227FAE5</v>
          </cell>
          <cell r="B114" t="str">
            <v>CB-Armor Re II Ltd. Series 2024-1 Class A Reset 2025</v>
          </cell>
          <cell r="C114">
            <v>105</v>
          </cell>
          <cell r="D114">
            <v>105</v>
          </cell>
          <cell r="E114">
            <v>45400</v>
          </cell>
          <cell r="F114">
            <v>46507</v>
          </cell>
          <cell r="G114">
            <v>200000000</v>
          </cell>
          <cell r="H114" t="str">
            <v>Armor Re II Ltd.</v>
          </cell>
          <cell r="I114" t="str">
            <v>Named Storm / Florida</v>
          </cell>
          <cell r="K114">
            <v>250000000</v>
          </cell>
        </row>
        <row r="115">
          <cell r="A115" t="str">
            <v>89141WAF9</v>
          </cell>
          <cell r="B115" t="str">
            <v>CB-Torrey Pines Re Ltd. Series 2023-1 Class A Reset 2025</v>
          </cell>
          <cell r="C115">
            <v>106</v>
          </cell>
          <cell r="D115">
            <v>106</v>
          </cell>
          <cell r="E115">
            <v>45078</v>
          </cell>
          <cell r="F115">
            <v>46173</v>
          </cell>
          <cell r="G115">
            <v>150000000</v>
          </cell>
          <cell r="H115" t="str">
            <v>Torrey Pines Re Ltd.</v>
          </cell>
          <cell r="I115" t="str">
            <v>Earthquake / California</v>
          </cell>
          <cell r="J115">
            <v>0</v>
          </cell>
          <cell r="K115">
            <v>150000000</v>
          </cell>
        </row>
        <row r="116">
          <cell r="A116" t="str">
            <v>89141WAG7</v>
          </cell>
          <cell r="B116" t="str">
            <v>CB-Torrey Pines Re Ltd. Series 2023-1 Class B Reset 2025</v>
          </cell>
          <cell r="C116">
            <v>107</v>
          </cell>
          <cell r="D116">
            <v>107</v>
          </cell>
          <cell r="E116">
            <v>45078</v>
          </cell>
          <cell r="F116">
            <v>46173</v>
          </cell>
          <cell r="G116">
            <v>50000000</v>
          </cell>
          <cell r="H116" t="str">
            <v>Torrey Pines Re Ltd.</v>
          </cell>
          <cell r="I116" t="str">
            <v>Earthquake / U.S.</v>
          </cell>
          <cell r="J116">
            <v>0</v>
          </cell>
          <cell r="K116">
            <v>125000000</v>
          </cell>
        </row>
        <row r="117">
          <cell r="A117" t="str">
            <v>89141WAH5</v>
          </cell>
          <cell r="B117" t="str">
            <v>CB-Torrey Pines Re Ltd. Series 2024-1 Class A Reset 2025</v>
          </cell>
          <cell r="C117">
            <v>108</v>
          </cell>
          <cell r="D117">
            <v>108</v>
          </cell>
          <cell r="E117">
            <v>45444</v>
          </cell>
          <cell r="F117">
            <v>46538</v>
          </cell>
          <cell r="G117">
            <v>215000000</v>
          </cell>
          <cell r="H117" t="str">
            <v>Torrey Pines Re Ltd.</v>
          </cell>
          <cell r="I117" t="str">
            <v>Earthquake / California</v>
          </cell>
          <cell r="J117">
            <v>0</v>
          </cell>
          <cell r="K117">
            <v>400000000</v>
          </cell>
        </row>
        <row r="118">
          <cell r="A118" t="str">
            <v>89141WAJ1</v>
          </cell>
          <cell r="B118" t="str">
            <v>CB-Torrey Pines Re Ltd. Series 2024-1 Class B Reset 2025</v>
          </cell>
          <cell r="C118">
            <v>109</v>
          </cell>
          <cell r="D118">
            <v>109</v>
          </cell>
          <cell r="E118">
            <v>45444</v>
          </cell>
          <cell r="F118">
            <v>46538</v>
          </cell>
          <cell r="G118">
            <v>130000000</v>
          </cell>
          <cell r="H118" t="str">
            <v>Torrey Pines Re Ltd.</v>
          </cell>
          <cell r="I118" t="str">
            <v>Earthquake / California</v>
          </cell>
          <cell r="J118">
            <v>0</v>
          </cell>
          <cell r="K118">
            <v>250000000</v>
          </cell>
        </row>
        <row r="119">
          <cell r="A119" t="str">
            <v>89141WAK8</v>
          </cell>
          <cell r="B119" t="str">
            <v>CB-Torrey Pines Re Ltd. Series 2024-1 Class C Reset 2025</v>
          </cell>
          <cell r="C119">
            <v>110</v>
          </cell>
          <cell r="D119">
            <v>110</v>
          </cell>
          <cell r="E119">
            <v>45444</v>
          </cell>
          <cell r="F119">
            <v>46173</v>
          </cell>
          <cell r="G119">
            <v>75000000</v>
          </cell>
          <cell r="H119" t="str">
            <v>Torrey Pines Re Ltd.</v>
          </cell>
          <cell r="I119" t="str">
            <v>Earthquake / California</v>
          </cell>
          <cell r="J119">
            <v>0</v>
          </cell>
          <cell r="K119">
            <v>200000000</v>
          </cell>
        </row>
        <row r="120">
          <cell r="A120" t="str">
            <v>89141WAL6</v>
          </cell>
          <cell r="B120" t="str">
            <v>CB-Torrey Pines Re Ltd. Series 2025-1 Class A</v>
          </cell>
          <cell r="C120">
            <v>111</v>
          </cell>
          <cell r="D120">
            <v>111</v>
          </cell>
          <cell r="E120">
            <v>45809</v>
          </cell>
          <cell r="F120">
            <v>46904</v>
          </cell>
          <cell r="G120">
            <v>150000000</v>
          </cell>
          <cell r="H120" t="str">
            <v>Torrey Pines Re Ltd.</v>
          </cell>
          <cell r="I120" t="str">
            <v>Earthquake / California</v>
          </cell>
          <cell r="J120">
            <v>0</v>
          </cell>
          <cell r="K120">
            <v>200000000</v>
          </cell>
        </row>
        <row r="121">
          <cell r="A121" t="str">
            <v>89141WAM4</v>
          </cell>
          <cell r="B121" t="str">
            <v>CB-Torrey Pines Re Ltd. Series 2025-1 Class B</v>
          </cell>
          <cell r="C121">
            <v>112</v>
          </cell>
          <cell r="D121">
            <v>112</v>
          </cell>
          <cell r="E121">
            <v>45809</v>
          </cell>
          <cell r="F121">
            <v>46904</v>
          </cell>
          <cell r="G121">
            <v>200000000</v>
          </cell>
          <cell r="H121" t="str">
            <v>Torrey Pines Re Ltd.</v>
          </cell>
          <cell r="I121" t="str">
            <v>Earthquake / California</v>
          </cell>
          <cell r="J121">
            <v>0</v>
          </cell>
          <cell r="K121">
            <v>650000000</v>
          </cell>
        </row>
        <row r="122">
          <cell r="A122" t="str">
            <v>89141WAN2</v>
          </cell>
          <cell r="B122" t="str">
            <v>CB-Torrey Pines Re Ltd. Series 2025-1 Class C</v>
          </cell>
          <cell r="C122">
            <v>113</v>
          </cell>
          <cell r="D122">
            <v>113</v>
          </cell>
          <cell r="E122">
            <v>45809</v>
          </cell>
          <cell r="F122">
            <v>46904</v>
          </cell>
          <cell r="G122">
            <v>175000000</v>
          </cell>
          <cell r="H122" t="str">
            <v>Torrey Pines Re Ltd.</v>
          </cell>
          <cell r="I122" t="str">
            <v>Earthquake / California</v>
          </cell>
          <cell r="J122">
            <v>0</v>
          </cell>
          <cell r="K122">
            <v>325000000</v>
          </cell>
        </row>
        <row r="123">
          <cell r="A123" t="str">
            <v>31771QAB0</v>
          </cell>
          <cell r="B123" t="str">
            <v>CB-Finca Re Ltd. Series 2025-1 Class A</v>
          </cell>
          <cell r="C123">
            <v>114</v>
          </cell>
          <cell r="D123">
            <v>114</v>
          </cell>
          <cell r="E123">
            <v>45818</v>
          </cell>
          <cell r="F123">
            <v>46904</v>
          </cell>
          <cell r="G123">
            <v>125000000</v>
          </cell>
          <cell r="H123" t="str">
            <v>Finca Re Ltd.</v>
          </cell>
          <cell r="I123" t="str">
            <v>Earthquake ; Named Storm / U.S., Puerto Rico, U.S. VI</v>
          </cell>
          <cell r="K123">
            <v>125000000</v>
          </cell>
        </row>
        <row r="124">
          <cell r="A124" t="str">
            <v>XS2799645515</v>
          </cell>
          <cell r="B124" t="str">
            <v>CB-IBRD CAR Mexico 2024 Class A</v>
          </cell>
          <cell r="C124">
            <v>115</v>
          </cell>
          <cell r="D124">
            <v>115</v>
          </cell>
          <cell r="E124">
            <v>45400</v>
          </cell>
          <cell r="F124">
            <v>46860</v>
          </cell>
          <cell r="G124">
            <v>225000000</v>
          </cell>
          <cell r="H124" t="str">
            <v>IBRD CAR Mexico 2024 Class A</v>
          </cell>
          <cell r="I124" t="str">
            <v>Earthquake / Mexico</v>
          </cell>
          <cell r="J124">
            <v>0</v>
          </cell>
          <cell r="K124">
            <v>225000000</v>
          </cell>
        </row>
        <row r="125">
          <cell r="A125" t="str">
            <v>XS2799645606</v>
          </cell>
          <cell r="B125" t="str">
            <v>CB-IBRD CAR Mexico 2024 Class B</v>
          </cell>
          <cell r="C125">
            <v>116</v>
          </cell>
          <cell r="D125">
            <v>116</v>
          </cell>
          <cell r="E125">
            <v>45400</v>
          </cell>
          <cell r="F125">
            <v>46860</v>
          </cell>
          <cell r="G125">
            <v>70000000</v>
          </cell>
          <cell r="H125" t="str">
            <v>IBRD CAR Mexico 2024 Class B</v>
          </cell>
          <cell r="I125" t="str">
            <v>Earthquake / Mexico</v>
          </cell>
          <cell r="J125">
            <v>0</v>
          </cell>
          <cell r="K125">
            <v>70000000</v>
          </cell>
        </row>
        <row r="126">
          <cell r="A126" t="str">
            <v>XS2799645788</v>
          </cell>
          <cell r="B126" t="str">
            <v>CB-IBRD CAR Mexico 2024 Class C</v>
          </cell>
          <cell r="C126">
            <v>117</v>
          </cell>
          <cell r="D126">
            <v>117</v>
          </cell>
          <cell r="E126">
            <v>45400</v>
          </cell>
          <cell r="F126">
            <v>46860</v>
          </cell>
          <cell r="G126">
            <v>125000000</v>
          </cell>
          <cell r="H126" t="str">
            <v>IBRD CAR Mexico 2024 Class C</v>
          </cell>
          <cell r="I126" t="str">
            <v>Atlantic Named Storm / Mexico</v>
          </cell>
          <cell r="J126">
            <v>0</v>
          </cell>
          <cell r="K126">
            <v>125000000</v>
          </cell>
        </row>
        <row r="127">
          <cell r="A127" t="str">
            <v>XS2809694198</v>
          </cell>
          <cell r="B127" t="str">
            <v>CB-IBRD CAR Mexico 2024 Class D</v>
          </cell>
          <cell r="C127">
            <v>118</v>
          </cell>
          <cell r="D127">
            <v>118</v>
          </cell>
          <cell r="E127">
            <v>45428</v>
          </cell>
          <cell r="F127">
            <v>46860</v>
          </cell>
          <cell r="G127">
            <v>175000000</v>
          </cell>
          <cell r="H127" t="str">
            <v>IBRD CAR Mexico 2024 Class D</v>
          </cell>
          <cell r="I127" t="str">
            <v>Pacific Named Storm / Mexico</v>
          </cell>
          <cell r="J127">
            <v>0</v>
          </cell>
          <cell r="K127">
            <v>175000000</v>
          </cell>
        </row>
        <row r="128">
          <cell r="A128" t="str">
            <v>88577CAC5</v>
          </cell>
          <cell r="B128" t="str">
            <v>CB-3264 Re Ltd. Series 2024-1 Class A Reset 2025</v>
          </cell>
          <cell r="C128">
            <v>119</v>
          </cell>
          <cell r="D128">
            <v>119</v>
          </cell>
          <cell r="E128">
            <v>45474</v>
          </cell>
          <cell r="F128">
            <v>46568</v>
          </cell>
          <cell r="G128">
            <v>80000000</v>
          </cell>
          <cell r="H128" t="str">
            <v>3264 Re Ltd.</v>
          </cell>
          <cell r="I128" t="str">
            <v>Named Storm / Northeast U.S.</v>
          </cell>
          <cell r="K128">
            <v>77000000</v>
          </cell>
        </row>
        <row r="129">
          <cell r="A129" t="str">
            <v>88577CAD3</v>
          </cell>
          <cell r="B129" t="str">
            <v>CB-3264 Re Ltd. Series 2024-1 Class B Reset 2025</v>
          </cell>
          <cell r="C129">
            <v>120</v>
          </cell>
          <cell r="D129">
            <v>120</v>
          </cell>
          <cell r="E129">
            <v>45474</v>
          </cell>
          <cell r="F129">
            <v>46568</v>
          </cell>
          <cell r="G129">
            <v>60000000</v>
          </cell>
          <cell r="H129" t="str">
            <v>3264 Re Ltd.</v>
          </cell>
          <cell r="I129" t="str">
            <v>Named Storm / Alabama, Louisiana, Mississippi, Texas</v>
          </cell>
          <cell r="K129">
            <v>80000000</v>
          </cell>
        </row>
        <row r="130">
          <cell r="A130" t="str">
            <v>88577CAG6</v>
          </cell>
          <cell r="B130" t="str">
            <v>CB-3264 Re Ltd. Series 2025-2 Class A</v>
          </cell>
          <cell r="C130">
            <v>121</v>
          </cell>
          <cell r="D130">
            <v>121</v>
          </cell>
          <cell r="E130">
            <v>45809</v>
          </cell>
          <cell r="F130">
            <v>46904</v>
          </cell>
          <cell r="G130">
            <v>150000000</v>
          </cell>
          <cell r="H130" t="str">
            <v>3264 Re Ltd.</v>
          </cell>
          <cell r="I130" t="str">
            <v>Named Storm / Eastern U.S ; Earthquake / U.S., Canada</v>
          </cell>
          <cell r="J130">
            <v>0</v>
          </cell>
          <cell r="K130">
            <v>10000000000</v>
          </cell>
        </row>
        <row r="131">
          <cell r="A131" t="str">
            <v>31969UAA5</v>
          </cell>
          <cell r="B131" t="str">
            <v>CB-First Coast Re IV Ltd. Series 2023-1 Class A Reset 2025</v>
          </cell>
          <cell r="C131">
            <v>122</v>
          </cell>
          <cell r="D131">
            <v>122</v>
          </cell>
          <cell r="E131">
            <v>45078</v>
          </cell>
          <cell r="F131">
            <v>46112</v>
          </cell>
          <cell r="G131">
            <v>100000000</v>
          </cell>
          <cell r="H131" t="str">
            <v>First Coast Re IV Ltd.</v>
          </cell>
          <cell r="I131" t="str">
            <v>Named Storm ; Severe Thunderstorm / Florida</v>
          </cell>
          <cell r="K131">
            <v>100000000</v>
          </cell>
        </row>
        <row r="132">
          <cell r="A132" t="str">
            <v>54307MAA6</v>
          </cell>
          <cell r="B132" t="str">
            <v>CB-Longleaf Pine Re Ltd. Series 2024-1 Class A Reset 2025</v>
          </cell>
          <cell r="C132">
            <v>123</v>
          </cell>
          <cell r="D132">
            <v>123</v>
          </cell>
          <cell r="E132">
            <v>45430</v>
          </cell>
          <cell r="F132">
            <v>46524</v>
          </cell>
          <cell r="G132">
            <v>145000000</v>
          </cell>
          <cell r="H132" t="str">
            <v>Longleaf Pine Re Ltd.</v>
          </cell>
          <cell r="I132" t="str">
            <v>Named Storm / North Carolina</v>
          </cell>
          <cell r="J132">
            <v>0</v>
          </cell>
          <cell r="K132">
            <v>145000000</v>
          </cell>
        </row>
        <row r="133">
          <cell r="A133" t="str">
            <v>92335TAA7</v>
          </cell>
          <cell r="B133" t="str">
            <v>CB-Veraison Re Ltd. Series 2023-1 Class A Reset 2025</v>
          </cell>
          <cell r="C133">
            <v>124</v>
          </cell>
          <cell r="D133">
            <v>124</v>
          </cell>
          <cell r="E133">
            <v>44986</v>
          </cell>
          <cell r="F133">
            <v>46081</v>
          </cell>
          <cell r="G133">
            <v>75000000</v>
          </cell>
          <cell r="H133" t="str">
            <v>Veraison Re Ltd.</v>
          </cell>
          <cell r="I133" t="str">
            <v>NULL</v>
          </cell>
          <cell r="K133">
            <v>100000000</v>
          </cell>
        </row>
        <row r="134">
          <cell r="A134" t="str">
            <v>92335TAB5</v>
          </cell>
          <cell r="B134" t="str">
            <v>CB-Veraison Re Ltd. Series 2023-1 Class B Reset 2025</v>
          </cell>
          <cell r="C134">
            <v>125</v>
          </cell>
          <cell r="D134">
            <v>125</v>
          </cell>
          <cell r="E134">
            <v>44986</v>
          </cell>
          <cell r="F134">
            <v>46081</v>
          </cell>
          <cell r="G134">
            <v>75000000</v>
          </cell>
          <cell r="H134" t="str">
            <v>Veraison Re Ltd.</v>
          </cell>
          <cell r="I134" t="str">
            <v>NULL</v>
          </cell>
          <cell r="K134">
            <v>100000000</v>
          </cell>
        </row>
        <row r="135">
          <cell r="A135" t="str">
            <v>92335TAC3</v>
          </cell>
          <cell r="B135" t="str">
            <v>CB-Veraison Re Ltd. Series 2024-1 Class A Reset 2025</v>
          </cell>
          <cell r="C135">
            <v>126</v>
          </cell>
          <cell r="D135">
            <v>126</v>
          </cell>
          <cell r="E135">
            <v>45352</v>
          </cell>
          <cell r="F135">
            <v>46446</v>
          </cell>
          <cell r="G135">
            <v>175000000</v>
          </cell>
          <cell r="H135" t="str">
            <v>Veraison Re Ltd.</v>
          </cell>
          <cell r="I135" t="str">
            <v>Earthquake / U.S.</v>
          </cell>
          <cell r="K135">
            <v>225000000</v>
          </cell>
        </row>
        <row r="136">
          <cell r="A136" t="str">
            <v>92335TAD1</v>
          </cell>
          <cell r="B136" t="str">
            <v>CB-Veraison Re Ltd. Series 2025-1 Class A</v>
          </cell>
          <cell r="C136">
            <v>127</v>
          </cell>
          <cell r="D136">
            <v>127</v>
          </cell>
          <cell r="E136">
            <v>45717</v>
          </cell>
          <cell r="F136">
            <v>46812</v>
          </cell>
          <cell r="G136">
            <v>300000000</v>
          </cell>
          <cell r="H136" t="str">
            <v>Veraison Re Ltd.</v>
          </cell>
          <cell r="I136" t="str">
            <v>Earthquake / U.S.</v>
          </cell>
          <cell r="K136">
            <v>300000000</v>
          </cell>
        </row>
        <row r="137">
          <cell r="A137" t="str">
            <v>92335TAE9</v>
          </cell>
          <cell r="B137" t="str">
            <v>CB-Veraison Re Ltd. Series 2025-1 Class B</v>
          </cell>
          <cell r="C137">
            <v>128</v>
          </cell>
          <cell r="D137">
            <v>128</v>
          </cell>
          <cell r="E137">
            <v>45717</v>
          </cell>
          <cell r="F137">
            <v>46812</v>
          </cell>
          <cell r="G137">
            <v>150000000</v>
          </cell>
          <cell r="H137" t="str">
            <v>Veraison Re Ltd.</v>
          </cell>
          <cell r="I137" t="str">
            <v>Earthquake / U.S.</v>
          </cell>
          <cell r="K137">
            <v>150000000</v>
          </cell>
        </row>
        <row r="138">
          <cell r="A138" t="str">
            <v>XS3019877813</v>
          </cell>
          <cell r="B138" t="str">
            <v>CB-Vision 2039 Series 2025-1 Class A</v>
          </cell>
          <cell r="C138">
            <v>129</v>
          </cell>
          <cell r="D138">
            <v>129</v>
          </cell>
          <cell r="E138">
            <v>45748</v>
          </cell>
          <cell r="F138">
            <v>46843</v>
          </cell>
          <cell r="G138">
            <v>140000000</v>
          </cell>
          <cell r="H138" t="str">
            <v>Vision 2039</v>
          </cell>
          <cell r="I138" t="str">
            <v>Flood / United Kingdom</v>
          </cell>
          <cell r="K138">
            <v>600000000</v>
          </cell>
        </row>
        <row r="139">
          <cell r="A139" t="str">
            <v>74528TAA2</v>
          </cell>
          <cell r="B139" t="str">
            <v>CB-Puerto Rico Parametric Re Ltd. Series 2024-1 Class A</v>
          </cell>
          <cell r="C139">
            <v>130</v>
          </cell>
          <cell r="D139">
            <v>130</v>
          </cell>
          <cell r="E139">
            <v>45464</v>
          </cell>
          <cell r="F139">
            <v>46538</v>
          </cell>
          <cell r="G139">
            <v>85000000</v>
          </cell>
          <cell r="H139" t="str">
            <v>Puerto Rico Parametric Re Ltd.</v>
          </cell>
          <cell r="I139" t="str">
            <v>Earthquake ; Named Storm / Puerto Rico</v>
          </cell>
          <cell r="J139">
            <v>0</v>
          </cell>
          <cell r="K139">
            <v>85000000</v>
          </cell>
        </row>
        <row r="140">
          <cell r="A140" t="str">
            <v>092168AB9</v>
          </cell>
          <cell r="B140" t="str">
            <v>CB-Black Kite Re Ltd. Series 2025-1 Class A</v>
          </cell>
          <cell r="C140">
            <v>131</v>
          </cell>
          <cell r="D140">
            <v>131</v>
          </cell>
          <cell r="E140">
            <v>45776</v>
          </cell>
          <cell r="F140">
            <v>46871</v>
          </cell>
          <cell r="G140">
            <v>50000000</v>
          </cell>
          <cell r="H140" t="str">
            <v>Black Kite Re Ltd.</v>
          </cell>
          <cell r="I140" t="str">
            <v>Typhoon / Japan ; Earthquake / Japan, China, India</v>
          </cell>
          <cell r="K140">
            <v>50000000</v>
          </cell>
        </row>
        <row r="141">
          <cell r="A141" t="str">
            <v>177510AQ7</v>
          </cell>
          <cell r="B141" t="str">
            <v>CB-Citrus Re Ltd. Series 2025-1 Class A</v>
          </cell>
          <cell r="C141">
            <v>132</v>
          </cell>
          <cell r="D141">
            <v>132</v>
          </cell>
          <cell r="E141">
            <v>45809</v>
          </cell>
          <cell r="F141">
            <v>46904</v>
          </cell>
          <cell r="G141">
            <v>100000000</v>
          </cell>
          <cell r="H141" t="str">
            <v>Citrus Re Ltd.</v>
          </cell>
          <cell r="I141" t="str">
            <v>Named Storm / Southeast U.S.</v>
          </cell>
          <cell r="K141">
            <v>200000000</v>
          </cell>
        </row>
        <row r="142">
          <cell r="A142" t="str">
            <v>177510AR5</v>
          </cell>
          <cell r="B142" t="str">
            <v>CB-Citrus Re Ltd. Series 2025-1 Class B</v>
          </cell>
          <cell r="C142">
            <v>133</v>
          </cell>
          <cell r="D142">
            <v>133</v>
          </cell>
          <cell r="E142">
            <v>45809</v>
          </cell>
          <cell r="F142">
            <v>46904</v>
          </cell>
          <cell r="G142">
            <v>100000000</v>
          </cell>
          <cell r="H142" t="str">
            <v>Citrus Re Ltd.</v>
          </cell>
          <cell r="I142" t="str">
            <v>Named Storm / Hawaii</v>
          </cell>
          <cell r="K142">
            <v>205000000</v>
          </cell>
        </row>
        <row r="143">
          <cell r="A143" t="str">
            <v>177510AL8</v>
          </cell>
          <cell r="B143" t="str">
            <v>CB-Citrus Re Ltd. Series 2023-1 Class A Reset 2025</v>
          </cell>
          <cell r="C143">
            <v>134</v>
          </cell>
          <cell r="D143">
            <v>134</v>
          </cell>
          <cell r="E143">
            <v>45067</v>
          </cell>
          <cell r="F143">
            <v>46173</v>
          </cell>
          <cell r="G143">
            <v>120000000</v>
          </cell>
          <cell r="H143" t="str">
            <v>Citrus Re Ltd.</v>
          </cell>
          <cell r="I143" t="str">
            <v>Named Storm / Northeast U.S.</v>
          </cell>
          <cell r="J143">
            <v>0</v>
          </cell>
          <cell r="K143">
            <v>250000000</v>
          </cell>
        </row>
        <row r="144">
          <cell r="A144" t="str">
            <v>177510AM6</v>
          </cell>
          <cell r="B144" t="str">
            <v>CB-Citrus Re Ltd. Series 2023-1 Class B Reset 2025</v>
          </cell>
          <cell r="C144">
            <v>135</v>
          </cell>
          <cell r="D144">
            <v>135</v>
          </cell>
          <cell r="E144">
            <v>45067</v>
          </cell>
          <cell r="F144">
            <v>46173</v>
          </cell>
          <cell r="G144">
            <v>115000000</v>
          </cell>
          <cell r="H144" t="str">
            <v>Citrus Re Ltd.</v>
          </cell>
          <cell r="I144" t="str">
            <v>Named Storm / Northeast U.S.</v>
          </cell>
          <cell r="J144">
            <v>0</v>
          </cell>
          <cell r="K144">
            <v>115000000</v>
          </cell>
        </row>
        <row r="145">
          <cell r="A145" t="str">
            <v>177510AN4</v>
          </cell>
          <cell r="B145" t="str">
            <v>CB-Citrus Re Ltd. Series 2024-1 Class A Reset 2025</v>
          </cell>
          <cell r="C145">
            <v>136</v>
          </cell>
          <cell r="D145">
            <v>136</v>
          </cell>
          <cell r="E145">
            <v>45444</v>
          </cell>
          <cell r="F145">
            <v>46538</v>
          </cell>
          <cell r="G145">
            <v>50000000</v>
          </cell>
          <cell r="H145" t="str">
            <v>Citrus Re Ltd.</v>
          </cell>
          <cell r="I145" t="str">
            <v>Named Storm / Southeast U.S.</v>
          </cell>
          <cell r="K145">
            <v>100000000</v>
          </cell>
        </row>
        <row r="146">
          <cell r="A146" t="str">
            <v>177510AP9</v>
          </cell>
          <cell r="B146" t="str">
            <v>CB-Citrus Re Ltd. Series 2024-1 Class B Reset 2025</v>
          </cell>
          <cell r="C146">
            <v>137</v>
          </cell>
          <cell r="D146">
            <v>137</v>
          </cell>
          <cell r="E146">
            <v>45444</v>
          </cell>
          <cell r="F146">
            <v>46538</v>
          </cell>
          <cell r="G146">
            <v>50000000</v>
          </cell>
          <cell r="H146" t="str">
            <v>Citrus Re Ltd.</v>
          </cell>
          <cell r="I146" t="str">
            <v>Named Storm / Southeast U.S.</v>
          </cell>
          <cell r="K146">
            <v>140000000</v>
          </cell>
        </row>
        <row r="147">
          <cell r="A147" t="str">
            <v>096003AA6</v>
          </cell>
          <cell r="B147" t="str">
            <v>CB-Blue Ridge Re Ltd. Series 2023-1 Class A Reset 2025</v>
          </cell>
          <cell r="C147">
            <v>138</v>
          </cell>
          <cell r="D147">
            <v>138</v>
          </cell>
          <cell r="E147">
            <v>45292</v>
          </cell>
          <cell r="F147">
            <v>46387</v>
          </cell>
          <cell r="G147">
            <v>200000000</v>
          </cell>
          <cell r="H147" t="str">
            <v>Blue Ridge Re Ltd.</v>
          </cell>
          <cell r="I147" t="str">
            <v>Named Storm / North Carolina</v>
          </cell>
          <cell r="J147">
            <v>0</v>
          </cell>
          <cell r="K147">
            <v>600000000</v>
          </cell>
        </row>
        <row r="148">
          <cell r="A148" t="str">
            <v>096003AB4</v>
          </cell>
          <cell r="B148" t="str">
            <v>CB-Blue Ridge Re Ltd. Series 2023-1 Class B Reset 2025</v>
          </cell>
          <cell r="C148">
            <v>139</v>
          </cell>
          <cell r="D148">
            <v>139</v>
          </cell>
          <cell r="E148">
            <v>45292</v>
          </cell>
          <cell r="F148">
            <v>46387</v>
          </cell>
          <cell r="G148">
            <v>200000000</v>
          </cell>
          <cell r="H148" t="str">
            <v>Blue Ridge Re Ltd.</v>
          </cell>
          <cell r="I148" t="str">
            <v>Named Storm / North Carolina</v>
          </cell>
          <cell r="J148">
            <v>0</v>
          </cell>
          <cell r="K148">
            <v>500000000</v>
          </cell>
        </row>
        <row r="149">
          <cell r="A149" t="str">
            <v>04227FAF2</v>
          </cell>
          <cell r="B149" t="str">
            <v>CB-Armor Re II Ltd. Series 2024-2 Class A</v>
          </cell>
          <cell r="C149">
            <v>140</v>
          </cell>
          <cell r="D149">
            <v>140</v>
          </cell>
          <cell r="E149">
            <v>45647</v>
          </cell>
          <cell r="F149">
            <v>46752</v>
          </cell>
          <cell r="G149">
            <v>200000000</v>
          </cell>
          <cell r="H149" t="str">
            <v>Armor Re II Ltd.</v>
          </cell>
          <cell r="I149" t="str">
            <v>Named Storm / Florida</v>
          </cell>
          <cell r="K149">
            <v>200000000</v>
          </cell>
        </row>
        <row r="150">
          <cell r="A150" t="str">
            <v>13947LAG7</v>
          </cell>
          <cell r="B150" t="str">
            <v>CB-Cape Lookout Re Ltd. Series 2025-1 Class A</v>
          </cell>
          <cell r="C150">
            <v>141</v>
          </cell>
          <cell r="D150">
            <v>141</v>
          </cell>
          <cell r="E150">
            <v>45720</v>
          </cell>
          <cell r="F150">
            <v>46815</v>
          </cell>
          <cell r="G150">
            <v>600000000</v>
          </cell>
          <cell r="H150" t="str">
            <v>Cape Lookout Re Ltd.</v>
          </cell>
          <cell r="I150" t="str">
            <v>Named Storm / North Carolina</v>
          </cell>
          <cell r="J150">
            <v>0</v>
          </cell>
          <cell r="K150">
            <v>600000000</v>
          </cell>
        </row>
        <row r="151">
          <cell r="A151" t="str">
            <v>07304LAA9</v>
          </cell>
          <cell r="B151" t="str">
            <v>CB-Bayou Re Ltd. Series 2023-1 Class A Reset 2025</v>
          </cell>
          <cell r="C151">
            <v>142</v>
          </cell>
          <cell r="D151">
            <v>142</v>
          </cell>
          <cell r="E151">
            <v>45065</v>
          </cell>
          <cell r="F151">
            <v>46160</v>
          </cell>
          <cell r="G151">
            <v>120000000</v>
          </cell>
          <cell r="H151" t="str">
            <v>Bayou Re Ltd.</v>
          </cell>
          <cell r="I151" t="str">
            <v>Named Storm / Louisiana</v>
          </cell>
          <cell r="J151">
            <v>0</v>
          </cell>
          <cell r="K151">
            <v>250000000</v>
          </cell>
        </row>
        <row r="152">
          <cell r="A152" t="str">
            <v>07304LAB7</v>
          </cell>
          <cell r="B152" t="str">
            <v>CB-Bayou Re Ltd. Series 2023-1 Class B Reset 2025</v>
          </cell>
          <cell r="C152">
            <v>143</v>
          </cell>
          <cell r="D152">
            <v>143</v>
          </cell>
          <cell r="E152">
            <v>45065</v>
          </cell>
          <cell r="F152">
            <v>46160</v>
          </cell>
          <cell r="G152">
            <v>75000000</v>
          </cell>
          <cell r="H152" t="str">
            <v>Bayou Re Ltd.</v>
          </cell>
          <cell r="I152" t="str">
            <v>Named Storm / Louisiana</v>
          </cell>
          <cell r="J152">
            <v>0</v>
          </cell>
          <cell r="K152">
            <v>310000000</v>
          </cell>
        </row>
        <row r="153">
          <cell r="A153" t="str">
            <v>74639NAD5</v>
          </cell>
          <cell r="B153" t="str">
            <v>CB-Purple Re Ltd. Series 2025-1 Class A</v>
          </cell>
          <cell r="C153">
            <v>144</v>
          </cell>
          <cell r="D153">
            <v>144</v>
          </cell>
          <cell r="E153">
            <v>45809</v>
          </cell>
          <cell r="F153">
            <v>46904</v>
          </cell>
          <cell r="G153">
            <v>125000000</v>
          </cell>
          <cell r="H153" t="str">
            <v>Purple Re Ltd.</v>
          </cell>
          <cell r="I153" t="str">
            <v>Named Storm / Florida, South Carolina</v>
          </cell>
          <cell r="K153">
            <v>257000000</v>
          </cell>
        </row>
        <row r="154">
          <cell r="A154" t="str">
            <v>74639NAE3</v>
          </cell>
          <cell r="B154" t="str">
            <v>CB-Purple Re Ltd. Series 2025-1 Class B</v>
          </cell>
          <cell r="C154">
            <v>145</v>
          </cell>
          <cell r="D154">
            <v>145</v>
          </cell>
          <cell r="E154">
            <v>45809</v>
          </cell>
          <cell r="F154">
            <v>46904</v>
          </cell>
          <cell r="G154">
            <v>125000000</v>
          </cell>
          <cell r="H154" t="str">
            <v>Purple Re Ltd.</v>
          </cell>
          <cell r="I154" t="str">
            <v>Named Storm / Florida, South Carolina</v>
          </cell>
          <cell r="K154">
            <v>250000000</v>
          </cell>
        </row>
        <row r="155">
          <cell r="A155" t="str">
            <v>74639NAC7</v>
          </cell>
          <cell r="B155" t="str">
            <v>CB-Purple Re Ltd. Series 2024-1 Class A Reset 2025</v>
          </cell>
          <cell r="C155">
            <v>146</v>
          </cell>
          <cell r="D155">
            <v>146</v>
          </cell>
          <cell r="E155">
            <v>45444</v>
          </cell>
          <cell r="F155">
            <v>46538</v>
          </cell>
          <cell r="G155">
            <v>210000000</v>
          </cell>
          <cell r="H155" t="str">
            <v>Purple Re Ltd.</v>
          </cell>
          <cell r="I155" t="str">
            <v>Named Storm / Florida, South Carolina</v>
          </cell>
          <cell r="K155">
            <v>300000000</v>
          </cell>
        </row>
        <row r="156">
          <cell r="A156" t="str">
            <v>74639NAB9</v>
          </cell>
          <cell r="B156" t="str">
            <v>CB-Purple Re Ltd. Series 2023-2 Class A Reset 2025</v>
          </cell>
          <cell r="C156">
            <v>147</v>
          </cell>
          <cell r="D156">
            <v>147</v>
          </cell>
          <cell r="E156">
            <v>45113</v>
          </cell>
          <cell r="F156">
            <v>46173</v>
          </cell>
          <cell r="G156">
            <v>100000000</v>
          </cell>
          <cell r="H156" t="str">
            <v>Purple Re Ltd.</v>
          </cell>
          <cell r="I156" t="str">
            <v>Named Storm / Florida, South Carolina</v>
          </cell>
          <cell r="K156">
            <v>100000000</v>
          </cell>
        </row>
        <row r="157">
          <cell r="A157" t="str">
            <v>74639NAA1</v>
          </cell>
          <cell r="B157" t="str">
            <v>CB-Purple Re Ltd. Series 2023-1 Class A Reset 2025</v>
          </cell>
          <cell r="C157">
            <v>148</v>
          </cell>
          <cell r="D157">
            <v>148</v>
          </cell>
          <cell r="E157">
            <v>45034</v>
          </cell>
          <cell r="F157">
            <v>46129</v>
          </cell>
          <cell r="G157">
            <v>100000000</v>
          </cell>
          <cell r="H157" t="str">
            <v>Purple Re Ltd.</v>
          </cell>
          <cell r="I157" t="str">
            <v>Named Storm / Florida, South Carolina</v>
          </cell>
          <cell r="J157">
            <v>0</v>
          </cell>
          <cell r="K157">
            <v>100000000</v>
          </cell>
        </row>
        <row r="158">
          <cell r="A158" t="str">
            <v>62983QAN3</v>
          </cell>
          <cell r="B158" t="str">
            <v>CB-Nakama Re Ltd. Series 2023-1 Class 1 Reset 2025</v>
          </cell>
          <cell r="C158">
            <v>149</v>
          </cell>
          <cell r="D158">
            <v>149</v>
          </cell>
          <cell r="E158">
            <v>45041</v>
          </cell>
          <cell r="F158">
            <v>46867</v>
          </cell>
          <cell r="G158">
            <v>75000000</v>
          </cell>
          <cell r="H158" t="str">
            <v>Nakama Re Ltd.</v>
          </cell>
          <cell r="I158" t="str">
            <v>Earthquake / Japan</v>
          </cell>
          <cell r="J158">
            <v>0</v>
          </cell>
          <cell r="K158">
            <v>75000000</v>
          </cell>
        </row>
        <row r="159">
          <cell r="A159" t="str">
            <v>62983QAP8</v>
          </cell>
          <cell r="B159" t="str">
            <v>CB-Nakama Re Ltd. Series 2023-1 Class 2 Reset 2025</v>
          </cell>
          <cell r="C159">
            <v>150</v>
          </cell>
          <cell r="D159">
            <v>150</v>
          </cell>
          <cell r="E159">
            <v>45041</v>
          </cell>
          <cell r="F159">
            <v>46867</v>
          </cell>
          <cell r="G159">
            <v>150000000</v>
          </cell>
          <cell r="H159" t="str">
            <v>Nakama Re Ltd.</v>
          </cell>
          <cell r="I159" t="str">
            <v>Earthquake / Japan</v>
          </cell>
          <cell r="J159">
            <v>0</v>
          </cell>
          <cell r="K159">
            <v>150000000</v>
          </cell>
        </row>
        <row r="160">
          <cell r="A160" t="str">
            <v>62984JAC2</v>
          </cell>
          <cell r="B160" t="str">
            <v>CB-Nakama Re Pte. Ltd. Series 2024-1 Class 1 Reset 2025</v>
          </cell>
          <cell r="C160">
            <v>151</v>
          </cell>
          <cell r="D160">
            <v>151</v>
          </cell>
          <cell r="E160">
            <v>45771</v>
          </cell>
          <cell r="F160">
            <v>46843</v>
          </cell>
          <cell r="G160">
            <v>150000000</v>
          </cell>
          <cell r="H160" t="str">
            <v>Nakama Re Pte. Ltd.</v>
          </cell>
          <cell r="I160" t="str">
            <v>Earthquake / Japan</v>
          </cell>
          <cell r="J160">
            <v>0</v>
          </cell>
          <cell r="K160">
            <v>150000000</v>
          </cell>
        </row>
        <row r="161">
          <cell r="A161" t="str">
            <v>62984JAD0</v>
          </cell>
          <cell r="B161" t="str">
            <v>CB-Nakama Re Pte. Ltd. Series 2025-1 Class 1</v>
          </cell>
          <cell r="C161">
            <v>152</v>
          </cell>
          <cell r="D161">
            <v>152</v>
          </cell>
          <cell r="E161">
            <v>45764</v>
          </cell>
          <cell r="F161">
            <v>46858</v>
          </cell>
          <cell r="G161">
            <v>100000000</v>
          </cell>
          <cell r="H161" t="str">
            <v>Nakama Re Pte. Ltd.</v>
          </cell>
          <cell r="I161" t="str">
            <v>Earthquake / Japan</v>
          </cell>
          <cell r="J161">
            <v>0</v>
          </cell>
          <cell r="K161">
            <v>100000000</v>
          </cell>
        </row>
        <row r="162">
          <cell r="A162" t="str">
            <v>62984JAA6</v>
          </cell>
          <cell r="B162" t="str">
            <v>CB-Nakama Re Pte. Ltd. Series 2021-1 Class 1 Reset 2023</v>
          </cell>
          <cell r="C162">
            <v>153</v>
          </cell>
          <cell r="D162">
            <v>153</v>
          </cell>
          <cell r="E162">
            <v>45200</v>
          </cell>
          <cell r="F162">
            <v>46295</v>
          </cell>
          <cell r="G162">
            <v>550000000</v>
          </cell>
          <cell r="H162" t="str">
            <v>Nakama Re Pte. Ltd.</v>
          </cell>
          <cell r="I162" t="str">
            <v>Earthquake / Japan</v>
          </cell>
          <cell r="J162">
            <v>0</v>
          </cell>
          <cell r="K162">
            <v>550000000</v>
          </cell>
        </row>
        <row r="163">
          <cell r="A163" t="str">
            <v>62984JAB4</v>
          </cell>
          <cell r="B163" t="str">
            <v>CB-Nakama Re Pte. Ltd. Series 2021-1 Class 2 Reset 2023</v>
          </cell>
          <cell r="C163">
            <v>154</v>
          </cell>
          <cell r="D163">
            <v>154</v>
          </cell>
          <cell r="E163">
            <v>45200</v>
          </cell>
          <cell r="F163">
            <v>46295</v>
          </cell>
          <cell r="G163">
            <v>225000000</v>
          </cell>
          <cell r="H163" t="str">
            <v>Nakama Re Pte. Ltd.</v>
          </cell>
          <cell r="I163" t="str">
            <v>Earthquake / Japan</v>
          </cell>
          <cell r="J163">
            <v>0</v>
          </cell>
          <cell r="K163">
            <v>225000000</v>
          </cell>
        </row>
        <row r="164">
          <cell r="A164" t="str">
            <v>049207AB9</v>
          </cell>
          <cell r="B164" t="str">
            <v>CB-Atlas Capital DAC Series 2024-1 Class A Reset 2025</v>
          </cell>
          <cell r="C164">
            <v>155</v>
          </cell>
          <cell r="D164">
            <v>155</v>
          </cell>
          <cell r="E164">
            <v>45444</v>
          </cell>
          <cell r="F164">
            <v>46538</v>
          </cell>
          <cell r="G164">
            <v>175000000</v>
          </cell>
          <cell r="H164" t="str">
            <v>Atlas Capital DAC</v>
          </cell>
          <cell r="I164" t="str">
            <v>Earthquake / U.S., Canada, Puerto Rico, U.S. VI ; Named Storm / U.S., Puerto Rico, U.S. VI</v>
          </cell>
          <cell r="K164">
            <v>300000000</v>
          </cell>
        </row>
        <row r="165">
          <cell r="A165" t="str">
            <v>XS2411652642</v>
          </cell>
          <cell r="B165" t="str">
            <v>CB-Hexagon III Re Pte. Ltd. Series 2021-1 Class A Reset 2025</v>
          </cell>
          <cell r="C165">
            <v>156</v>
          </cell>
          <cell r="D165">
            <v>156</v>
          </cell>
          <cell r="E165">
            <v>44562</v>
          </cell>
          <cell r="F165">
            <v>46022</v>
          </cell>
          <cell r="G165">
            <v>100000000</v>
          </cell>
          <cell r="H165" t="str">
            <v>Hexagon III Re Pte. Ltd.</v>
          </cell>
          <cell r="I165" t="str">
            <v>Windstorm ; Hail / France</v>
          </cell>
          <cell r="J165">
            <v>0</v>
          </cell>
          <cell r="K165">
            <v>318000000</v>
          </cell>
        </row>
        <row r="166">
          <cell r="A166" t="str">
            <v>XS2411653293</v>
          </cell>
          <cell r="B166" t="str">
            <v>CB-Hexagon III Re Pte. Ltd. Series 2021-1 Class B Reset 2025</v>
          </cell>
          <cell r="C166">
            <v>157</v>
          </cell>
          <cell r="D166">
            <v>157</v>
          </cell>
          <cell r="E166">
            <v>44562</v>
          </cell>
          <cell r="F166">
            <v>46022</v>
          </cell>
          <cell r="G166">
            <v>41776653</v>
          </cell>
          <cell r="H166" t="str">
            <v>Hexagon III Re Pte. Ltd.</v>
          </cell>
          <cell r="I166" t="str">
            <v>Windstorm / France</v>
          </cell>
          <cell r="J166">
            <v>0</v>
          </cell>
          <cell r="K166">
            <v>100000000</v>
          </cell>
        </row>
        <row r="167">
          <cell r="A167" t="str">
            <v>428270AA0</v>
          </cell>
          <cell r="B167" t="str">
            <v>CB-Hexagon IV Re Ltd. Series 2023-1 Class A Reset 2025</v>
          </cell>
          <cell r="C167">
            <v>158</v>
          </cell>
          <cell r="D167">
            <v>158</v>
          </cell>
          <cell r="E167">
            <v>45292</v>
          </cell>
          <cell r="F167">
            <v>46752</v>
          </cell>
          <cell r="G167">
            <v>120000000</v>
          </cell>
          <cell r="H167" t="str">
            <v>Hexagon IV Re Ltd.</v>
          </cell>
          <cell r="I167" t="str">
            <v>Windstorm / France</v>
          </cell>
          <cell r="J167">
            <v>0</v>
          </cell>
          <cell r="K167">
            <v>382000000</v>
          </cell>
        </row>
        <row r="168">
          <cell r="A168" t="str">
            <v>428270AB8</v>
          </cell>
          <cell r="B168" t="str">
            <v>CB-Hexagon IV Re Ltd. Series 2023-1 Class B Reset 2025</v>
          </cell>
          <cell r="C168">
            <v>159</v>
          </cell>
          <cell r="D168">
            <v>159</v>
          </cell>
          <cell r="E168">
            <v>45292</v>
          </cell>
          <cell r="F168">
            <v>46022</v>
          </cell>
          <cell r="G168">
            <v>25000000</v>
          </cell>
          <cell r="H168" t="str">
            <v>Hexagon IV Re Ltd.</v>
          </cell>
          <cell r="I168" t="str">
            <v>Windstorm / France</v>
          </cell>
          <cell r="J168">
            <v>0</v>
          </cell>
          <cell r="K168">
            <v>100000000</v>
          </cell>
        </row>
        <row r="169">
          <cell r="A169" t="str">
            <v>09610NAA0</v>
          </cell>
          <cell r="B169" t="str">
            <v>CB-Bluebonnet Re Ltd. Series 2025-1 Class A</v>
          </cell>
          <cell r="C169">
            <v>160</v>
          </cell>
          <cell r="D169">
            <v>160</v>
          </cell>
          <cell r="E169">
            <v>45809</v>
          </cell>
          <cell r="F169">
            <v>46904</v>
          </cell>
          <cell r="G169">
            <v>250000000</v>
          </cell>
          <cell r="H169" t="str">
            <v>Bluebonnet Re Ltd.</v>
          </cell>
          <cell r="I169" t="str">
            <v>Named Storm ; Severe Thunderstorm / Texas</v>
          </cell>
          <cell r="K169">
            <v>1427000000</v>
          </cell>
        </row>
        <row r="170">
          <cell r="A170" t="str">
            <v>09610NAB8</v>
          </cell>
          <cell r="B170" t="str">
            <v>CB-Bluebonnet Re Ltd. Series 2025-1 Class B</v>
          </cell>
          <cell r="C170">
            <v>161</v>
          </cell>
          <cell r="D170">
            <v>161</v>
          </cell>
          <cell r="E170">
            <v>45809</v>
          </cell>
          <cell r="F170">
            <v>46904</v>
          </cell>
          <cell r="G170">
            <v>200000000</v>
          </cell>
          <cell r="H170" t="str">
            <v>Bluebonnet Re Ltd.</v>
          </cell>
          <cell r="I170" t="str">
            <v>Named Storm ; Severe Thunderstorm / Texas</v>
          </cell>
          <cell r="K170">
            <v>800000000</v>
          </cell>
        </row>
        <row r="171">
          <cell r="A171" t="str">
            <v>09610NAC6</v>
          </cell>
          <cell r="B171" t="str">
            <v>CB-Bluebonnet Re Ltd. Series 2025-1 Class C</v>
          </cell>
          <cell r="C171">
            <v>162</v>
          </cell>
          <cell r="D171">
            <v>162</v>
          </cell>
          <cell r="E171">
            <v>45809</v>
          </cell>
          <cell r="F171">
            <v>46904</v>
          </cell>
          <cell r="G171">
            <v>100000000</v>
          </cell>
          <cell r="H171" t="str">
            <v>Bluebonnet Re Ltd.</v>
          </cell>
          <cell r="I171" t="str">
            <v>Named Storm ; Severe Thunderstorm / Texas</v>
          </cell>
          <cell r="K171">
            <v>1000000000</v>
          </cell>
        </row>
        <row r="172">
          <cell r="A172" t="str">
            <v>09610NAD4</v>
          </cell>
          <cell r="B172" t="str">
            <v>CB-Bluebonnet Re Ltd. Series 2025-2 Class A</v>
          </cell>
          <cell r="C172">
            <v>163</v>
          </cell>
          <cell r="D172">
            <v>163</v>
          </cell>
          <cell r="E172">
            <v>45839</v>
          </cell>
          <cell r="F172">
            <v>46538</v>
          </cell>
          <cell r="G172">
            <v>200000000</v>
          </cell>
          <cell r="H172" t="str">
            <v>Bluebonnet Re Ltd.</v>
          </cell>
          <cell r="I172" t="str">
            <v>Named Storm ; Severe Thunderstorm ; Wildfire / Texas</v>
          </cell>
          <cell r="K172">
            <v>320000000</v>
          </cell>
        </row>
        <row r="173">
          <cell r="A173" t="str">
            <v>42815KAC6</v>
          </cell>
          <cell r="B173" t="str">
            <v>CB-Hestia Re Ltd. Series 2025-1 Class A</v>
          </cell>
          <cell r="C173">
            <v>164</v>
          </cell>
          <cell r="D173">
            <v>164</v>
          </cell>
          <cell r="E173">
            <v>45809</v>
          </cell>
          <cell r="F173">
            <v>46817</v>
          </cell>
          <cell r="G173">
            <v>200000000</v>
          </cell>
          <cell r="H173" t="str">
            <v>Hestia Re Ltd.</v>
          </cell>
          <cell r="I173" t="str">
            <v>Named Storm / Florida</v>
          </cell>
          <cell r="J173">
            <v>0</v>
          </cell>
          <cell r="K173">
            <v>200000000</v>
          </cell>
        </row>
        <row r="174">
          <cell r="A174" t="str">
            <v>42815KAD4</v>
          </cell>
          <cell r="B174" t="str">
            <v>CB-Hestia Re Ltd. Series 2025-1 Class B</v>
          </cell>
          <cell r="C174">
            <v>165</v>
          </cell>
          <cell r="D174">
            <v>165</v>
          </cell>
          <cell r="E174">
            <v>45809</v>
          </cell>
          <cell r="F174">
            <v>46817</v>
          </cell>
          <cell r="G174">
            <v>100000000</v>
          </cell>
          <cell r="H174" t="str">
            <v>Hestia Re Ltd.</v>
          </cell>
          <cell r="I174" t="str">
            <v>Named Storm / Florida</v>
          </cell>
          <cell r="J174">
            <v>0</v>
          </cell>
          <cell r="K174">
            <v>200000000</v>
          </cell>
        </row>
        <row r="175">
          <cell r="A175" t="str">
            <v>42815KAB8</v>
          </cell>
          <cell r="B175" t="str">
            <v>CB-Hestia Re Ltd. Series 2023-1 Class A Reset 2025</v>
          </cell>
          <cell r="C175">
            <v>166</v>
          </cell>
          <cell r="D175">
            <v>166</v>
          </cell>
          <cell r="E175">
            <v>45078</v>
          </cell>
          <cell r="F175">
            <v>46110</v>
          </cell>
          <cell r="G175">
            <v>100000000</v>
          </cell>
          <cell r="H175" t="str">
            <v>Hestia Re Ltd.</v>
          </cell>
          <cell r="I175" t="str">
            <v>Named Storm / Florida</v>
          </cell>
          <cell r="K175">
            <v>200000000</v>
          </cell>
        </row>
        <row r="176">
          <cell r="A176" t="str">
            <v>44914CAD8</v>
          </cell>
          <cell r="B176" t="str">
            <v>CB-Hypatia Ltd. Series 2025-1 Class A</v>
          </cell>
          <cell r="C176">
            <v>167</v>
          </cell>
          <cell r="D176">
            <v>167</v>
          </cell>
          <cell r="E176">
            <v>45836</v>
          </cell>
          <cell r="F176">
            <v>46931</v>
          </cell>
          <cell r="G176">
            <v>150000000</v>
          </cell>
          <cell r="H176" t="str">
            <v>Hypatia Ltd.</v>
          </cell>
          <cell r="I176" t="str">
            <v>Earthquake / U.S., Canada, Puerto Rico, U.S. VI ; Named Storm / U.S., Puerto Rico, U.S. VI</v>
          </cell>
          <cell r="K176">
            <v>20000000000</v>
          </cell>
        </row>
        <row r="177">
          <cell r="A177" t="str">
            <v>36779CAT3</v>
          </cell>
          <cell r="B177" t="str">
            <v>CB-Gateway Re Ltd. Series 2025-3 Class A</v>
          </cell>
          <cell r="C177">
            <v>168</v>
          </cell>
          <cell r="D177">
            <v>168</v>
          </cell>
          <cell r="E177">
            <v>45839</v>
          </cell>
          <cell r="F177">
            <v>46006</v>
          </cell>
          <cell r="G177">
            <v>100000000</v>
          </cell>
          <cell r="H177" t="str">
            <v>Gateway Re Ltd.</v>
          </cell>
          <cell r="I177" t="str">
            <v xml:space="preserve">Named Storm / Louisiana, Mississippi, South Carolina, Texas </v>
          </cell>
          <cell r="K177">
            <v>160000000</v>
          </cell>
        </row>
        <row r="178">
          <cell r="A178" t="str">
            <v>45870GAA4</v>
          </cell>
          <cell r="B178" t="str">
            <v>CB-Integrity Re III Ltd. Series 2025-1 Class A-1 Reset 2025</v>
          </cell>
          <cell r="C178">
            <v>169</v>
          </cell>
          <cell r="D178">
            <v>169</v>
          </cell>
          <cell r="E178">
            <v>45809</v>
          </cell>
          <cell r="F178">
            <v>46538</v>
          </cell>
          <cell r="G178">
            <v>50000000</v>
          </cell>
          <cell r="H178" t="str">
            <v>Integrity Re III Ltd.</v>
          </cell>
          <cell r="I178" t="str">
            <v>Named Storm / Florida, Georgia, South Carolina, North Carolina</v>
          </cell>
          <cell r="J178">
            <v>0</v>
          </cell>
          <cell r="K178">
            <v>268800000</v>
          </cell>
        </row>
        <row r="179">
          <cell r="A179" t="str">
            <v>45870GAC0</v>
          </cell>
          <cell r="B179" t="str">
            <v>CB-Integrity Re III Ltd. Series 2025-1 Class B-1 Reset 2025</v>
          </cell>
          <cell r="C179">
            <v>170</v>
          </cell>
          <cell r="D179">
            <v>170</v>
          </cell>
          <cell r="E179">
            <v>45809</v>
          </cell>
          <cell r="F179">
            <v>46538</v>
          </cell>
          <cell r="G179">
            <v>50000000</v>
          </cell>
          <cell r="H179" t="str">
            <v>Integrity Re III Ltd.</v>
          </cell>
          <cell r="I179" t="str">
            <v>Named Storm / Florida, Georgia, South Carolina, North Carolina</v>
          </cell>
          <cell r="J179">
            <v>0</v>
          </cell>
          <cell r="K179">
            <v>290100000</v>
          </cell>
        </row>
        <row r="180">
          <cell r="A180" t="str">
            <v>45870GAE6</v>
          </cell>
          <cell r="B180" t="str">
            <v>CB-Integrity Re III Ltd. Series 2025-1 Class C Reset 2025</v>
          </cell>
          <cell r="C180">
            <v>171</v>
          </cell>
          <cell r="D180">
            <v>171</v>
          </cell>
          <cell r="E180">
            <v>45809</v>
          </cell>
          <cell r="F180">
            <v>46904</v>
          </cell>
          <cell r="G180">
            <v>165000000</v>
          </cell>
          <cell r="H180" t="str">
            <v>Integrity Re III Ltd.</v>
          </cell>
          <cell r="I180" t="str">
            <v>Named Storm / Florida, Georgia, South Carolina, North Carolina</v>
          </cell>
          <cell r="J180">
            <v>0</v>
          </cell>
          <cell r="K180">
            <v>285300000</v>
          </cell>
        </row>
        <row r="181">
          <cell r="A181" t="str">
            <v>45870GAF3</v>
          </cell>
          <cell r="B181" t="str">
            <v>CB-Integrity Re III Ltd. Series 2025-1 Class D Reset 2025</v>
          </cell>
          <cell r="C181">
            <v>172</v>
          </cell>
          <cell r="D181">
            <v>172</v>
          </cell>
          <cell r="E181">
            <v>45809</v>
          </cell>
          <cell r="F181">
            <v>46538</v>
          </cell>
          <cell r="G181">
            <v>100000000</v>
          </cell>
          <cell r="H181" t="str">
            <v>Integrity Re III Ltd.</v>
          </cell>
          <cell r="I181" t="str">
            <v>Named Storm / Florida, Georgia, South Carolina</v>
          </cell>
          <cell r="J181">
            <v>0</v>
          </cell>
          <cell r="K181">
            <v>163900000</v>
          </cell>
        </row>
        <row r="182">
          <cell r="A182" t="str">
            <v>45870GAB2</v>
          </cell>
          <cell r="B182" t="str">
            <v>CB-Integrity Re III Ltd. Series 2025-1 Class A-2 Reset 2025</v>
          </cell>
          <cell r="C182">
            <v>173</v>
          </cell>
          <cell r="D182">
            <v>173</v>
          </cell>
          <cell r="E182">
            <v>45809</v>
          </cell>
          <cell r="F182">
            <v>46904</v>
          </cell>
          <cell r="G182">
            <v>100000000</v>
          </cell>
          <cell r="H182" t="str">
            <v>Integrity Re III Ltd.</v>
          </cell>
          <cell r="I182" t="str">
            <v>Named Storm / Florida, Georgia, South Carolina, North Carolina</v>
          </cell>
          <cell r="J182">
            <v>0</v>
          </cell>
          <cell r="K182">
            <v>268800000</v>
          </cell>
        </row>
        <row r="183">
          <cell r="A183" t="str">
            <v>45870GAD8</v>
          </cell>
          <cell r="B183" t="str">
            <v>CB-Integrity Re III Ltd. Series 2025-1 Class B-2 Reset 2025</v>
          </cell>
          <cell r="C183">
            <v>174</v>
          </cell>
          <cell r="D183">
            <v>174</v>
          </cell>
          <cell r="E183">
            <v>45809</v>
          </cell>
          <cell r="F183">
            <v>46904</v>
          </cell>
          <cell r="G183">
            <v>100000000</v>
          </cell>
          <cell r="H183" t="str">
            <v>Integrity Re III Ltd.</v>
          </cell>
          <cell r="I183" t="str">
            <v>Named Storm / Florida, Georgia, South Carolina, North Carolina</v>
          </cell>
          <cell r="J183">
            <v>0</v>
          </cell>
          <cell r="K183">
            <v>290100000</v>
          </cell>
        </row>
        <row r="184">
          <cell r="A184" t="str">
            <v>45833UAJ0</v>
          </cell>
          <cell r="B184" t="str">
            <v>CB-Integrity Re Ltd. Series 2024-1 Class A Reset 2025</v>
          </cell>
          <cell r="C184">
            <v>175</v>
          </cell>
          <cell r="D184">
            <v>175</v>
          </cell>
          <cell r="E184">
            <v>45444</v>
          </cell>
          <cell r="F184">
            <v>46173</v>
          </cell>
          <cell r="G184">
            <v>120000000</v>
          </cell>
          <cell r="H184" t="str">
            <v>Integrity Re Ltd.</v>
          </cell>
          <cell r="I184" t="str">
            <v>Named Storm / Florida, Georgia, South Carolina</v>
          </cell>
          <cell r="J184">
            <v>60000000</v>
          </cell>
          <cell r="K184">
            <v>120000000</v>
          </cell>
        </row>
        <row r="185">
          <cell r="A185" t="str">
            <v>45833UAK7</v>
          </cell>
          <cell r="B185" t="str">
            <v>CB-Integrity Re Ltd. Series 2024-1 Class B Reset 2025</v>
          </cell>
          <cell r="C185">
            <v>176</v>
          </cell>
          <cell r="D185">
            <v>176</v>
          </cell>
          <cell r="E185">
            <v>45444</v>
          </cell>
          <cell r="F185">
            <v>46173</v>
          </cell>
          <cell r="G185">
            <v>50000000</v>
          </cell>
          <cell r="H185" t="str">
            <v>Integrity Re Ltd.</v>
          </cell>
          <cell r="I185" t="str">
            <v>Named Storm / Florida, Georgia, South Carolina</v>
          </cell>
          <cell r="J185">
            <v>0</v>
          </cell>
          <cell r="K185">
            <v>110200000</v>
          </cell>
        </row>
        <row r="186">
          <cell r="A186" t="str">
            <v>45833UAL5</v>
          </cell>
          <cell r="B186" t="str">
            <v>CB-Integrity Re Ltd. Series 2024-1 Class C Reset 2025</v>
          </cell>
          <cell r="C186">
            <v>177</v>
          </cell>
          <cell r="D186">
            <v>177</v>
          </cell>
          <cell r="E186">
            <v>45444</v>
          </cell>
          <cell r="F186">
            <v>46173</v>
          </cell>
          <cell r="G186">
            <v>60000000</v>
          </cell>
          <cell r="H186" t="str">
            <v>Integrity Re Ltd.</v>
          </cell>
          <cell r="I186" t="str">
            <v>Named Storm / Florida, Georgia, South Carolina</v>
          </cell>
          <cell r="J186">
            <v>0</v>
          </cell>
          <cell r="K186">
            <v>138700000</v>
          </cell>
        </row>
        <row r="187">
          <cell r="A187" t="str">
            <v>45833UAM3</v>
          </cell>
          <cell r="B187" t="str">
            <v>CB-Integrity Re Ltd. Series 2024-1 Class D Reset 2025</v>
          </cell>
          <cell r="C187">
            <v>178</v>
          </cell>
          <cell r="D187">
            <v>178</v>
          </cell>
          <cell r="E187">
            <v>45444</v>
          </cell>
          <cell r="F187">
            <v>46173</v>
          </cell>
          <cell r="G187">
            <v>75000000</v>
          </cell>
          <cell r="H187" t="str">
            <v>Integrity Re Ltd.</v>
          </cell>
          <cell r="I187" t="str">
            <v>Named Storm / Florida, Georgia, South Carolina</v>
          </cell>
          <cell r="J187">
            <v>0</v>
          </cell>
          <cell r="K187">
            <v>192400000</v>
          </cell>
        </row>
        <row r="188">
          <cell r="A188" t="str">
            <v>675951AA5</v>
          </cell>
          <cell r="B188" t="str">
            <v>CB-Ocelot Re Ltd. Series 2023-1 Class A Reset 2025</v>
          </cell>
          <cell r="C188">
            <v>179</v>
          </cell>
          <cell r="D188">
            <v>179</v>
          </cell>
          <cell r="E188">
            <v>45292</v>
          </cell>
          <cell r="F188">
            <v>46387</v>
          </cell>
          <cell r="G188">
            <v>125000000</v>
          </cell>
          <cell r="H188" t="str">
            <v>Ocelot Re Ltd.</v>
          </cell>
          <cell r="I188" t="str">
            <v>Earthquake ; Named Storm / U.S., Canada, Puerto Rico, U.S. VI</v>
          </cell>
          <cell r="K188">
            <v>200000000</v>
          </cell>
        </row>
        <row r="189">
          <cell r="A189" t="str">
            <v>675951AB3</v>
          </cell>
          <cell r="B189" t="str">
            <v>CB-Ocelot Re Ltd. Series 2025-1 Class A</v>
          </cell>
          <cell r="C189">
            <v>180</v>
          </cell>
          <cell r="D189">
            <v>180</v>
          </cell>
          <cell r="E189">
            <v>45709</v>
          </cell>
          <cell r="F189">
            <v>47169</v>
          </cell>
          <cell r="G189">
            <v>150000000</v>
          </cell>
          <cell r="H189" t="str">
            <v>Ocelot Re Ltd.</v>
          </cell>
          <cell r="I189" t="str">
            <v>Earthquake ; Named Storm / U.S., Canada, Puerto Rico, U.S. VI</v>
          </cell>
          <cell r="K189">
            <v>200000000</v>
          </cell>
        </row>
        <row r="190">
          <cell r="A190" t="str">
            <v>675951AC1</v>
          </cell>
          <cell r="B190" t="str">
            <v>CB-Ocelot Re Ltd. Series 2025-1 Class B</v>
          </cell>
          <cell r="C190">
            <v>181</v>
          </cell>
          <cell r="D190">
            <v>181</v>
          </cell>
          <cell r="E190">
            <v>45709</v>
          </cell>
          <cell r="F190">
            <v>47169</v>
          </cell>
          <cell r="G190">
            <v>50000000</v>
          </cell>
          <cell r="H190" t="str">
            <v>Ocelot Re Ltd.</v>
          </cell>
          <cell r="I190" t="str">
            <v>Earthquake ; Named Storm / U.S., Canada, Puerto Rico, U.S. VI</v>
          </cell>
          <cell r="J190">
            <v>50000000</v>
          </cell>
          <cell r="K190">
            <v>50000000</v>
          </cell>
        </row>
        <row r="191">
          <cell r="A191" t="str">
            <v>07304LAC5</v>
          </cell>
          <cell r="B191" t="str">
            <v>CB-Bayou Re Ltd. Series 2024-1 Class A Reset 2025</v>
          </cell>
          <cell r="C191">
            <v>182</v>
          </cell>
          <cell r="D191">
            <v>182</v>
          </cell>
          <cell r="E191">
            <v>45408</v>
          </cell>
          <cell r="F191">
            <v>46502</v>
          </cell>
          <cell r="G191">
            <v>200000000</v>
          </cell>
          <cell r="H191" t="str">
            <v>Bayou Re Ltd.</v>
          </cell>
          <cell r="I191" t="str">
            <v>Named Storm / Louisiana</v>
          </cell>
          <cell r="K191">
            <v>445000000</v>
          </cell>
        </row>
        <row r="192">
          <cell r="A192" t="str">
            <v>07304LAD3</v>
          </cell>
          <cell r="B192" t="str">
            <v>CB-Bayou Re Ltd. Series 2024-1 Class B Reset 2025</v>
          </cell>
          <cell r="C192">
            <v>183</v>
          </cell>
          <cell r="D192">
            <v>183</v>
          </cell>
          <cell r="E192">
            <v>45408</v>
          </cell>
          <cell r="F192">
            <v>46502</v>
          </cell>
          <cell r="G192">
            <v>75000000</v>
          </cell>
          <cell r="H192" t="str">
            <v>Bayou Re Ltd.</v>
          </cell>
          <cell r="I192" t="str">
            <v>Named Storm / Louisiana</v>
          </cell>
          <cell r="K192">
            <v>310000000</v>
          </cell>
        </row>
        <row r="193">
          <cell r="A193" t="str">
            <v>07304LAE1</v>
          </cell>
          <cell r="B193" t="str">
            <v>CB-Bayou Re Ltd. Series 2025-1 Class A</v>
          </cell>
          <cell r="C193">
            <v>184</v>
          </cell>
          <cell r="D193">
            <v>184</v>
          </cell>
          <cell r="E193">
            <v>45778</v>
          </cell>
          <cell r="F193">
            <v>46873</v>
          </cell>
          <cell r="G193">
            <v>280000000</v>
          </cell>
          <cell r="H193" t="str">
            <v>Bayou Re Ltd.</v>
          </cell>
          <cell r="I193" t="str">
            <v>Named Storm / Louisiana</v>
          </cell>
          <cell r="K193">
            <v>280000000</v>
          </cell>
        </row>
        <row r="194">
          <cell r="A194" t="str">
            <v>54143LAB4</v>
          </cell>
          <cell r="B194" t="str">
            <v>CB-Logistics Re Ltd. Series 2024-1 Class A</v>
          </cell>
          <cell r="C194">
            <v>185</v>
          </cell>
          <cell r="D194">
            <v>185</v>
          </cell>
          <cell r="E194">
            <v>45594</v>
          </cell>
          <cell r="F194">
            <v>46735</v>
          </cell>
          <cell r="G194">
            <v>95000000</v>
          </cell>
          <cell r="H194" t="str">
            <v>Logistics Re Ltd.</v>
          </cell>
          <cell r="I194" t="str">
            <v>Earthquake / U.S. (excl. AK, HI)</v>
          </cell>
          <cell r="J194">
            <v>0</v>
          </cell>
          <cell r="K194">
            <v>95000000</v>
          </cell>
        </row>
        <row r="195">
          <cell r="A195" t="str">
            <v>547915AA6</v>
          </cell>
          <cell r="B195" t="str">
            <v>CB-Lower Ferry Re Ltd. Series 2023-1 Class A Reset 2025</v>
          </cell>
          <cell r="C195">
            <v>186</v>
          </cell>
          <cell r="D195">
            <v>186</v>
          </cell>
          <cell r="E195">
            <v>45108</v>
          </cell>
          <cell r="F195">
            <v>46203</v>
          </cell>
          <cell r="G195">
            <v>65000000</v>
          </cell>
          <cell r="H195" t="str">
            <v>Lower Ferry Re Ltd.</v>
          </cell>
          <cell r="I195" t="str">
            <v>Named Storm / Northeast U.S., Ohio</v>
          </cell>
          <cell r="K195">
            <v>200000000</v>
          </cell>
        </row>
        <row r="196">
          <cell r="A196" t="str">
            <v>547915AB4</v>
          </cell>
          <cell r="B196" t="str">
            <v>CB-Lower Ferry Re Ltd. Series 2023-1 Class B Reset 2025</v>
          </cell>
          <cell r="C196">
            <v>187</v>
          </cell>
          <cell r="D196">
            <v>187</v>
          </cell>
          <cell r="E196">
            <v>45108</v>
          </cell>
          <cell r="F196">
            <v>46203</v>
          </cell>
          <cell r="G196">
            <v>125000000</v>
          </cell>
          <cell r="H196" t="str">
            <v>Lower Ferry Re Ltd.</v>
          </cell>
          <cell r="I196" t="str">
            <v>Named Storm / Northeast U.S., Ohio</v>
          </cell>
          <cell r="K196">
            <v>300000000</v>
          </cell>
        </row>
        <row r="197">
          <cell r="A197" t="str">
            <v>54930CAA3</v>
          </cell>
          <cell r="B197" t="str">
            <v>CB-Luca Re Ltd. Series 2025-1 Class A</v>
          </cell>
          <cell r="C197">
            <v>188</v>
          </cell>
          <cell r="D197">
            <v>188</v>
          </cell>
          <cell r="E197">
            <v>45853</v>
          </cell>
          <cell r="F197">
            <v>46948</v>
          </cell>
          <cell r="G197">
            <v>150000000</v>
          </cell>
          <cell r="H197" t="str">
            <v>Luca Re Ltd.</v>
          </cell>
          <cell r="I197" t="str">
            <v>Wildfire ; Fire Following Earthquake / California</v>
          </cell>
          <cell r="K197">
            <v>150000000</v>
          </cell>
        </row>
        <row r="198">
          <cell r="A198" t="str">
            <v>577092AN9</v>
          </cell>
          <cell r="B198" t="str">
            <v>CB-Matterhorn Re Ltd. Series 2021-1 Class A Reset 2025</v>
          </cell>
          <cell r="C198">
            <v>189</v>
          </cell>
          <cell r="D198">
            <v>189</v>
          </cell>
          <cell r="E198">
            <v>44552</v>
          </cell>
          <cell r="F198">
            <v>45991</v>
          </cell>
          <cell r="G198">
            <v>150000000</v>
          </cell>
          <cell r="H198" t="str">
            <v>Matterhorn Re Ltd.</v>
          </cell>
          <cell r="I198" t="str">
            <v>Earthquake / U.S., Canada ; Named Storm / U.S., Puerto Rico, U.S. VI</v>
          </cell>
          <cell r="J198">
            <v>0</v>
          </cell>
          <cell r="K198">
            <v>10000000000</v>
          </cell>
        </row>
        <row r="199">
          <cell r="A199" t="str">
            <v>577092AW9</v>
          </cell>
          <cell r="B199" t="str">
            <v>CB-Matterhorn Re Ltd. Series 2025-1 Class A</v>
          </cell>
          <cell r="C199">
            <v>190</v>
          </cell>
          <cell r="D199">
            <v>190</v>
          </cell>
          <cell r="E199">
            <v>45687</v>
          </cell>
          <cell r="F199">
            <v>46781</v>
          </cell>
          <cell r="G199">
            <v>87500000</v>
          </cell>
          <cell r="H199" t="str">
            <v>Matterhorn Re Ltd.</v>
          </cell>
          <cell r="I199" t="str">
            <v>Earthquake / U.S., Canada ; Named Storm / U.S., Canada</v>
          </cell>
          <cell r="J199">
            <v>0</v>
          </cell>
          <cell r="K199">
            <v>19000000000</v>
          </cell>
        </row>
        <row r="200">
          <cell r="A200" t="str">
            <v>577092AX7</v>
          </cell>
          <cell r="B200" t="str">
            <v>CB-Matterhorn Re Ltd. Series 2025-1 Class B</v>
          </cell>
          <cell r="C200">
            <v>191</v>
          </cell>
          <cell r="D200">
            <v>191</v>
          </cell>
          <cell r="E200">
            <v>45687</v>
          </cell>
          <cell r="F200">
            <v>46781</v>
          </cell>
          <cell r="G200">
            <v>122500000</v>
          </cell>
          <cell r="H200" t="str">
            <v>Matterhorn Re Ltd.</v>
          </cell>
          <cell r="I200" t="str">
            <v>Earthquake / U.S., Canada ; Named Storm / U.S., Canada</v>
          </cell>
          <cell r="J200">
            <v>0</v>
          </cell>
          <cell r="K200">
            <v>40000000000</v>
          </cell>
        </row>
        <row r="201">
          <cell r="A201" t="str">
            <v>577092AY5</v>
          </cell>
          <cell r="B201" t="str">
            <v>CB-Matterhorn Re Ltd. Series 2025-2 Class A</v>
          </cell>
          <cell r="C201">
            <v>192</v>
          </cell>
          <cell r="D201">
            <v>192</v>
          </cell>
          <cell r="E201">
            <v>45855</v>
          </cell>
          <cell r="F201">
            <v>46933</v>
          </cell>
          <cell r="G201">
            <v>65000000</v>
          </cell>
          <cell r="H201" t="str">
            <v>Matterhorn Re Ltd.</v>
          </cell>
          <cell r="I201" t="str">
            <v>Earthquake ; Named Storm / U.S., Canada</v>
          </cell>
          <cell r="J201">
            <v>0</v>
          </cell>
          <cell r="K201">
            <v>38500000000</v>
          </cell>
        </row>
        <row r="202">
          <cell r="A202" t="str">
            <v>49835JAB2</v>
          </cell>
          <cell r="B202" t="str">
            <v>CB-Kizuna Re III Pte. Ltd. Series 2024-1 Class A Reset 2025</v>
          </cell>
          <cell r="C202">
            <v>193</v>
          </cell>
          <cell r="D202">
            <v>193</v>
          </cell>
          <cell r="E202">
            <v>45748</v>
          </cell>
          <cell r="F202">
            <v>46843</v>
          </cell>
          <cell r="G202">
            <v>100000000</v>
          </cell>
          <cell r="H202" t="str">
            <v>Kizuna Re III Pte. Ltd.</v>
          </cell>
          <cell r="I202" t="str">
            <v>Earthquake / Japan</v>
          </cell>
          <cell r="J202">
            <v>0</v>
          </cell>
          <cell r="K202">
            <v>100000000</v>
          </cell>
        </row>
        <row r="203">
          <cell r="A203" t="str">
            <v>49835JAA4</v>
          </cell>
          <cell r="B203" t="str">
            <v>CB-Kizuna Re III Pte. Ltd. Series 2021-1 Class A Reset 2023</v>
          </cell>
          <cell r="C203">
            <v>194</v>
          </cell>
          <cell r="D203">
            <v>194</v>
          </cell>
          <cell r="E203">
            <v>45017</v>
          </cell>
          <cell r="F203">
            <v>46112</v>
          </cell>
          <cell r="G203">
            <v>150000000</v>
          </cell>
          <cell r="H203" t="str">
            <v>Kizuna Re III Pte. Ltd.</v>
          </cell>
          <cell r="I203" t="str">
            <v>Earthquake / Japan</v>
          </cell>
          <cell r="J203">
            <v>0</v>
          </cell>
          <cell r="K203">
            <v>150000000</v>
          </cell>
        </row>
        <row r="204">
          <cell r="A204" t="str">
            <v>89009PAA6</v>
          </cell>
          <cell r="B204" t="str">
            <v>CB-Tomoni Re Pte. Ltd. Series 2022-1 Class A-1 Reset 2025</v>
          </cell>
          <cell r="C204">
            <v>195</v>
          </cell>
          <cell r="D204">
            <v>195</v>
          </cell>
          <cell r="E204">
            <v>44652</v>
          </cell>
          <cell r="F204">
            <v>46112</v>
          </cell>
          <cell r="G204">
            <v>100000000</v>
          </cell>
          <cell r="H204" t="str">
            <v>Tomoni Re Pte. Ltd.</v>
          </cell>
          <cell r="I204" t="str">
            <v>Typhoon ; Flood / Japan</v>
          </cell>
          <cell r="K204">
            <v>100000000</v>
          </cell>
        </row>
        <row r="205">
          <cell r="A205" t="str">
            <v>89009PAB4</v>
          </cell>
          <cell r="B205" t="str">
            <v>CB-Tomoni Re Pte. Ltd. Series 2022-1 Class B-1 Reset 2025</v>
          </cell>
          <cell r="C205">
            <v>196</v>
          </cell>
          <cell r="D205">
            <v>196</v>
          </cell>
          <cell r="E205">
            <v>44652</v>
          </cell>
          <cell r="F205">
            <v>46112</v>
          </cell>
          <cell r="G205">
            <v>120000000</v>
          </cell>
          <cell r="H205" t="str">
            <v>Tomoni Re Pte. Ltd.</v>
          </cell>
          <cell r="I205" t="str">
            <v>Typhoon ; Flood / Japan</v>
          </cell>
          <cell r="K205">
            <v>100000000</v>
          </cell>
        </row>
        <row r="206">
          <cell r="A206" t="str">
            <v>89009PAE8</v>
          </cell>
          <cell r="B206" t="str">
            <v>CB-Tomoni Re Pte. Ltd. Series 2024-1 Class A Reset 2025</v>
          </cell>
          <cell r="C206">
            <v>197</v>
          </cell>
          <cell r="D206">
            <v>197</v>
          </cell>
          <cell r="E206">
            <v>45383</v>
          </cell>
          <cell r="F206">
            <v>46843</v>
          </cell>
          <cell r="G206">
            <v>100000000</v>
          </cell>
          <cell r="H206" t="str">
            <v>Tomoni Re Pte. Ltd.</v>
          </cell>
          <cell r="I206" t="str">
            <v>Typhoon ; Flood / Japan</v>
          </cell>
          <cell r="K206">
            <v>100000000</v>
          </cell>
        </row>
        <row r="207">
          <cell r="A207" t="str">
            <v>89009PAF5</v>
          </cell>
          <cell r="B207" t="str">
            <v>CB-Tomoni Re Pte. Ltd. Series 2024-1 Class B Reset 2025</v>
          </cell>
          <cell r="C207">
            <v>198</v>
          </cell>
          <cell r="D207">
            <v>198</v>
          </cell>
          <cell r="E207">
            <v>45383</v>
          </cell>
          <cell r="F207">
            <v>46843</v>
          </cell>
          <cell r="G207">
            <v>100000000</v>
          </cell>
          <cell r="H207" t="str">
            <v>Tomoni Re Pte. Ltd.</v>
          </cell>
          <cell r="I207" t="str">
            <v>Typhoon ; Flood ; Earthquake / Japan</v>
          </cell>
          <cell r="K207">
            <v>100000000</v>
          </cell>
        </row>
        <row r="208">
          <cell r="A208" t="str">
            <v>63901CAA9</v>
          </cell>
          <cell r="B208" t="str">
            <v>CB-Nature Coast Re Ltd. Series 2023-1 Class A Reset 2025</v>
          </cell>
          <cell r="C208">
            <v>199</v>
          </cell>
          <cell r="D208">
            <v>199</v>
          </cell>
          <cell r="E208">
            <v>45261</v>
          </cell>
          <cell r="F208">
            <v>46356</v>
          </cell>
          <cell r="G208">
            <v>150000000</v>
          </cell>
          <cell r="H208" t="str">
            <v>Nature Coast Re Ltd.</v>
          </cell>
          <cell r="I208" t="str">
            <v>Named Storm / Florida, Louisiana</v>
          </cell>
          <cell r="K208">
            <v>164000000</v>
          </cell>
        </row>
        <row r="209">
          <cell r="A209" t="str">
            <v>63901CAB7</v>
          </cell>
          <cell r="B209" t="str">
            <v>CB-Nature Coast Re Ltd. Series 2023-1 Class B Reset 2025</v>
          </cell>
          <cell r="C209">
            <v>200</v>
          </cell>
          <cell r="D209">
            <v>200</v>
          </cell>
          <cell r="E209">
            <v>45261</v>
          </cell>
          <cell r="F209">
            <v>46356</v>
          </cell>
          <cell r="G209">
            <v>45000000</v>
          </cell>
          <cell r="H209" t="str">
            <v>Nature Coast Re Ltd.</v>
          </cell>
          <cell r="I209" t="str">
            <v>Named Storm / Florida, Louisiana</v>
          </cell>
          <cell r="K209">
            <v>251000000</v>
          </cell>
        </row>
        <row r="210">
          <cell r="A210" t="str">
            <v>63901CAC5</v>
          </cell>
          <cell r="B210" t="str">
            <v>CB-Nature Coast Re Ltd. Series 2024-1 Class A Reset 2025</v>
          </cell>
          <cell r="C210">
            <v>201</v>
          </cell>
          <cell r="D210">
            <v>201</v>
          </cell>
          <cell r="E210">
            <v>45469</v>
          </cell>
          <cell r="F210">
            <v>46904</v>
          </cell>
          <cell r="G210">
            <v>50000000</v>
          </cell>
          <cell r="H210" t="str">
            <v>Nature Coast Re Ltd.</v>
          </cell>
          <cell r="I210" t="str">
            <v>Named Storm / Alabama, Florida, Louisiana, Mississippi, Texas</v>
          </cell>
          <cell r="K210">
            <v>270000000</v>
          </cell>
        </row>
        <row r="211">
          <cell r="A211" t="str">
            <v>63901CAE1</v>
          </cell>
          <cell r="B211" t="str">
            <v>CB-Nature Coast Re Ltd. Series 2025-2 Class A</v>
          </cell>
          <cell r="C211">
            <v>202</v>
          </cell>
          <cell r="D211">
            <v>202</v>
          </cell>
          <cell r="E211">
            <v>45751</v>
          </cell>
          <cell r="F211">
            <v>47211</v>
          </cell>
          <cell r="G211">
            <v>150000000</v>
          </cell>
          <cell r="H211" t="str">
            <v>Nature Coast Re Ltd.</v>
          </cell>
          <cell r="I211" t="str">
            <v>Named Storm / Alabama, Florida, Louisiana, Mississippi, Texas</v>
          </cell>
          <cell r="K211">
            <v>800000000</v>
          </cell>
        </row>
        <row r="212">
          <cell r="A212" t="str">
            <v>159873AA6</v>
          </cell>
          <cell r="B212" t="str">
            <v>CB-Charles River Re Ltd. Series 2024-1 Class A Reset 2025</v>
          </cell>
          <cell r="C212">
            <v>203</v>
          </cell>
          <cell r="D212">
            <v>203</v>
          </cell>
          <cell r="E212">
            <v>45413</v>
          </cell>
          <cell r="F212">
            <v>46507</v>
          </cell>
          <cell r="G212">
            <v>125000000</v>
          </cell>
          <cell r="H212" t="str">
            <v>Charles River Re Ltd.</v>
          </cell>
          <cell r="I212" t="str">
            <v>Named Storm / Massachusetts, New Jersey, New York, South Carolina</v>
          </cell>
          <cell r="K212">
            <v>125000000</v>
          </cell>
        </row>
        <row r="213">
          <cell r="A213" t="str">
            <v>367927AA8</v>
          </cell>
          <cell r="B213" t="str">
            <v>CB-Gateway Re II Ltd. Series 2023-1 Class A Reset 2025</v>
          </cell>
          <cell r="C213">
            <v>204</v>
          </cell>
          <cell r="D213">
            <v>204</v>
          </cell>
          <cell r="E213">
            <v>45037</v>
          </cell>
          <cell r="F213">
            <v>46132</v>
          </cell>
          <cell r="G213">
            <v>125000000</v>
          </cell>
          <cell r="H213" t="str">
            <v>Gateway Re II Ltd.</v>
          </cell>
          <cell r="I213" t="str">
            <v>Named Storm / Alabama, Louisiana, Mississippi, New York, North Carolina, South Carolina, Texas, Virginia</v>
          </cell>
          <cell r="K213">
            <v>125000000</v>
          </cell>
        </row>
        <row r="214">
          <cell r="A214" t="str">
            <v>36779CAC0</v>
          </cell>
          <cell r="B214" t="str">
            <v>CB-Gateway Re Ltd. Series 2023-1 Class A Reset 2025</v>
          </cell>
          <cell r="C214">
            <v>205</v>
          </cell>
          <cell r="D214">
            <v>205</v>
          </cell>
          <cell r="E214">
            <v>44975</v>
          </cell>
          <cell r="F214">
            <v>46070</v>
          </cell>
          <cell r="G214">
            <v>300000000</v>
          </cell>
          <cell r="H214" t="str">
            <v>Gateway Re Ltd.</v>
          </cell>
          <cell r="I214" t="str">
            <v>Named Storm / Alabama, Louisiana, Mississippi, North Carolina, South Carolina, Texas</v>
          </cell>
          <cell r="K214">
            <v>400000000</v>
          </cell>
        </row>
        <row r="215">
          <cell r="A215" t="str">
            <v>36779CAD8</v>
          </cell>
          <cell r="B215" t="str">
            <v>CB-Gateway Re Ltd. Series 2023-1 Class B Reset 2025</v>
          </cell>
          <cell r="C215">
            <v>206</v>
          </cell>
          <cell r="D215">
            <v>206</v>
          </cell>
          <cell r="E215">
            <v>44975</v>
          </cell>
          <cell r="F215">
            <v>46070</v>
          </cell>
          <cell r="G215">
            <v>55000000</v>
          </cell>
          <cell r="H215" t="str">
            <v>Gateway Re Ltd.</v>
          </cell>
          <cell r="I215" t="str">
            <v>Named Storm / Alabama, Louisiana, Mississippi, North Carolina, South Carolina, Texas</v>
          </cell>
          <cell r="K215">
            <v>135000000</v>
          </cell>
        </row>
        <row r="216">
          <cell r="A216" t="str">
            <v>36779CAG1</v>
          </cell>
          <cell r="B216" t="str">
            <v>CB-Gateway Re Ltd. Series 2024-1 Class AA Reset 2025</v>
          </cell>
          <cell r="C216">
            <v>207</v>
          </cell>
          <cell r="D216">
            <v>207</v>
          </cell>
          <cell r="E216">
            <v>45474</v>
          </cell>
          <cell r="F216">
            <v>46568</v>
          </cell>
          <cell r="G216">
            <v>100000000</v>
          </cell>
          <cell r="H216" t="str">
            <v>Gateway Re Ltd.</v>
          </cell>
          <cell r="I216" t="str">
            <v>Named Storm / Alabama, Louisiana, Mississippi, New York, North Carolina, South Carolina, Texas, Virginia</v>
          </cell>
          <cell r="K216">
            <v>132000000</v>
          </cell>
        </row>
        <row r="217">
          <cell r="A217" t="str">
            <v>574591AA1</v>
          </cell>
          <cell r="B217" t="str">
            <v>CB-Maschpark Re Ltd. Series 2024-1 Class A</v>
          </cell>
          <cell r="C217">
            <v>208</v>
          </cell>
          <cell r="D217">
            <v>208</v>
          </cell>
          <cell r="E217">
            <v>45658</v>
          </cell>
          <cell r="F217">
            <v>46752</v>
          </cell>
          <cell r="G217">
            <v>100000000</v>
          </cell>
          <cell r="H217" t="str">
            <v>Maschpark Re Ltd.</v>
          </cell>
          <cell r="I217" t="str">
            <v>Earthquake / Chile, Peru, Bolivia, Argentina</v>
          </cell>
          <cell r="K217">
            <v>100000000</v>
          </cell>
        </row>
        <row r="218">
          <cell r="A218" t="str">
            <v>62865LAD9</v>
          </cell>
          <cell r="B218" t="str">
            <v>CB-Mystic Re IV Ltd. Series 2023-1 Class A Reset 2025</v>
          </cell>
          <cell r="C218">
            <v>209</v>
          </cell>
          <cell r="D218">
            <v>209</v>
          </cell>
          <cell r="E218">
            <v>44927</v>
          </cell>
          <cell r="F218">
            <v>46022</v>
          </cell>
          <cell r="G218">
            <v>150000000</v>
          </cell>
          <cell r="H218" t="str">
            <v>Mystic Re IV Ltd.</v>
          </cell>
          <cell r="I218" t="str">
            <v>Earthquake ; Named Storm / U.S., Canada, Caribbean</v>
          </cell>
          <cell r="J218">
            <v>0</v>
          </cell>
          <cell r="K218">
            <v>1300000000</v>
          </cell>
        </row>
        <row r="219">
          <cell r="A219" t="str">
            <v>39526JAA9</v>
          </cell>
          <cell r="B219" t="str">
            <v>CB-Greengrove Re Ltd. Series 2025-1 Class A</v>
          </cell>
          <cell r="C219">
            <v>210</v>
          </cell>
          <cell r="D219">
            <v>210</v>
          </cell>
          <cell r="E219">
            <v>45748</v>
          </cell>
          <cell r="F219">
            <v>46843</v>
          </cell>
          <cell r="G219">
            <v>100000000</v>
          </cell>
          <cell r="H219" t="str">
            <v>Greengrove Re Ltd.</v>
          </cell>
          <cell r="I219" t="str">
            <v>Fire ; Fire Following Earthquake / California</v>
          </cell>
          <cell r="K219">
            <v>100000000</v>
          </cell>
        </row>
        <row r="220">
          <cell r="A220" t="str">
            <v>XS3075449036</v>
          </cell>
          <cell r="B220" t="str">
            <v>CB-Lion Re DAC Series 2025-1 Class A</v>
          </cell>
          <cell r="C220">
            <v>211</v>
          </cell>
          <cell r="D220">
            <v>211</v>
          </cell>
          <cell r="E220">
            <v>45808</v>
          </cell>
          <cell r="F220">
            <v>47268</v>
          </cell>
          <cell r="G220">
            <v>125000000</v>
          </cell>
          <cell r="H220" t="str">
            <v>Lion Re DAC</v>
          </cell>
          <cell r="I220" t="str">
            <v>Earthquake / Italy ; Windstorm / Europe</v>
          </cell>
          <cell r="K220">
            <v>200000000</v>
          </cell>
        </row>
        <row r="221">
          <cell r="A221" t="str">
            <v>XS3075450471</v>
          </cell>
          <cell r="B221" t="str">
            <v>CB-Lion Re DAC Series 2025-1 Class B</v>
          </cell>
          <cell r="C221">
            <v>212</v>
          </cell>
          <cell r="D221">
            <v>212</v>
          </cell>
          <cell r="E221">
            <v>45808</v>
          </cell>
          <cell r="F221">
            <v>47268</v>
          </cell>
          <cell r="G221">
            <v>75000000</v>
          </cell>
          <cell r="H221" t="str">
            <v>Lion Re DAC</v>
          </cell>
          <cell r="I221" t="str">
            <v>Earthquake / Italy</v>
          </cell>
          <cell r="K221">
            <v>100000000</v>
          </cell>
        </row>
        <row r="222">
          <cell r="A222" t="str">
            <v>53625HAA4</v>
          </cell>
          <cell r="B222" t="str">
            <v>CB-Liongate Re DAC</v>
          </cell>
          <cell r="C222">
            <v>213</v>
          </cell>
          <cell r="D222">
            <v>213</v>
          </cell>
          <cell r="E222">
            <v>45798</v>
          </cell>
          <cell r="F222">
            <v>46858</v>
          </cell>
          <cell r="G222">
            <v>100000000</v>
          </cell>
          <cell r="H222" t="str">
            <v>Liongate Re DAC</v>
          </cell>
          <cell r="I222" t="str">
            <v>Earthquake / Japan, Germany</v>
          </cell>
          <cell r="J222">
            <v>0</v>
          </cell>
          <cell r="K222">
            <v>100000000</v>
          </cell>
        </row>
        <row r="223">
          <cell r="A223" t="str">
            <v>16140YAC6</v>
          </cell>
          <cell r="B223" t="str">
            <v>CB-Chartwell Re Ltd. Series 2025-1 Class C</v>
          </cell>
          <cell r="C223">
            <v>214</v>
          </cell>
          <cell r="D223">
            <v>214</v>
          </cell>
          <cell r="E223">
            <v>45809</v>
          </cell>
          <cell r="F223">
            <v>46904</v>
          </cell>
          <cell r="G223">
            <v>60000000</v>
          </cell>
          <cell r="H223" t="str">
            <v>Chartwell Re Ltd.</v>
          </cell>
          <cell r="I223" t="str">
            <v>Named Storm / Alabama, Florida, Mississippi, New Jersey, New York, Rhode Island, Texas</v>
          </cell>
          <cell r="K223">
            <v>60000000</v>
          </cell>
        </row>
        <row r="224">
          <cell r="A224" t="str">
            <v>16140YAB8</v>
          </cell>
          <cell r="B224" t="str">
            <v>CB-Chartwell Re Ltd. Series 2025-1 Class B</v>
          </cell>
          <cell r="C224">
            <v>215</v>
          </cell>
          <cell r="D224">
            <v>215</v>
          </cell>
          <cell r="E224">
            <v>45809</v>
          </cell>
          <cell r="F224">
            <v>46904</v>
          </cell>
          <cell r="G224">
            <v>100000000</v>
          </cell>
          <cell r="H224" t="str">
            <v>Chartwell Re Ltd.</v>
          </cell>
          <cell r="I224" t="str">
            <v>Named Storm / Alabama, Florida, Mississippi, New Jersey, New York, Rhode Island, Texas</v>
          </cell>
          <cell r="K224">
            <v>100000000</v>
          </cell>
        </row>
        <row r="225">
          <cell r="A225" t="str">
            <v>16140YAA0</v>
          </cell>
          <cell r="B225" t="str">
            <v>CB-Chartwell Re Ltd. Series 2025-1 Class A</v>
          </cell>
          <cell r="C225">
            <v>216</v>
          </cell>
          <cell r="D225">
            <v>216</v>
          </cell>
          <cell r="E225">
            <v>45809</v>
          </cell>
          <cell r="F225">
            <v>46904</v>
          </cell>
          <cell r="G225">
            <v>170000000</v>
          </cell>
          <cell r="H225" t="str">
            <v>Chartwell Re Ltd.</v>
          </cell>
          <cell r="I225" t="str">
            <v>Named Storm / Alabama, Florida, Mississippi, New Jersey, New York, Rhode Island, Texas</v>
          </cell>
          <cell r="K225">
            <v>170000000</v>
          </cell>
        </row>
        <row r="226">
          <cell r="A226" t="str">
            <v>44914CAC0</v>
          </cell>
          <cell r="B226" t="str">
            <v>CB-Hypatia Ltd. Series 2023-1 Class A Reset 2025</v>
          </cell>
          <cell r="C226">
            <v>217</v>
          </cell>
          <cell r="D226">
            <v>217</v>
          </cell>
          <cell r="E226">
            <v>45017</v>
          </cell>
          <cell r="F226">
            <v>46112</v>
          </cell>
          <cell r="G226">
            <v>150000000</v>
          </cell>
          <cell r="H226" t="str">
            <v>Hypatia Ltd.</v>
          </cell>
          <cell r="I226" t="str">
            <v>Earthquake / U.S., Canada, Puerto Rico, U.S. VI ; Named Storm / U.S., Puerto Rico, U.S. VI</v>
          </cell>
          <cell r="J226">
            <v>0</v>
          </cell>
          <cell r="K226">
            <v>500000000</v>
          </cell>
        </row>
        <row r="227">
          <cell r="A227" t="str">
            <v>203235AB2</v>
          </cell>
          <cell r="B227" t="str">
            <v>CB-Commonwealth Re Ltd. Series 2023-1 Class A Reset 2025</v>
          </cell>
          <cell r="C227">
            <v>218</v>
          </cell>
          <cell r="D227">
            <v>218</v>
          </cell>
          <cell r="E227">
            <v>45108</v>
          </cell>
          <cell r="F227">
            <v>46203</v>
          </cell>
          <cell r="G227">
            <v>150000000</v>
          </cell>
          <cell r="H227" t="str">
            <v>Commonwealth Re Ltd.</v>
          </cell>
          <cell r="I227" t="str">
            <v>Named Storm / Northeast U.S.</v>
          </cell>
          <cell r="K227">
            <v>150000000</v>
          </cell>
        </row>
        <row r="228">
          <cell r="A228" t="str">
            <v>30014LAM6</v>
          </cell>
          <cell r="B228" t="str">
            <v>CB-Everglades Re II Ltd. Series 2024-1 Class A Reset 2025</v>
          </cell>
          <cell r="C228">
            <v>219</v>
          </cell>
          <cell r="D228">
            <v>219</v>
          </cell>
          <cell r="E228">
            <v>45444</v>
          </cell>
          <cell r="F228">
            <v>46513</v>
          </cell>
          <cell r="G228">
            <v>450000000</v>
          </cell>
          <cell r="H228" t="str">
            <v>Everglades Re II Ltd.</v>
          </cell>
          <cell r="I228" t="str">
            <v>Named Storm / Florida</v>
          </cell>
          <cell r="K228">
            <v>1454000000</v>
          </cell>
        </row>
        <row r="229">
          <cell r="A229" t="str">
            <v>30014LAN4</v>
          </cell>
          <cell r="B229" t="str">
            <v>CB-Everglades Re II Ltd. Series 2024-1 Class B Reset 2025</v>
          </cell>
          <cell r="C229">
            <v>220</v>
          </cell>
          <cell r="D229">
            <v>220</v>
          </cell>
          <cell r="E229">
            <v>45444</v>
          </cell>
          <cell r="F229">
            <v>46513</v>
          </cell>
          <cell r="G229">
            <v>425000000</v>
          </cell>
          <cell r="H229" t="str">
            <v>Everglades Re II Ltd.</v>
          </cell>
          <cell r="I229" t="str">
            <v>Named Storm / Florida</v>
          </cell>
          <cell r="J229">
            <v>0</v>
          </cell>
          <cell r="K229">
            <v>1217000000</v>
          </cell>
        </row>
        <row r="230">
          <cell r="A230" t="str">
            <v>30014LAP9</v>
          </cell>
          <cell r="B230" t="str">
            <v>CB-Everglades Re II Ltd. Series 2024-1 Class C Reset 2025</v>
          </cell>
          <cell r="C230">
            <v>221</v>
          </cell>
          <cell r="D230">
            <v>221</v>
          </cell>
          <cell r="E230">
            <v>45444</v>
          </cell>
          <cell r="F230">
            <v>46513</v>
          </cell>
          <cell r="G230">
            <v>225000000</v>
          </cell>
          <cell r="H230" t="str">
            <v>Everglades Re II Ltd.</v>
          </cell>
          <cell r="I230" t="str">
            <v>Named Storm / Florida</v>
          </cell>
          <cell r="K230">
            <v>1430000000</v>
          </cell>
        </row>
        <row r="231">
          <cell r="A231" t="str">
            <v>30014LAT1</v>
          </cell>
          <cell r="B231" t="str">
            <v>CB-Everglades Re II Ltd. Series 2025-1 Class A</v>
          </cell>
          <cell r="C231">
            <v>222</v>
          </cell>
          <cell r="D231">
            <v>222</v>
          </cell>
          <cell r="E231">
            <v>45792</v>
          </cell>
          <cell r="F231">
            <v>46887</v>
          </cell>
          <cell r="G231">
            <v>450000000</v>
          </cell>
          <cell r="H231" t="str">
            <v>Everglades Re II Ltd.</v>
          </cell>
          <cell r="I231" t="str">
            <v>Named Storm / Florida</v>
          </cell>
          <cell r="K231">
            <v>1200000000</v>
          </cell>
        </row>
        <row r="232">
          <cell r="A232" t="str">
            <v>30014LAU8</v>
          </cell>
          <cell r="B232" t="str">
            <v>CB-Everglades Re II Ltd. Series 2025-1 Class B</v>
          </cell>
          <cell r="C232">
            <v>223</v>
          </cell>
          <cell r="D232">
            <v>223</v>
          </cell>
          <cell r="E232">
            <v>45792</v>
          </cell>
          <cell r="F232">
            <v>46887</v>
          </cell>
          <cell r="G232">
            <v>475000000</v>
          </cell>
          <cell r="H232" t="str">
            <v>Everglades Re II Ltd.</v>
          </cell>
          <cell r="I232" t="str">
            <v>Named Storm / Florida</v>
          </cell>
          <cell r="J232">
            <v>0</v>
          </cell>
          <cell r="K232">
            <v>1200000000</v>
          </cell>
        </row>
        <row r="233">
          <cell r="A233" t="str">
            <v>30014LAV6</v>
          </cell>
          <cell r="B233" t="str">
            <v>CB-Everglades Re II Ltd. Series 2025-1 Class C</v>
          </cell>
          <cell r="C233">
            <v>224</v>
          </cell>
          <cell r="D233">
            <v>224</v>
          </cell>
          <cell r="E233">
            <v>45792</v>
          </cell>
          <cell r="F233">
            <v>46887</v>
          </cell>
          <cell r="G233">
            <v>375000000</v>
          </cell>
          <cell r="H233" t="str">
            <v>Everglades Re II Ltd.</v>
          </cell>
          <cell r="I233" t="str">
            <v>Named Storm / Florida</v>
          </cell>
          <cell r="K233">
            <v>1200000000</v>
          </cell>
        </row>
        <row r="234">
          <cell r="A234" t="str">
            <v>30014LAW4</v>
          </cell>
          <cell r="B234" t="str">
            <v>CB-Everglades Re II Ltd. Series 2025-1 Class D</v>
          </cell>
          <cell r="C234">
            <v>225</v>
          </cell>
          <cell r="D234">
            <v>225</v>
          </cell>
          <cell r="E234">
            <v>45792</v>
          </cell>
          <cell r="F234">
            <v>46887</v>
          </cell>
          <cell r="G234">
            <v>225000000</v>
          </cell>
          <cell r="H234" t="str">
            <v>Everglades Re II Ltd.</v>
          </cell>
          <cell r="I234" t="str">
            <v>Named Storm / Florida</v>
          </cell>
          <cell r="K234">
            <v>711000000</v>
          </cell>
        </row>
        <row r="235">
          <cell r="A235" t="str">
            <v>33774EAA2</v>
          </cell>
          <cell r="B235" t="str">
            <v>CB-Fish Pond Re Ltd. Series 2024-1 Class A Reset 2025</v>
          </cell>
          <cell r="C235">
            <v>226</v>
          </cell>
          <cell r="D235">
            <v>226</v>
          </cell>
          <cell r="E235">
            <v>45301</v>
          </cell>
          <cell r="F235">
            <v>46387</v>
          </cell>
          <cell r="G235">
            <v>255000000</v>
          </cell>
          <cell r="H235" t="str">
            <v>Fish Pond Re Ltd.</v>
          </cell>
          <cell r="I235" t="str">
            <v>Named Storm / Texas</v>
          </cell>
          <cell r="J235">
            <v>0</v>
          </cell>
          <cell r="K235">
            <v>400000000</v>
          </cell>
        </row>
        <row r="236">
          <cell r="A236" t="str">
            <v>62426LAA7</v>
          </cell>
          <cell r="B236" t="str">
            <v>CB-Mountain Re Ltd. Series 2023-1 Class A Reset 2025</v>
          </cell>
          <cell r="C236">
            <v>227</v>
          </cell>
          <cell r="D236">
            <v>227</v>
          </cell>
          <cell r="E236">
            <v>45078</v>
          </cell>
          <cell r="F236">
            <v>46173</v>
          </cell>
          <cell r="G236">
            <v>110000000</v>
          </cell>
          <cell r="H236" t="str">
            <v>Mountain Re Ltd.</v>
          </cell>
          <cell r="I236" t="str">
            <v>Earthquake ; Named Storm ; Severe Thunderstorm ; Winter Storm / U.S.</v>
          </cell>
          <cell r="K236">
            <v>110000000</v>
          </cell>
        </row>
        <row r="237">
          <cell r="A237" t="str">
            <v>62865LAE7</v>
          </cell>
          <cell r="B237" t="str">
            <v>CB-Mystic Re IV Ltd. Series 2024-1 Class A Reset 2025</v>
          </cell>
          <cell r="C237">
            <v>228</v>
          </cell>
          <cell r="D237">
            <v>228</v>
          </cell>
          <cell r="E237">
            <v>45292</v>
          </cell>
          <cell r="F237">
            <v>46387</v>
          </cell>
          <cell r="G237">
            <v>300000000</v>
          </cell>
          <cell r="H237" t="str">
            <v>Mystic Re IV Ltd.</v>
          </cell>
          <cell r="I237" t="str">
            <v>Earthquake / U.S., Canada, Puerto Rico, U.S. VI ; Named Storm / U.S., Puerto Rico, U.S. VI</v>
          </cell>
          <cell r="J237">
            <v>0</v>
          </cell>
          <cell r="K237">
            <v>511000000</v>
          </cell>
        </row>
        <row r="238">
          <cell r="A238" t="str">
            <v>666842AF6</v>
          </cell>
          <cell r="B238" t="str">
            <v>CB-Northshore Re II Ltd. Series 2025-1 Class A</v>
          </cell>
          <cell r="C238">
            <v>229</v>
          </cell>
          <cell r="D238">
            <v>229</v>
          </cell>
          <cell r="E238">
            <v>45748</v>
          </cell>
          <cell r="F238">
            <v>46843</v>
          </cell>
          <cell r="G238">
            <v>200000000</v>
          </cell>
          <cell r="H238" t="str">
            <v>Northshore Re II Ltd.</v>
          </cell>
          <cell r="I238" t="str">
            <v>Earthquake / U.S., Canada ; Named Storm / U.S., Puerto Rico, U.S. VI</v>
          </cell>
          <cell r="K238">
            <v>200000000</v>
          </cell>
        </row>
        <row r="239">
          <cell r="A239" t="str">
            <v>67550LAA4</v>
          </cell>
          <cell r="B239" t="str">
            <v>CB-Oceanside Re Ltd. Series 2025-1 Class A</v>
          </cell>
          <cell r="C239">
            <v>230</v>
          </cell>
          <cell r="D239">
            <v>230</v>
          </cell>
          <cell r="E239">
            <v>45809</v>
          </cell>
          <cell r="F239">
            <v>46880</v>
          </cell>
          <cell r="G239">
            <v>75000000</v>
          </cell>
          <cell r="H239" t="str">
            <v>Oceanside Re Ltd.</v>
          </cell>
          <cell r="I239" t="str">
            <v>Named Storm ; Severe Thunderstorm ; Winter Storm / New York</v>
          </cell>
          <cell r="K239">
            <v>100000000</v>
          </cell>
        </row>
        <row r="240">
          <cell r="A240" t="str">
            <v>69664FAA6</v>
          </cell>
          <cell r="B240" t="str">
            <v>CB-Palm Re Ltd. Series 2024-1 Class A Reset 2025</v>
          </cell>
          <cell r="C240">
            <v>231</v>
          </cell>
          <cell r="D240">
            <v>231</v>
          </cell>
          <cell r="E240">
            <v>45444</v>
          </cell>
          <cell r="F240">
            <v>46538</v>
          </cell>
          <cell r="G240">
            <v>150000000</v>
          </cell>
          <cell r="H240" t="str">
            <v>Palm Re Ltd.</v>
          </cell>
          <cell r="I240" t="str">
            <v>Named Storm / Florida</v>
          </cell>
          <cell r="K240">
            <v>300000000</v>
          </cell>
        </row>
        <row r="241">
          <cell r="A241" t="str">
            <v>975660AA9</v>
          </cell>
          <cell r="B241" t="str">
            <v>CB-Winston Re Ltd. Series 2024-1 Class A Reset 2025</v>
          </cell>
          <cell r="C241">
            <v>232</v>
          </cell>
          <cell r="D241">
            <v>232</v>
          </cell>
          <cell r="E241">
            <v>45444</v>
          </cell>
          <cell r="F241">
            <v>46439</v>
          </cell>
          <cell r="G241">
            <v>250000000</v>
          </cell>
          <cell r="H241" t="str">
            <v>Winston Re Ltd.</v>
          </cell>
          <cell r="I241" t="str">
            <v>Named Storm / Florida</v>
          </cell>
          <cell r="J241">
            <v>0</v>
          </cell>
          <cell r="K241">
            <v>250000000</v>
          </cell>
        </row>
        <row r="242">
          <cell r="A242" t="str">
            <v>975660AB7</v>
          </cell>
          <cell r="B242" t="str">
            <v>CB-Winston Re Ltd. Series 2024-1 Class B Reset 2025</v>
          </cell>
          <cell r="C242">
            <v>233</v>
          </cell>
          <cell r="D242">
            <v>233</v>
          </cell>
          <cell r="E242">
            <v>45444</v>
          </cell>
          <cell r="F242">
            <v>46439</v>
          </cell>
          <cell r="G242">
            <v>150000000</v>
          </cell>
          <cell r="H242" t="str">
            <v>Winston Re Ltd.</v>
          </cell>
          <cell r="I242" t="str">
            <v>Named Storm / Florida</v>
          </cell>
          <cell r="J242">
            <v>0</v>
          </cell>
          <cell r="K242">
            <v>200000000</v>
          </cell>
        </row>
        <row r="243">
          <cell r="A243" t="str">
            <v>975660AC5</v>
          </cell>
          <cell r="B243" t="str">
            <v>CB-Winston Re Ltd. Series 2025-1 Class A</v>
          </cell>
          <cell r="C243">
            <v>234</v>
          </cell>
          <cell r="D243">
            <v>234</v>
          </cell>
          <cell r="E243">
            <v>45809</v>
          </cell>
          <cell r="F243">
            <v>46796</v>
          </cell>
          <cell r="G243">
            <v>175000000</v>
          </cell>
          <cell r="H243" t="str">
            <v>Winston Re Ltd.</v>
          </cell>
          <cell r="I243" t="str">
            <v>Named Storm / Florida</v>
          </cell>
          <cell r="J243">
            <v>0</v>
          </cell>
          <cell r="K243">
            <v>200000000</v>
          </cell>
        </row>
        <row r="244">
          <cell r="A244" t="str">
            <v>69664FAB4</v>
          </cell>
          <cell r="B244" t="str">
            <v>CB-Palm Re Ltd. Series 2025-1 Class A</v>
          </cell>
          <cell r="C244">
            <v>235</v>
          </cell>
          <cell r="D244">
            <v>235</v>
          </cell>
          <cell r="E244">
            <v>45809</v>
          </cell>
          <cell r="F244">
            <v>46904</v>
          </cell>
          <cell r="G244">
            <v>250000000</v>
          </cell>
          <cell r="H244" t="str">
            <v>Palm Re Ltd.</v>
          </cell>
          <cell r="I244" t="str">
            <v>Named Storm / Florida</v>
          </cell>
          <cell r="K244">
            <v>400000000</v>
          </cell>
        </row>
        <row r="245">
          <cell r="A245" t="str">
            <v>00485YAD1</v>
          </cell>
          <cell r="B245" t="str">
            <v>CB-Acorn Re Ltd. Series 2023-1 Class A</v>
          </cell>
          <cell r="C245">
            <v>236</v>
          </cell>
          <cell r="D245">
            <v>236</v>
          </cell>
          <cell r="E245">
            <v>45108</v>
          </cell>
          <cell r="F245">
            <v>46326</v>
          </cell>
          <cell r="G245">
            <v>150000000</v>
          </cell>
          <cell r="H245" t="str">
            <v>Acorn Re Ltd.</v>
          </cell>
          <cell r="I245" t="str">
            <v>Earthquake / U.S., Mexico</v>
          </cell>
          <cell r="J245">
            <v>0</v>
          </cell>
          <cell r="K245">
            <v>150000000</v>
          </cell>
        </row>
        <row r="246">
          <cell r="A246" t="str">
            <v>00485YAE9</v>
          </cell>
          <cell r="B246" t="str">
            <v>CB-Acorn Re Ltd. Series 2024-1 Class A</v>
          </cell>
          <cell r="C246">
            <v>237</v>
          </cell>
          <cell r="D246">
            <v>237</v>
          </cell>
          <cell r="E246">
            <v>45597</v>
          </cell>
          <cell r="F246">
            <v>46691</v>
          </cell>
          <cell r="G246">
            <v>225000000</v>
          </cell>
          <cell r="H246" t="str">
            <v>Acorn Re Ltd.</v>
          </cell>
          <cell r="I246" t="str">
            <v>Earthquake / U.S., Canada, Mexico</v>
          </cell>
          <cell r="J246">
            <v>0</v>
          </cell>
          <cell r="K246">
            <v>225000000</v>
          </cell>
        </row>
        <row r="247">
          <cell r="A247" t="str">
            <v>00485YAF6</v>
          </cell>
          <cell r="B247" t="str">
            <v>CB-Acorn Re Ltd. Series 2024-1 Class B</v>
          </cell>
          <cell r="C247">
            <v>238</v>
          </cell>
          <cell r="D247">
            <v>238</v>
          </cell>
          <cell r="E247">
            <v>45597</v>
          </cell>
          <cell r="F247">
            <v>45961</v>
          </cell>
          <cell r="G247">
            <v>225000000</v>
          </cell>
          <cell r="H247" t="str">
            <v>Acorn Re Ltd.</v>
          </cell>
          <cell r="I247" t="str">
            <v>Earthquake / U.S., Canada, Mexico</v>
          </cell>
          <cell r="J247">
            <v>0</v>
          </cell>
          <cell r="K247">
            <v>225000000</v>
          </cell>
        </row>
        <row r="248">
          <cell r="A248" t="str">
            <v>91734PAF3</v>
          </cell>
          <cell r="B248" t="str">
            <v>CB-Ursa Re II Ltd. Series 2022-2 Class AA Reset 2024</v>
          </cell>
          <cell r="C248">
            <v>239</v>
          </cell>
          <cell r="D248">
            <v>239</v>
          </cell>
          <cell r="E248">
            <v>44908</v>
          </cell>
          <cell r="F248">
            <v>45991</v>
          </cell>
          <cell r="G248">
            <v>185000000</v>
          </cell>
          <cell r="H248" t="str">
            <v>Ursa Re II Ltd.</v>
          </cell>
          <cell r="I248" t="str">
            <v>Earthquake / California</v>
          </cell>
          <cell r="J248">
            <v>0</v>
          </cell>
          <cell r="K248">
            <v>1000000000</v>
          </cell>
        </row>
        <row r="249">
          <cell r="A249" t="str">
            <v>91734PAG1</v>
          </cell>
          <cell r="B249" t="str">
            <v>CB-Ursa Re II Ltd. Series 2022-2 Class C Reset 2024</v>
          </cell>
          <cell r="C249">
            <v>240</v>
          </cell>
          <cell r="D249">
            <v>240</v>
          </cell>
          <cell r="E249">
            <v>44908</v>
          </cell>
          <cell r="F249">
            <v>45991</v>
          </cell>
          <cell r="G249">
            <v>120000000</v>
          </cell>
          <cell r="H249" t="str">
            <v>Ursa Re II Ltd.</v>
          </cell>
          <cell r="I249" t="str">
            <v>Earthquake / California</v>
          </cell>
          <cell r="J249">
            <v>0</v>
          </cell>
          <cell r="K249">
            <v>500000000</v>
          </cell>
        </row>
        <row r="250">
          <cell r="A250" t="str">
            <v>91734PAH9</v>
          </cell>
          <cell r="B250" t="str">
            <v>CB-Ursa Re II Ltd. Series 2025-1 Class G</v>
          </cell>
          <cell r="C250">
            <v>241</v>
          </cell>
          <cell r="D250">
            <v>241</v>
          </cell>
          <cell r="E250">
            <v>45818</v>
          </cell>
          <cell r="F250">
            <v>46904</v>
          </cell>
          <cell r="G250">
            <v>400000000</v>
          </cell>
          <cell r="H250" t="str">
            <v>Ursa Re II Ltd.</v>
          </cell>
          <cell r="I250" t="str">
            <v>Earthquake / California</v>
          </cell>
          <cell r="K250">
            <v>400000000</v>
          </cell>
        </row>
        <row r="251">
          <cell r="A251" t="str">
            <v>90323WAN0</v>
          </cell>
          <cell r="B251" t="str">
            <v>CB-Ursa Re Ltd. Series 2023-2 Class E Reset 2024</v>
          </cell>
          <cell r="C251">
            <v>242</v>
          </cell>
          <cell r="D251">
            <v>242</v>
          </cell>
          <cell r="E251">
            <v>45216</v>
          </cell>
          <cell r="F251">
            <v>46356</v>
          </cell>
          <cell r="G251">
            <v>230000000</v>
          </cell>
          <cell r="H251" t="str">
            <v>Ursa Re Ltd.</v>
          </cell>
          <cell r="I251" t="str">
            <v>Earthquake / California</v>
          </cell>
          <cell r="J251">
            <v>0</v>
          </cell>
          <cell r="K251">
            <v>500000000</v>
          </cell>
        </row>
        <row r="252">
          <cell r="A252" t="str">
            <v>90323WAP5</v>
          </cell>
          <cell r="B252" t="str">
            <v>CB-Ursa Re Ltd. Series 2023-3 Class AA Reset 2024</v>
          </cell>
          <cell r="C252">
            <v>243</v>
          </cell>
          <cell r="D252">
            <v>243</v>
          </cell>
          <cell r="E252">
            <v>45265</v>
          </cell>
          <cell r="F252">
            <v>46356</v>
          </cell>
          <cell r="G252">
            <v>300000000</v>
          </cell>
          <cell r="H252" t="str">
            <v>Ursa Re Ltd.</v>
          </cell>
          <cell r="I252" t="str">
            <v>Earthquake / California</v>
          </cell>
          <cell r="J252">
            <v>0</v>
          </cell>
          <cell r="K252">
            <v>1000000000</v>
          </cell>
        </row>
        <row r="253">
          <cell r="A253" t="str">
            <v>90323WAQ3</v>
          </cell>
          <cell r="B253" t="str">
            <v>CB-Ursa Re Ltd. Series 2023-3 Class D Reset 2024</v>
          </cell>
          <cell r="C253">
            <v>244</v>
          </cell>
          <cell r="D253">
            <v>244</v>
          </cell>
          <cell r="E253">
            <v>45265</v>
          </cell>
          <cell r="F253">
            <v>46356</v>
          </cell>
          <cell r="G253">
            <v>350000000</v>
          </cell>
          <cell r="H253" t="str">
            <v>Ursa Re Ltd.</v>
          </cell>
          <cell r="I253" t="str">
            <v>Earthquake / California</v>
          </cell>
          <cell r="J253">
            <v>0</v>
          </cell>
          <cell r="K253">
            <v>500000000</v>
          </cell>
        </row>
        <row r="254">
          <cell r="A254" t="str">
            <v>90323WAL4</v>
          </cell>
          <cell r="B254" t="str">
            <v>CB-Ursa Re Ltd. Series 2023-1 Class AA Reset 2024</v>
          </cell>
          <cell r="C254">
            <v>245</v>
          </cell>
          <cell r="D254">
            <v>245</v>
          </cell>
          <cell r="E254">
            <v>45036</v>
          </cell>
          <cell r="F254">
            <v>45991</v>
          </cell>
          <cell r="G254">
            <v>125000000</v>
          </cell>
          <cell r="H254" t="str">
            <v>Ursa Re Ltd.</v>
          </cell>
          <cell r="I254" t="str">
            <v>Earthquake / California</v>
          </cell>
          <cell r="J254">
            <v>0</v>
          </cell>
          <cell r="K254">
            <v>1000000000</v>
          </cell>
        </row>
        <row r="255">
          <cell r="A255" t="str">
            <v>90323WAM2</v>
          </cell>
          <cell r="B255" t="str">
            <v>CB-Ursa Re Ltd. Series 2023-1 Class C Reset 2024</v>
          </cell>
          <cell r="C255">
            <v>246</v>
          </cell>
          <cell r="D255">
            <v>246</v>
          </cell>
          <cell r="E255">
            <v>45036</v>
          </cell>
          <cell r="F255">
            <v>45991</v>
          </cell>
          <cell r="G255">
            <v>75000000</v>
          </cell>
          <cell r="H255" t="str">
            <v>Ursa Re Ltd.</v>
          </cell>
          <cell r="I255" t="str">
            <v>Earthquake / California</v>
          </cell>
          <cell r="J255">
            <v>0</v>
          </cell>
          <cell r="K255">
            <v>500000000</v>
          </cell>
        </row>
        <row r="256">
          <cell r="A256" t="str">
            <v>90323WAR1</v>
          </cell>
          <cell r="B256" t="str">
            <v>CB-Ursa Re Ltd. Series 2025-1 Class F</v>
          </cell>
          <cell r="C256">
            <v>247</v>
          </cell>
          <cell r="D256">
            <v>247</v>
          </cell>
          <cell r="E256">
            <v>45703</v>
          </cell>
          <cell r="F256">
            <v>46797</v>
          </cell>
          <cell r="G256">
            <v>400000000</v>
          </cell>
          <cell r="H256" t="str">
            <v>Ursa Re Ltd.</v>
          </cell>
          <cell r="I256" t="str">
            <v>Earthquake / California</v>
          </cell>
          <cell r="J256">
            <v>0</v>
          </cell>
          <cell r="K256">
            <v>500000000</v>
          </cell>
        </row>
        <row r="257">
          <cell r="A257" t="str">
            <v>613752AB0</v>
          </cell>
          <cell r="B257" t="str">
            <v>CB-Montoya Re Ltd. Series 2022-2 Class A Reset 2025</v>
          </cell>
          <cell r="C257">
            <v>248</v>
          </cell>
          <cell r="D257">
            <v>248</v>
          </cell>
          <cell r="E257">
            <v>44927</v>
          </cell>
          <cell r="F257">
            <v>46112</v>
          </cell>
          <cell r="G257">
            <v>110000000</v>
          </cell>
          <cell r="H257" t="str">
            <v>Montoya Re Ltd.</v>
          </cell>
          <cell r="I257" t="str">
            <v>Earthquake / U.S., Canada, Puerto Rico, U.S. VI ; Named Storm / U.S., Puerto Rico, U.S. VI</v>
          </cell>
          <cell r="J257">
            <v>0</v>
          </cell>
          <cell r="K257">
            <v>87000000</v>
          </cell>
        </row>
        <row r="258">
          <cell r="A258" t="str">
            <v>XS2630523749</v>
          </cell>
          <cell r="B258" t="str">
            <v>CB-Totara Re Pte. Ltd. Series 2023-1 Class A Reset 2025</v>
          </cell>
          <cell r="C258">
            <v>249</v>
          </cell>
          <cell r="D258">
            <v>249</v>
          </cell>
          <cell r="E258">
            <v>45078</v>
          </cell>
          <cell r="F258">
            <v>46538</v>
          </cell>
          <cell r="G258">
            <v>225000000</v>
          </cell>
          <cell r="H258" t="str">
            <v>Totara Re Pte. Ltd.</v>
          </cell>
          <cell r="I258" t="str">
            <v>Earthquake ; Landslide ; Hydrothermal Activity ; Volcanic Activity ; Tsunami ; Storm ; Flood / New Zealand</v>
          </cell>
          <cell r="K258">
            <v>272000000</v>
          </cell>
        </row>
        <row r="259">
          <cell r="A259" t="str">
            <v>33975CAM7</v>
          </cell>
          <cell r="B259" t="str">
            <v>CB-FloodSmart Re Ltd. Series 2023-1 Class A Reset 2025</v>
          </cell>
          <cell r="C259">
            <v>250</v>
          </cell>
          <cell r="D259">
            <v>250</v>
          </cell>
          <cell r="E259">
            <v>44993</v>
          </cell>
          <cell r="F259">
            <v>46088</v>
          </cell>
          <cell r="G259">
            <v>225000000</v>
          </cell>
          <cell r="H259" t="str">
            <v>FloodSmart Re Ltd.</v>
          </cell>
          <cell r="I259" t="str">
            <v>Flood / U.S., Puerto Rico, U.S. VI</v>
          </cell>
          <cell r="J259">
            <v>0</v>
          </cell>
          <cell r="K259">
            <v>2465000000</v>
          </cell>
        </row>
        <row r="260">
          <cell r="A260" t="str">
            <v>33975CAN5</v>
          </cell>
          <cell r="B260" t="str">
            <v>CB-FloodSmart Re Ltd. Series 2023-1 Class B Reset 2025</v>
          </cell>
          <cell r="C260">
            <v>251</v>
          </cell>
          <cell r="D260">
            <v>251</v>
          </cell>
          <cell r="E260">
            <v>44993</v>
          </cell>
          <cell r="F260">
            <v>46088</v>
          </cell>
          <cell r="G260">
            <v>50000000</v>
          </cell>
          <cell r="H260" t="str">
            <v>FloodSmart Re Ltd.</v>
          </cell>
          <cell r="I260" t="str">
            <v>Flood / U.S., Puerto Rico, U.S. VI</v>
          </cell>
          <cell r="J260">
            <v>0</v>
          </cell>
          <cell r="K260">
            <v>1516000000</v>
          </cell>
        </row>
        <row r="261">
          <cell r="A261" t="str">
            <v>33975CAP0</v>
          </cell>
          <cell r="B261" t="str">
            <v>CB-FloodSmart Re Ltd. Series 2024-1 Class A Reset 2025</v>
          </cell>
          <cell r="C261">
            <v>252</v>
          </cell>
          <cell r="D261">
            <v>252</v>
          </cell>
          <cell r="E261">
            <v>45359</v>
          </cell>
          <cell r="F261">
            <v>46453</v>
          </cell>
          <cell r="G261">
            <v>475000000</v>
          </cell>
          <cell r="H261" t="str">
            <v>FloodSmart Re Ltd.</v>
          </cell>
          <cell r="I261" t="str">
            <v>Flood / U.S., Puerto Rico, U.S. VI</v>
          </cell>
          <cell r="J261">
            <v>0</v>
          </cell>
          <cell r="K261">
            <v>2000000000</v>
          </cell>
        </row>
        <row r="262">
          <cell r="A262" t="str">
            <v>33975CAQ8</v>
          </cell>
          <cell r="B262" t="str">
            <v>CB-FloodSmart Re Ltd. Series 2024-1 Class B Reset 2025</v>
          </cell>
          <cell r="C262">
            <v>253</v>
          </cell>
          <cell r="D262">
            <v>253</v>
          </cell>
          <cell r="E262">
            <v>45359</v>
          </cell>
          <cell r="F262">
            <v>46453</v>
          </cell>
          <cell r="G262">
            <v>100000000</v>
          </cell>
          <cell r="H262" t="str">
            <v>FloodSmart Re Ltd.</v>
          </cell>
          <cell r="I262" t="str">
            <v>Flood / U.S., Puerto Rico, U.S. VI</v>
          </cell>
          <cell r="J262">
            <v>0</v>
          </cell>
          <cell r="K262">
            <v>1000000000</v>
          </cell>
        </row>
        <row r="263">
          <cell r="A263" t="str">
            <v>349939AA6</v>
          </cell>
          <cell r="B263" t="str">
            <v>CB-Foundation Re IV Ltd. Series 2023-1 Class A Reset 2025</v>
          </cell>
          <cell r="C263">
            <v>254</v>
          </cell>
          <cell r="D263">
            <v>254</v>
          </cell>
          <cell r="E263">
            <v>45292</v>
          </cell>
          <cell r="F263">
            <v>46387</v>
          </cell>
          <cell r="G263">
            <v>200000000</v>
          </cell>
          <cell r="H263" t="str">
            <v>Foundation Re IV Ltd.</v>
          </cell>
          <cell r="I263" t="str">
            <v>Earthquake ; Tropical Cyclone / U.S., Puerto Rico</v>
          </cell>
          <cell r="K263">
            <v>301000000</v>
          </cell>
        </row>
        <row r="264">
          <cell r="A264" t="str">
            <v>XS2865536135</v>
          </cell>
          <cell r="B264" t="str">
            <v>CB-Quercus Re DAC Reset 2025</v>
          </cell>
          <cell r="C264">
            <v>255</v>
          </cell>
          <cell r="D264">
            <v>255</v>
          </cell>
          <cell r="E264">
            <v>45492</v>
          </cell>
          <cell r="F264">
            <v>46568</v>
          </cell>
          <cell r="G264">
            <v>150000000</v>
          </cell>
          <cell r="H264" t="str">
            <v>Quercus Re DAC Reset 2025</v>
          </cell>
          <cell r="I264" t="str">
            <v>Windstorm / France</v>
          </cell>
          <cell r="K264">
            <v>150000000</v>
          </cell>
        </row>
        <row r="265">
          <cell r="A265" t="str">
            <v>785628AA6</v>
          </cell>
          <cell r="B265" t="str">
            <v>CB-Sabine Re Ltd. Series 2024-1 Class A Reset 2025</v>
          </cell>
          <cell r="C265">
            <v>256</v>
          </cell>
          <cell r="D265">
            <v>256</v>
          </cell>
          <cell r="E265">
            <v>45384</v>
          </cell>
          <cell r="F265">
            <v>46477</v>
          </cell>
          <cell r="G265">
            <v>100000000</v>
          </cell>
          <cell r="H265" t="str">
            <v>Sabine Re Ltd.</v>
          </cell>
          <cell r="I265" t="str">
            <v>Named Storm / Louisiana, North Carolina, South Carolina, Texas</v>
          </cell>
          <cell r="K265">
            <v>100000000</v>
          </cell>
        </row>
        <row r="266">
          <cell r="A266" t="str">
            <v>79381MAD6</v>
          </cell>
          <cell r="B266" t="str">
            <v>CB-Sakura Re Ltd. Series 2025-1 Class A</v>
          </cell>
          <cell r="C266">
            <v>257</v>
          </cell>
          <cell r="D266">
            <v>257</v>
          </cell>
          <cell r="E266">
            <v>45748</v>
          </cell>
          <cell r="F266">
            <v>47208</v>
          </cell>
          <cell r="G266">
            <v>150000000</v>
          </cell>
          <cell r="H266" t="str">
            <v>Sakura Re Ltd.</v>
          </cell>
          <cell r="I266" t="str">
            <v>Typhoon ; Flood / Japan</v>
          </cell>
          <cell r="K266">
            <v>150000000</v>
          </cell>
        </row>
        <row r="267">
          <cell r="A267" t="str">
            <v>83423TAA9</v>
          </cell>
          <cell r="B267" t="str">
            <v>CB-Solis Re Ltd. Series 2025-1 Class A</v>
          </cell>
          <cell r="C267">
            <v>258</v>
          </cell>
          <cell r="D267">
            <v>258</v>
          </cell>
          <cell r="E267">
            <v>45839</v>
          </cell>
          <cell r="F267">
            <v>46934</v>
          </cell>
          <cell r="G267">
            <v>150000000</v>
          </cell>
          <cell r="H267" t="str">
            <v>Solis Re Ltd.</v>
          </cell>
          <cell r="I267" t="str">
            <v>Named Storm / Northeast U.S., Mid-Atlantic U.S.</v>
          </cell>
          <cell r="K267">
            <v>200000000</v>
          </cell>
        </row>
        <row r="268">
          <cell r="A268" t="str">
            <v>87609TAA6</v>
          </cell>
          <cell r="B268" t="str">
            <v>CB-Taranis Re DAC Class A Reset 2025</v>
          </cell>
          <cell r="C268">
            <v>259</v>
          </cell>
          <cell r="D268">
            <v>259</v>
          </cell>
          <cell r="E268">
            <v>45292</v>
          </cell>
          <cell r="F268">
            <v>46752</v>
          </cell>
          <cell r="G268">
            <v>110000000</v>
          </cell>
          <cell r="H268" t="str">
            <v>Taranis Re DAC Class A Reset 2025</v>
          </cell>
          <cell r="I268" t="str">
            <v>Windstorm ; Hail Storm / France</v>
          </cell>
          <cell r="J268">
            <v>0</v>
          </cell>
          <cell r="K268">
            <v>300000000</v>
          </cell>
        </row>
        <row r="269">
          <cell r="A269" t="str">
            <v>87609TAB4</v>
          </cell>
          <cell r="B269" t="str">
            <v>CB-Taranis Re DAC Class B Reset 2025</v>
          </cell>
          <cell r="C269">
            <v>260</v>
          </cell>
          <cell r="D269">
            <v>260</v>
          </cell>
          <cell r="E269">
            <v>45292</v>
          </cell>
          <cell r="F269">
            <v>46752</v>
          </cell>
          <cell r="G269">
            <v>50000000</v>
          </cell>
          <cell r="H269" t="str">
            <v>Taranis Re DAC Class B Reset 2025</v>
          </cell>
          <cell r="I269" t="str">
            <v>Windstorm / France</v>
          </cell>
          <cell r="J269">
            <v>90000000</v>
          </cell>
          <cell r="K269">
            <v>90000000</v>
          </cell>
        </row>
        <row r="270">
          <cell r="A270" t="str">
            <v>982533AC5</v>
          </cell>
          <cell r="B270" t="str">
            <v>CB-Wrigley Re Ltd. Series 2023-1 Class B Reset 2025</v>
          </cell>
          <cell r="C270">
            <v>261</v>
          </cell>
          <cell r="D270">
            <v>261</v>
          </cell>
          <cell r="E270">
            <v>45135</v>
          </cell>
          <cell r="F270">
            <v>46230</v>
          </cell>
          <cell r="G270">
            <v>150000000</v>
          </cell>
          <cell r="H270" t="str">
            <v>Wrigley Re Ltd.</v>
          </cell>
          <cell r="I270" t="str">
            <v>Earthquake / California</v>
          </cell>
          <cell r="K270">
            <v>150000000</v>
          </cell>
        </row>
        <row r="271">
          <cell r="A271" t="str">
            <v>982533AB7</v>
          </cell>
          <cell r="B271" t="str">
            <v>CB-Wrigley Re Ltd. Series 2023-1 Class A Reset 2025</v>
          </cell>
          <cell r="C271">
            <v>262</v>
          </cell>
          <cell r="D271">
            <v>262</v>
          </cell>
          <cell r="E271">
            <v>45135</v>
          </cell>
          <cell r="F271">
            <v>46230</v>
          </cell>
          <cell r="G271">
            <v>100000000</v>
          </cell>
          <cell r="H271" t="str">
            <v>Wrigley Re Ltd.</v>
          </cell>
          <cell r="I271" t="str">
            <v>Earthquake / U.S. (excl. CA), Canada ; Named Storm / U.S., Canada</v>
          </cell>
          <cell r="K271">
            <v>300000000</v>
          </cell>
        </row>
        <row r="272">
          <cell r="A272" t="str">
            <v>98740RAB5</v>
          </cell>
          <cell r="B272" t="str">
            <v>CB-Yosemite Re Ltd. Series 2025-1 Class A</v>
          </cell>
          <cell r="C272">
            <v>263</v>
          </cell>
          <cell r="D272">
            <v>263</v>
          </cell>
          <cell r="E272">
            <v>45809</v>
          </cell>
          <cell r="F272">
            <v>46904</v>
          </cell>
          <cell r="G272">
            <v>95000000</v>
          </cell>
          <cell r="H272" t="str">
            <v>Yosemite Re Ltd.</v>
          </cell>
          <cell r="I272" t="str">
            <v>Earthquake ; Named Storm / U.S.</v>
          </cell>
          <cell r="K272">
            <v>110000000</v>
          </cell>
        </row>
        <row r="273">
          <cell r="A273" t="str">
            <v>613752AC8</v>
          </cell>
          <cell r="B273" t="str">
            <v>CB-Montoya Re Ltd. Series 2024-1 Class A Reset 2025</v>
          </cell>
          <cell r="C273">
            <v>264</v>
          </cell>
          <cell r="D273">
            <v>264</v>
          </cell>
          <cell r="E273">
            <v>45292</v>
          </cell>
          <cell r="F273">
            <v>46477</v>
          </cell>
          <cell r="G273">
            <v>100000000</v>
          </cell>
          <cell r="H273" t="str">
            <v>Montoya Re Ltd.</v>
          </cell>
          <cell r="I273" t="str">
            <v>Earthquake / U.S., Canada, Puerto Rico, U.S. VI ; Named Storm / U.S., Puerto Rico, U.S. VI</v>
          </cell>
          <cell r="J273">
            <v>0</v>
          </cell>
          <cell r="K273">
            <v>36000000</v>
          </cell>
        </row>
        <row r="274">
          <cell r="A274" t="str">
            <v>54180TAA3</v>
          </cell>
          <cell r="B274" t="str">
            <v>CB-Fuchsia Series 2023-1 Class A Reset 2025</v>
          </cell>
          <cell r="C274">
            <v>265</v>
          </cell>
          <cell r="D274">
            <v>265</v>
          </cell>
          <cell r="E274">
            <v>45292</v>
          </cell>
          <cell r="F274">
            <v>46477</v>
          </cell>
          <cell r="G274">
            <v>100000000</v>
          </cell>
          <cell r="H274" t="str">
            <v>Fuchsia</v>
          </cell>
          <cell r="I274" t="str">
            <v>Earthquake ; Named Storm / U.S., Canada, Caribbean</v>
          </cell>
          <cell r="K274">
            <v>300000000</v>
          </cell>
        </row>
        <row r="275">
          <cell r="A275" t="str">
            <v>541917AA8</v>
          </cell>
          <cell r="B275" t="str">
            <v>CB-Fuchsia 2 Series 2024-1 Class A Reset 2025</v>
          </cell>
          <cell r="C275">
            <v>266</v>
          </cell>
          <cell r="D275">
            <v>266</v>
          </cell>
          <cell r="E275">
            <v>45658</v>
          </cell>
          <cell r="F275">
            <v>46843</v>
          </cell>
          <cell r="G275">
            <v>200000000</v>
          </cell>
          <cell r="H275" t="str">
            <v>Fuchsia 2</v>
          </cell>
          <cell r="I275" t="str">
            <v>Earthquake ; Named Storm / U.S., Canada, Caribbean</v>
          </cell>
          <cell r="J275">
            <v>0</v>
          </cell>
          <cell r="K275">
            <v>300000000</v>
          </cell>
        </row>
        <row r="276">
          <cell r="A276" t="str">
            <v>613752AD6</v>
          </cell>
          <cell r="B276" t="str">
            <v>CB-Montoya Re Ltd. Series 2025-1 Class A Reset 2025</v>
          </cell>
          <cell r="C276">
            <v>267</v>
          </cell>
          <cell r="D276">
            <v>267</v>
          </cell>
          <cell r="E276">
            <v>45748</v>
          </cell>
          <cell r="F276">
            <v>46843</v>
          </cell>
          <cell r="G276">
            <v>85000000</v>
          </cell>
          <cell r="H276" t="str">
            <v>Montoya Re Ltd.</v>
          </cell>
          <cell r="I276" t="str">
            <v>Earthquake / U.S., Canada, Puerto Rico, U.S. VI ; Named Storm / U.S., Puerto Rico, U.S. VI</v>
          </cell>
          <cell r="K276">
            <v>85000000</v>
          </cell>
        </row>
        <row r="277">
          <cell r="A277" t="str">
            <v>613752AE4</v>
          </cell>
          <cell r="B277" t="str">
            <v>CB-Montoya Re Ltd. Series 2025-1 Class B Reset 2025</v>
          </cell>
          <cell r="C277">
            <v>268</v>
          </cell>
          <cell r="D277">
            <v>268</v>
          </cell>
          <cell r="E277">
            <v>45748</v>
          </cell>
          <cell r="F277">
            <v>46843</v>
          </cell>
          <cell r="G277">
            <v>30000000</v>
          </cell>
          <cell r="H277" t="str">
            <v>Montoya Re Ltd.</v>
          </cell>
          <cell r="I277" t="str">
            <v>Earthquake / U.S., Canada, Puerto Rico, U.S. VI ; Named Storm / U.S., Puerto Rico, U.S. VI</v>
          </cell>
          <cell r="J277">
            <v>5000000</v>
          </cell>
          <cell r="K277">
            <v>5000000</v>
          </cell>
        </row>
        <row r="278">
          <cell r="A278" t="str">
            <v>62865LAF4</v>
          </cell>
          <cell r="B278" t="str">
            <v>CB-Mystic Re IV Ltd. Series 2025-1 Class A</v>
          </cell>
          <cell r="C278">
            <v>269</v>
          </cell>
          <cell r="D278">
            <v>269</v>
          </cell>
          <cell r="E278">
            <v>45658</v>
          </cell>
          <cell r="F278">
            <v>46752</v>
          </cell>
          <cell r="G278">
            <v>125000000</v>
          </cell>
          <cell r="H278" t="str">
            <v>Mystic Re IV Ltd.</v>
          </cell>
          <cell r="I278" t="str">
            <v>Earthquake ; Named Storm / U.S., Canada, Caribbean</v>
          </cell>
          <cell r="J278">
            <v>0</v>
          </cell>
          <cell r="K278">
            <v>1300000000</v>
          </cell>
        </row>
        <row r="279">
          <cell r="A279" t="str">
            <v>62865LAG2</v>
          </cell>
          <cell r="B279" t="str">
            <v>CB-Mystic Re IV Ltd. Series 2025-1 Class B</v>
          </cell>
          <cell r="C279">
            <v>270</v>
          </cell>
          <cell r="D279">
            <v>270</v>
          </cell>
          <cell r="E279">
            <v>45658</v>
          </cell>
          <cell r="F279">
            <v>46752</v>
          </cell>
          <cell r="G279">
            <v>100000000</v>
          </cell>
          <cell r="H279" t="str">
            <v>Mystic Re IV Ltd.</v>
          </cell>
          <cell r="I279" t="str">
            <v>Earthquake ; Named Storm / U.S., Canada, Caribbean</v>
          </cell>
          <cell r="J279">
            <v>0</v>
          </cell>
          <cell r="K279">
            <v>750000000</v>
          </cell>
        </row>
        <row r="280">
          <cell r="A280" t="str">
            <v>62865LAH0</v>
          </cell>
          <cell r="B280" t="str">
            <v>CB-Mystic Re IV Ltd. Series 2025-1 Class C</v>
          </cell>
          <cell r="C280">
            <v>271</v>
          </cell>
          <cell r="D280">
            <v>271</v>
          </cell>
          <cell r="E280">
            <v>45658</v>
          </cell>
          <cell r="F280">
            <v>46752</v>
          </cell>
          <cell r="G280">
            <v>100000000</v>
          </cell>
          <cell r="H280" t="str">
            <v>Mystic Re IV Ltd.</v>
          </cell>
          <cell r="I280" t="str">
            <v>All Natural Perils / U.S., Canada, Caribbean</v>
          </cell>
          <cell r="J280">
            <v>0</v>
          </cell>
          <cell r="K280">
            <v>500000000</v>
          </cell>
        </row>
        <row r="281">
          <cell r="A281" t="str">
            <v>011395AJ9</v>
          </cell>
          <cell r="B281" t="str">
            <v>CB-Alamo Re Ltd. Series 2023-1 Class A Reset 2025</v>
          </cell>
          <cell r="C281">
            <v>272</v>
          </cell>
          <cell r="D281">
            <v>272</v>
          </cell>
          <cell r="E281">
            <v>45078</v>
          </cell>
          <cell r="F281">
            <v>46173</v>
          </cell>
          <cell r="G281">
            <v>500000000</v>
          </cell>
          <cell r="H281" t="str">
            <v>Alamo Re Ltd.</v>
          </cell>
          <cell r="I281" t="str">
            <v>Named Storm ; Severe Thunderstorm / Texas</v>
          </cell>
          <cell r="K281">
            <v>1000000000</v>
          </cell>
        </row>
        <row r="282">
          <cell r="A282" t="str">
            <v>011395AN0</v>
          </cell>
          <cell r="B282" t="str">
            <v>CB-Alamo Re Ltd. Series 2024-1 Class A Reset 2025</v>
          </cell>
          <cell r="C282">
            <v>273</v>
          </cell>
          <cell r="D282">
            <v>273</v>
          </cell>
          <cell r="E282">
            <v>45444</v>
          </cell>
          <cell r="F282">
            <v>46538</v>
          </cell>
          <cell r="G282">
            <v>500000000</v>
          </cell>
          <cell r="H282" t="str">
            <v>Alamo Re Ltd.</v>
          </cell>
          <cell r="I282" t="str">
            <v>Named Storm ; Severe Thunderstorm / Texas</v>
          </cell>
          <cell r="K282">
            <v>1427000000</v>
          </cell>
        </row>
        <row r="283">
          <cell r="A283" t="str">
            <v>011395AP5</v>
          </cell>
          <cell r="B283" t="str">
            <v>CB-Alamo Re Ltd. Series 2024-1 Class B Reset 2025</v>
          </cell>
          <cell r="C283">
            <v>274</v>
          </cell>
          <cell r="D283">
            <v>274</v>
          </cell>
          <cell r="E283">
            <v>45444</v>
          </cell>
          <cell r="F283">
            <v>46538</v>
          </cell>
          <cell r="G283">
            <v>500000000</v>
          </cell>
          <cell r="H283" t="str">
            <v>Alamo Re Ltd.</v>
          </cell>
          <cell r="I283" t="str">
            <v>Named Storm ; Severe Thunderstorm / Texas</v>
          </cell>
          <cell r="K283">
            <v>1000000000</v>
          </cell>
        </row>
        <row r="284">
          <cell r="A284" t="str">
            <v>011395AQ3</v>
          </cell>
          <cell r="B284" t="str">
            <v>CB-Alamo Re Ltd. Series 2024-1 Class C Reset 2025</v>
          </cell>
          <cell r="C284">
            <v>275</v>
          </cell>
          <cell r="D284">
            <v>275</v>
          </cell>
          <cell r="E284">
            <v>45444</v>
          </cell>
          <cell r="F284">
            <v>46173</v>
          </cell>
          <cell r="G284">
            <v>400000000</v>
          </cell>
          <cell r="H284" t="str">
            <v>Alamo Re Ltd.</v>
          </cell>
          <cell r="I284" t="str">
            <v>Named Storm ; Severe Thunderstorm / Texas</v>
          </cell>
          <cell r="K284">
            <v>1800000000</v>
          </cell>
        </row>
        <row r="285">
          <cell r="A285" t="str">
            <v>89055TAA1</v>
          </cell>
          <cell r="B285" t="str">
            <v>CB-Topanga Re Ltd. Series 2021-1 Class A Reset 2025</v>
          </cell>
          <cell r="C285">
            <v>276</v>
          </cell>
          <cell r="D285">
            <v>276</v>
          </cell>
          <cell r="E285">
            <v>44562</v>
          </cell>
          <cell r="F285">
            <v>46022</v>
          </cell>
          <cell r="G285">
            <v>100000000</v>
          </cell>
          <cell r="H285" t="str">
            <v>Topanga Re Ltd.</v>
          </cell>
          <cell r="I285" t="str">
            <v>NULL</v>
          </cell>
          <cell r="K285">
            <v>767000000</v>
          </cell>
        </row>
        <row r="286">
          <cell r="A286" t="str">
            <v>799925AA0</v>
          </cell>
          <cell r="B286" t="str">
            <v>CB-Sanders Re III Ltd. Series 2023-2 Class A Reset 2025</v>
          </cell>
          <cell r="C286">
            <v>277</v>
          </cell>
          <cell r="D286">
            <v>277</v>
          </cell>
          <cell r="E286">
            <v>45078</v>
          </cell>
          <cell r="F286">
            <v>46173</v>
          </cell>
          <cell r="G286">
            <v>300000000</v>
          </cell>
          <cell r="H286" t="str">
            <v>Sanders Re III Ltd.</v>
          </cell>
          <cell r="I286" t="str">
            <v>Earthquake ; Named Storm ; Severe Thunderstorm ; Wildfire / Florida</v>
          </cell>
          <cell r="J286">
            <v>0</v>
          </cell>
          <cell r="K286">
            <v>300000000</v>
          </cell>
        </row>
        <row r="287">
          <cell r="A287" t="str">
            <v>608800AJ7</v>
          </cell>
          <cell r="B287" t="str">
            <v>CB-Mona Lisa Re Ltd. Series 2025-1 Class A</v>
          </cell>
          <cell r="C287">
            <v>278</v>
          </cell>
          <cell r="D287">
            <v>278</v>
          </cell>
          <cell r="E287">
            <v>45658</v>
          </cell>
          <cell r="F287">
            <v>47118</v>
          </cell>
          <cell r="G287">
            <v>175000000</v>
          </cell>
          <cell r="H287" t="str">
            <v>Mona Lisa Re Ltd.</v>
          </cell>
          <cell r="I287" t="str">
            <v>Earthquake / U.S., Canada, Puerto Rico, U.S. VI ; Named Storm / U.S., Puerto Rico, U.S. VI</v>
          </cell>
          <cell r="J287">
            <v>0</v>
          </cell>
          <cell r="K287">
            <v>200000000</v>
          </cell>
        </row>
        <row r="288">
          <cell r="A288" t="str">
            <v>608800AK4</v>
          </cell>
          <cell r="B288" t="str">
            <v>CB-Mona Lisa Re Ltd. Series 2025-1 Class B</v>
          </cell>
          <cell r="C288">
            <v>279</v>
          </cell>
          <cell r="D288">
            <v>279</v>
          </cell>
          <cell r="E288">
            <v>45658</v>
          </cell>
          <cell r="F288">
            <v>46752</v>
          </cell>
          <cell r="G288">
            <v>175000000</v>
          </cell>
          <cell r="H288" t="str">
            <v>Mona Lisa Re Ltd.</v>
          </cell>
          <cell r="I288" t="str">
            <v>Earthquake / U.S., Canada, Puerto Rico, U.S. VI ; Named Storm / U.S., Puerto Rico, U.S. VI</v>
          </cell>
          <cell r="J288">
            <v>0</v>
          </cell>
          <cell r="K288">
            <v>200000000</v>
          </cell>
        </row>
        <row r="289">
          <cell r="A289" t="str">
            <v>608800AH1</v>
          </cell>
          <cell r="B289" t="str">
            <v>CB-Mona Lisa Re Ltd. Series 2024-1 Class A Reset 2025</v>
          </cell>
          <cell r="C289">
            <v>280</v>
          </cell>
          <cell r="D289">
            <v>280</v>
          </cell>
          <cell r="E289">
            <v>45462</v>
          </cell>
          <cell r="F289">
            <v>46556</v>
          </cell>
          <cell r="G289">
            <v>150000000</v>
          </cell>
          <cell r="H289" t="str">
            <v>Mona Lisa Re Ltd.</v>
          </cell>
          <cell r="I289" t="str">
            <v>Earthquake / U.S., Canada, Puerto Rico, U.S. VI ; Named Storm / U.S., Puerto Rico, U.S. VI</v>
          </cell>
          <cell r="J289">
            <v>0</v>
          </cell>
          <cell r="K289">
            <v>150000000</v>
          </cell>
        </row>
        <row r="290">
          <cell r="A290" t="str">
            <v>608800AF5</v>
          </cell>
          <cell r="B290" t="str">
            <v>CB-Mona Lisa Re Ltd. Series 2023-1 Class A Reset 2025</v>
          </cell>
          <cell r="C290">
            <v>281</v>
          </cell>
          <cell r="D290">
            <v>281</v>
          </cell>
          <cell r="E290">
            <v>44938</v>
          </cell>
          <cell r="F290">
            <v>46022</v>
          </cell>
          <cell r="G290">
            <v>85000000</v>
          </cell>
          <cell r="H290" t="str">
            <v>Mona Lisa Re Ltd.</v>
          </cell>
          <cell r="I290" t="str">
            <v>Earthquake / U.S., Canada, Puerto Rico, U.S. VI ; Named Storm / U.S., Puerto Rico, U.S. VI</v>
          </cell>
          <cell r="J290">
            <v>0</v>
          </cell>
          <cell r="K290">
            <v>240000000</v>
          </cell>
        </row>
        <row r="291">
          <cell r="A291" t="str">
            <v>608800AG3</v>
          </cell>
          <cell r="B291" t="str">
            <v>CB-Mona Lisa Re Ltd. Series 2023-1 Class B Reset 2025</v>
          </cell>
          <cell r="C291">
            <v>282</v>
          </cell>
          <cell r="D291">
            <v>282</v>
          </cell>
          <cell r="E291">
            <v>44938</v>
          </cell>
          <cell r="F291">
            <v>46022</v>
          </cell>
          <cell r="G291">
            <v>100000000</v>
          </cell>
          <cell r="H291" t="str">
            <v>Mona Lisa Re Ltd.</v>
          </cell>
          <cell r="I291" t="str">
            <v>Earthquake / U.S., Canada, Puerto Rico, U.S. VI ; Named Storm / U.S., Puerto Rico, U.S. VI</v>
          </cell>
          <cell r="J291">
            <v>0</v>
          </cell>
          <cell r="K291">
            <v>208000000</v>
          </cell>
        </row>
        <row r="292">
          <cell r="A292">
            <v>272383405</v>
          </cell>
          <cell r="B292" t="str">
            <v>CB-King Max Re DAC Reset 2025</v>
          </cell>
          <cell r="C292">
            <v>283</v>
          </cell>
          <cell r="D292">
            <v>283</v>
          </cell>
          <cell r="E292">
            <v>45292</v>
          </cell>
          <cell r="F292">
            <v>46387</v>
          </cell>
          <cell r="G292">
            <v>175000000</v>
          </cell>
          <cell r="H292" t="str">
            <v>King Max Re DAC Reset 2025</v>
          </cell>
          <cell r="I292" t="str">
            <v>Windstorm ; Hail Storm ; Flood ; Earthquake / Germany</v>
          </cell>
          <cell r="K292">
            <v>250000000</v>
          </cell>
        </row>
        <row r="293">
          <cell r="A293" t="str">
            <v>XS2931270180</v>
          </cell>
          <cell r="B293" t="str">
            <v>CB-Orange Capital Re DAC Series 2024-1 Class A</v>
          </cell>
          <cell r="C293">
            <v>284</v>
          </cell>
          <cell r="D293">
            <v>284</v>
          </cell>
          <cell r="E293">
            <v>45658</v>
          </cell>
          <cell r="F293">
            <v>47118</v>
          </cell>
          <cell r="G293">
            <v>75000000</v>
          </cell>
          <cell r="H293" t="str">
            <v>Orange Capital Re DAC</v>
          </cell>
          <cell r="I293" t="str">
            <v>Windstorm ; Severe Thunderstorm / Belgium, Netherlands</v>
          </cell>
          <cell r="K293">
            <v>75000000</v>
          </cell>
        </row>
        <row r="294">
          <cell r="A294" t="str">
            <v>XS2722275190</v>
          </cell>
          <cell r="B294" t="str">
            <v>CB-Orange Capital Re DAC Series 2023-1 Class A Reset 2025</v>
          </cell>
          <cell r="C294">
            <v>285</v>
          </cell>
          <cell r="D294">
            <v>285</v>
          </cell>
          <cell r="E294">
            <v>45292</v>
          </cell>
          <cell r="F294">
            <v>46387</v>
          </cell>
          <cell r="G294">
            <v>75000000</v>
          </cell>
          <cell r="H294" t="str">
            <v>Orange Capital Re DAC</v>
          </cell>
          <cell r="I294" t="str">
            <v>Windstorm ; Severe Thunderstorm / Belgium, Netherlands</v>
          </cell>
          <cell r="K294">
            <v>75000000</v>
          </cell>
        </row>
        <row r="295">
          <cell r="A295" t="str">
            <v>539694AA7</v>
          </cell>
          <cell r="B295" t="str">
            <v>CB-Locke Tavern Re Ltd. Series 2023-1 Class A Reset 2025</v>
          </cell>
          <cell r="C295">
            <v>286</v>
          </cell>
          <cell r="D295">
            <v>286</v>
          </cell>
          <cell r="E295">
            <v>45017</v>
          </cell>
          <cell r="F295">
            <v>46112</v>
          </cell>
          <cell r="G295">
            <v>175000000</v>
          </cell>
          <cell r="H295" t="str">
            <v>Locke Tavern Re Ltd.</v>
          </cell>
          <cell r="I295" t="str">
            <v>Earthquake ; Named Storm ; Severe Thunderstorm ; Winter Storm / Northeast U.S., Illinois</v>
          </cell>
          <cell r="K295">
            <v>450000000</v>
          </cell>
        </row>
        <row r="296">
          <cell r="A296" t="str">
            <v>42703VAG8</v>
          </cell>
          <cell r="B296" t="str">
            <v>CB-Herbie Re Ltd. Series 2024-1 Class A Reset 2025</v>
          </cell>
          <cell r="C296">
            <v>287</v>
          </cell>
          <cell r="D296">
            <v>287</v>
          </cell>
          <cell r="E296">
            <v>45345</v>
          </cell>
          <cell r="F296">
            <v>46752</v>
          </cell>
          <cell r="G296">
            <v>100000000</v>
          </cell>
          <cell r="H296" t="str">
            <v>Herbie Re Ltd.</v>
          </cell>
          <cell r="I296" t="str">
            <v>Earthquake ; Named Storm / U.S., Puerto Rico, U.S. VI</v>
          </cell>
          <cell r="J296">
            <v>0</v>
          </cell>
          <cell r="K296">
            <v>47163000000</v>
          </cell>
        </row>
        <row r="297">
          <cell r="A297" t="str">
            <v>42703VAH6</v>
          </cell>
          <cell r="B297" t="str">
            <v>CB-Herbie Re Ltd. Series 2024-1 Class B Reset 2025</v>
          </cell>
          <cell r="C297">
            <v>288</v>
          </cell>
          <cell r="D297">
            <v>288</v>
          </cell>
          <cell r="E297">
            <v>45345</v>
          </cell>
          <cell r="F297">
            <v>46752</v>
          </cell>
          <cell r="G297">
            <v>50000000</v>
          </cell>
          <cell r="H297" t="str">
            <v>Herbie Re Ltd.</v>
          </cell>
          <cell r="I297" t="str">
            <v>Earthquake ; Named Storm / U.S., Puerto Rico, U.S. VI</v>
          </cell>
          <cell r="J297">
            <v>0</v>
          </cell>
          <cell r="K297">
            <v>44649000000</v>
          </cell>
        </row>
        <row r="298">
          <cell r="A298" t="str">
            <v>42703VAJ2</v>
          </cell>
          <cell r="B298" t="str">
            <v>CB-Herbie Re Ltd. Series 2024-2 Class A</v>
          </cell>
          <cell r="C298">
            <v>289</v>
          </cell>
          <cell r="D298">
            <v>289</v>
          </cell>
          <cell r="E298">
            <v>45654</v>
          </cell>
          <cell r="F298">
            <v>47118</v>
          </cell>
          <cell r="G298">
            <v>150000000</v>
          </cell>
          <cell r="H298" t="str">
            <v>Herbie Re Ltd.</v>
          </cell>
          <cell r="I298" t="str">
            <v>Earthquake ; Named Storm / U.S., Puerto Rico, U.S. VI</v>
          </cell>
          <cell r="J298">
            <v>0</v>
          </cell>
          <cell r="K298">
            <v>40000000000</v>
          </cell>
        </row>
        <row r="299">
          <cell r="A299" t="str">
            <v>42703VAK9</v>
          </cell>
          <cell r="B299" t="str">
            <v>CB-Herbie Re Ltd. Series 2024-2 Class B</v>
          </cell>
          <cell r="C299">
            <v>290</v>
          </cell>
          <cell r="D299">
            <v>290</v>
          </cell>
          <cell r="E299">
            <v>45654</v>
          </cell>
          <cell r="F299">
            <v>47118</v>
          </cell>
          <cell r="G299">
            <v>150000000</v>
          </cell>
          <cell r="H299" t="str">
            <v>Herbie Re Ltd.</v>
          </cell>
          <cell r="I299" t="str">
            <v>Earthquake ; Named Storm / U.S., Puerto Rico, U.S. VI</v>
          </cell>
          <cell r="J299">
            <v>0</v>
          </cell>
          <cell r="K299">
            <v>43000000000</v>
          </cell>
        </row>
        <row r="300">
          <cell r="A300" t="str">
            <v>42703VAL7</v>
          </cell>
          <cell r="B300" t="str">
            <v>CB-Herbie Re Ltd. Series 2024-2 Class C</v>
          </cell>
          <cell r="C300">
            <v>291</v>
          </cell>
          <cell r="D300">
            <v>291</v>
          </cell>
          <cell r="E300">
            <v>45654</v>
          </cell>
          <cell r="F300">
            <v>46387</v>
          </cell>
          <cell r="G300">
            <v>75000000</v>
          </cell>
          <cell r="H300" t="str">
            <v>Herbie Re Ltd.</v>
          </cell>
          <cell r="I300" t="str">
            <v>Earthquake ; Named Storm / U.S., Puerto Rico, U.S. VI</v>
          </cell>
          <cell r="J300">
            <v>0</v>
          </cell>
          <cell r="K300">
            <v>40000000000</v>
          </cell>
        </row>
        <row r="301">
          <cell r="A301" t="str">
            <v>42703VAF0</v>
          </cell>
          <cell r="B301" t="str">
            <v>CB-Herbie Re Ltd. Series 2022-1 Class A Reset 2025</v>
          </cell>
          <cell r="C301">
            <v>292</v>
          </cell>
          <cell r="D301">
            <v>292</v>
          </cell>
          <cell r="E301">
            <v>44889</v>
          </cell>
          <cell r="F301">
            <v>46387</v>
          </cell>
          <cell r="G301">
            <v>80000000</v>
          </cell>
          <cell r="H301" t="str">
            <v>Herbie Re Ltd.</v>
          </cell>
          <cell r="I301" t="str">
            <v>Earthquake / U.S., Canada</v>
          </cell>
          <cell r="J301">
            <v>0</v>
          </cell>
          <cell r="K301">
            <v>7671000000</v>
          </cell>
        </row>
        <row r="302">
          <cell r="A302" t="str">
            <v>54279PAA3</v>
          </cell>
          <cell r="B302" t="str">
            <v>CB-Long Point Re IV Ltd. Series 2022-1 Class A Reset 2025</v>
          </cell>
          <cell r="C302">
            <v>293</v>
          </cell>
          <cell r="D302">
            <v>293</v>
          </cell>
          <cell r="E302">
            <v>44706</v>
          </cell>
          <cell r="F302">
            <v>46166</v>
          </cell>
          <cell r="G302">
            <v>575000000</v>
          </cell>
          <cell r="H302" t="str">
            <v>Long Point Re IV Ltd.</v>
          </cell>
          <cell r="I302" t="str">
            <v>Earthquake ; Tropical Cyclone ; Severe Thunderstorm ; Winter Storm  / Northeast U.S.</v>
          </cell>
          <cell r="J302">
            <v>0</v>
          </cell>
          <cell r="K302">
            <v>575000000</v>
          </cell>
        </row>
        <row r="303">
          <cell r="A303" t="str">
            <v>86944RAE8</v>
          </cell>
          <cell r="B303" t="str">
            <v>CB-Sutter Re Ltd. Series 2023-1 Class B Reset 2025</v>
          </cell>
          <cell r="C303">
            <v>294</v>
          </cell>
          <cell r="D303">
            <v>294</v>
          </cell>
          <cell r="E303">
            <v>45091</v>
          </cell>
          <cell r="F303">
            <v>46186</v>
          </cell>
          <cell r="G303">
            <v>225000000</v>
          </cell>
          <cell r="H303" t="str">
            <v>Sutter Re Ltd.</v>
          </cell>
          <cell r="I303" t="str">
            <v>Earthquake / California</v>
          </cell>
          <cell r="J303">
            <v>0</v>
          </cell>
          <cell r="K303">
            <v>500000000</v>
          </cell>
        </row>
        <row r="304">
          <cell r="A304" t="str">
            <v>86944RAF5</v>
          </cell>
          <cell r="B304" t="str">
            <v>CB-Sutter Re Ltd. Series 2023-1 Class E Reset 2025</v>
          </cell>
          <cell r="C304">
            <v>295</v>
          </cell>
          <cell r="D304">
            <v>295</v>
          </cell>
          <cell r="E304">
            <v>45091</v>
          </cell>
          <cell r="F304">
            <v>46186</v>
          </cell>
          <cell r="G304">
            <v>200000000</v>
          </cell>
          <cell r="H304" t="str">
            <v>Sutter Re Ltd.</v>
          </cell>
          <cell r="I304" t="str">
            <v>Earthquake / California</v>
          </cell>
          <cell r="J304">
            <v>0</v>
          </cell>
          <cell r="K304">
            <v>500000000</v>
          </cell>
        </row>
        <row r="305">
          <cell r="A305" t="str">
            <v>XS2845137541</v>
          </cell>
          <cell r="B305" t="str">
            <v>CB-Windmill III Re DAC Series 2024-1 Class A Reset 2025</v>
          </cell>
          <cell r="C305">
            <v>296</v>
          </cell>
          <cell r="D305">
            <v>296</v>
          </cell>
          <cell r="E305">
            <v>45474</v>
          </cell>
          <cell r="F305">
            <v>46934</v>
          </cell>
          <cell r="G305">
            <v>100000000</v>
          </cell>
          <cell r="H305" t="str">
            <v>Windmill III Re DAC</v>
          </cell>
          <cell r="I305" t="str">
            <v>Windstorm / Europe</v>
          </cell>
          <cell r="J305">
            <v>0</v>
          </cell>
          <cell r="K305">
            <v>150000000</v>
          </cell>
        </row>
        <row r="306">
          <cell r="A306" t="str">
            <v>888329AC3</v>
          </cell>
          <cell r="B306" t="str">
            <v>CB-Titania Re Ltd. Series 2023-1 Class A Reset 2025</v>
          </cell>
          <cell r="C306">
            <v>297</v>
          </cell>
          <cell r="D306">
            <v>297</v>
          </cell>
          <cell r="E306">
            <v>44981</v>
          </cell>
          <cell r="F306">
            <v>46076</v>
          </cell>
          <cell r="G306">
            <v>75000000</v>
          </cell>
          <cell r="H306" t="str">
            <v>Titania Re Ltd.</v>
          </cell>
          <cell r="I306" t="str">
            <v>Earthquake ; Named Storm / U.S., Canada, Puerto Rico, U.S. VI</v>
          </cell>
          <cell r="K306">
            <v>250000000</v>
          </cell>
        </row>
        <row r="307">
          <cell r="A307" t="str">
            <v>888329AD1</v>
          </cell>
          <cell r="B307" t="str">
            <v>CB-Titania Re Ltd. Series 2023-1 Class B Reset 2025</v>
          </cell>
          <cell r="C307">
            <v>298</v>
          </cell>
          <cell r="D307">
            <v>298</v>
          </cell>
          <cell r="E307">
            <v>44981</v>
          </cell>
          <cell r="F307">
            <v>46076</v>
          </cell>
          <cell r="G307">
            <v>50000000</v>
          </cell>
          <cell r="H307" t="str">
            <v>Titania Re Ltd.</v>
          </cell>
          <cell r="I307" t="str">
            <v>Named Storm / U.S., Canada, Puerto Rico, U.S. VI</v>
          </cell>
          <cell r="K307">
            <v>312000000</v>
          </cell>
        </row>
        <row r="308">
          <cell r="A308" t="str">
            <v>888329AE9</v>
          </cell>
          <cell r="B308" t="str">
            <v>CB-Titania Re Ltd. Series 2024-1 Class A</v>
          </cell>
          <cell r="C308">
            <v>299</v>
          </cell>
          <cell r="D308">
            <v>299</v>
          </cell>
          <cell r="E308">
            <v>45618</v>
          </cell>
          <cell r="F308">
            <v>46712</v>
          </cell>
          <cell r="G308">
            <v>175000000</v>
          </cell>
          <cell r="H308" t="str">
            <v>Titania Re Ltd.</v>
          </cell>
          <cell r="I308" t="str">
            <v>Earthquake ; Named Storm / U.S., Canada, Puerto Rico, U.S. VI</v>
          </cell>
          <cell r="K308">
            <v>1225000000</v>
          </cell>
        </row>
        <row r="309">
          <cell r="A309" t="str">
            <v>888329AF6</v>
          </cell>
          <cell r="B309" t="str">
            <v>CB-Titania Re Ltd. Series 2024-1 Class B</v>
          </cell>
          <cell r="C309">
            <v>300</v>
          </cell>
          <cell r="D309">
            <v>300</v>
          </cell>
          <cell r="E309">
            <v>45618</v>
          </cell>
          <cell r="F309">
            <v>46712</v>
          </cell>
          <cell r="G309">
            <v>150000000</v>
          </cell>
          <cell r="H309" t="str">
            <v>Titania Re Ltd.</v>
          </cell>
          <cell r="I309" t="str">
            <v>Earthquake ; Named Storm / U.S., Canada, Puerto Rico, U.S. VI</v>
          </cell>
          <cell r="K309">
            <v>520000000</v>
          </cell>
        </row>
        <row r="310">
          <cell r="A310" t="str">
            <v>888329AG4</v>
          </cell>
          <cell r="B310" t="str">
            <v>CB-Titania Re Ltd. Series 2025-1 Class A</v>
          </cell>
          <cell r="C310">
            <v>301</v>
          </cell>
          <cell r="D310">
            <v>301</v>
          </cell>
          <cell r="E310">
            <v>45840</v>
          </cell>
          <cell r="F310">
            <v>47299</v>
          </cell>
          <cell r="G310">
            <v>75000000</v>
          </cell>
          <cell r="H310" t="str">
            <v>Titania Re Ltd.</v>
          </cell>
          <cell r="I310" t="str">
            <v>Earthquake ; Named Storm / U.S., Canada, Puerto Rico, U.S. VI ; Wildfire / U.S.</v>
          </cell>
          <cell r="K310">
            <v>300000000</v>
          </cell>
        </row>
        <row r="311">
          <cell r="A311" t="str">
            <v>888329AH2</v>
          </cell>
          <cell r="B311" t="str">
            <v>CB-Titania Re Ltd. Series 2025-1 Class B</v>
          </cell>
          <cell r="C311">
            <v>302</v>
          </cell>
          <cell r="D311">
            <v>302</v>
          </cell>
          <cell r="E311">
            <v>45840</v>
          </cell>
          <cell r="F311">
            <v>47299</v>
          </cell>
          <cell r="G311">
            <v>75000000</v>
          </cell>
          <cell r="H311" t="str">
            <v>Titania Re Ltd.</v>
          </cell>
          <cell r="I311" t="str">
            <v>Earthquake ; Named Storm / U.S., Canada, Puerto Rico, U.S. VI ; Wildfire / U.S.</v>
          </cell>
          <cell r="K311">
            <v>300000000</v>
          </cell>
        </row>
        <row r="312">
          <cell r="A312" t="str">
            <v>48878QAD2</v>
          </cell>
          <cell r="B312" t="str">
            <v>CB-Kendall Re Ltd. Series 2024-1 Class A Reset 2025</v>
          </cell>
          <cell r="C312">
            <v>303</v>
          </cell>
          <cell r="D312">
            <v>303</v>
          </cell>
          <cell r="E312">
            <v>45408</v>
          </cell>
          <cell r="F312">
            <v>46502</v>
          </cell>
          <cell r="G312">
            <v>225000000</v>
          </cell>
          <cell r="H312" t="str">
            <v>Kendall Re Ltd.</v>
          </cell>
          <cell r="I312" t="str">
            <v>Earthquake / U.S., Canada, Puerto Rico, U.S. VI ; Named Storm / U.S., Puerto Rico, U.S. VI ; Windstorm / Europe</v>
          </cell>
          <cell r="K312">
            <v>150000000</v>
          </cell>
        </row>
        <row r="313">
          <cell r="A313" t="str">
            <v>48878QAE0</v>
          </cell>
          <cell r="B313" t="str">
            <v>CB-Kendall Re Ltd. Series 2024-1 Class B Reset 2025</v>
          </cell>
          <cell r="C313">
            <v>304</v>
          </cell>
          <cell r="D313">
            <v>304</v>
          </cell>
          <cell r="E313">
            <v>45408</v>
          </cell>
          <cell r="F313">
            <v>46502</v>
          </cell>
          <cell r="G313">
            <v>75000000</v>
          </cell>
          <cell r="H313" t="str">
            <v>Kendall Re Ltd.</v>
          </cell>
          <cell r="I313" t="str">
            <v>Earthquake / U.S., Canada, Puerto Rico, U.S. VI ; Named Storm / U.S., Puerto Rico, U.S. VI ; Windstorm / Europe</v>
          </cell>
          <cell r="K313">
            <v>150000000</v>
          </cell>
        </row>
        <row r="314">
          <cell r="A314" t="str">
            <v>80001AAA6</v>
          </cell>
          <cell r="B314" t="str">
            <v>CB-Sanders Re II Ltd. Series 2025-2 Class A</v>
          </cell>
          <cell r="C314">
            <v>305</v>
          </cell>
          <cell r="D314">
            <v>305</v>
          </cell>
          <cell r="E314">
            <v>45809</v>
          </cell>
          <cell r="F314">
            <v>46904</v>
          </cell>
          <cell r="G314">
            <v>150000000</v>
          </cell>
          <cell r="H314" t="str">
            <v>Sanders Re II Ltd.</v>
          </cell>
          <cell r="I314" t="str">
            <v>Earthquake ; Named Storm ; Severe Thunderstorm ; Wildfire / Florida</v>
          </cell>
          <cell r="J314">
            <v>0</v>
          </cell>
          <cell r="K314">
            <v>300000000</v>
          </cell>
        </row>
        <row r="315">
          <cell r="A315" t="str">
            <v>429932AA4</v>
          </cell>
          <cell r="B315" t="str">
            <v>CB-High Point Re Ltd. Series 2023-1 Class A Reset 2025</v>
          </cell>
          <cell r="C315">
            <v>306</v>
          </cell>
          <cell r="D315">
            <v>306</v>
          </cell>
          <cell r="E315">
            <v>45269</v>
          </cell>
          <cell r="F315">
            <v>46387</v>
          </cell>
          <cell r="G315">
            <v>325000000</v>
          </cell>
          <cell r="H315" t="str">
            <v>High Point Re Ltd.</v>
          </cell>
          <cell r="I315" t="str">
            <v>All Natural Perils / U.S. (excl. CA, FL, LA, TX)</v>
          </cell>
          <cell r="K315">
            <v>600000000</v>
          </cell>
        </row>
        <row r="316">
          <cell r="A316" t="str">
            <v>XS2788028178</v>
          </cell>
          <cell r="B316" t="str">
            <v>CB-Azzurro Re II DAC Series 2024-1 Class A Reset 2025</v>
          </cell>
          <cell r="C316">
            <v>307</v>
          </cell>
          <cell r="D316">
            <v>307</v>
          </cell>
          <cell r="E316">
            <v>45383</v>
          </cell>
          <cell r="F316">
            <v>46843</v>
          </cell>
          <cell r="G316">
            <v>100000000</v>
          </cell>
          <cell r="H316" t="str">
            <v>Azzurro Re II DAC</v>
          </cell>
          <cell r="I316" t="str">
            <v>Earthquake / Italy, Austria, Croatia, France, Monaco, Slovenia, Switzerland</v>
          </cell>
          <cell r="J316">
            <v>0</v>
          </cell>
          <cell r="K316">
            <v>100000000</v>
          </cell>
        </row>
        <row r="317">
          <cell r="A317" t="str">
            <v>09785EAK7</v>
          </cell>
          <cell r="B317" t="str">
            <v>CB-Bonanza Re Ltd. Series 2023-1 Class A Reset 2025</v>
          </cell>
          <cell r="C317">
            <v>308</v>
          </cell>
          <cell r="D317">
            <v>308</v>
          </cell>
          <cell r="E317">
            <v>45078</v>
          </cell>
          <cell r="F317">
            <v>46022</v>
          </cell>
          <cell r="G317">
            <v>70000000</v>
          </cell>
          <cell r="H317" t="str">
            <v>Bonanza Re Ltd.</v>
          </cell>
          <cell r="I317" t="str">
            <v>Named Storm / U.S.</v>
          </cell>
          <cell r="J317">
            <v>0</v>
          </cell>
          <cell r="K317">
            <v>140000000</v>
          </cell>
        </row>
        <row r="318">
          <cell r="A318" t="str">
            <v>09605UAA1</v>
          </cell>
          <cell r="B318" t="str">
            <v>CB-Blue Sky Re DAC Series 2023-1 Reset 2025</v>
          </cell>
          <cell r="C318">
            <v>309</v>
          </cell>
          <cell r="D318">
            <v>309</v>
          </cell>
          <cell r="E318">
            <v>45292</v>
          </cell>
          <cell r="F318">
            <v>46387</v>
          </cell>
          <cell r="G318">
            <v>250000000</v>
          </cell>
          <cell r="H318" t="str">
            <v>Blue Sky Re DAC</v>
          </cell>
          <cell r="I318" t="str">
            <v>Windstorm / Europe</v>
          </cell>
          <cell r="K318">
            <v>800000000</v>
          </cell>
        </row>
        <row r="319">
          <cell r="A319" t="str">
            <v>XS2641776773</v>
          </cell>
          <cell r="B319" t="str">
            <v>CB-Eiffel Re Ltd. Series 2023-1 Class A Reset 2025</v>
          </cell>
          <cell r="C319">
            <v>310</v>
          </cell>
          <cell r="D319">
            <v>310</v>
          </cell>
          <cell r="E319">
            <v>45108</v>
          </cell>
          <cell r="F319">
            <v>46387</v>
          </cell>
          <cell r="G319">
            <v>150000000</v>
          </cell>
          <cell r="H319" t="str">
            <v>Eiffel Re Ltd.</v>
          </cell>
          <cell r="I319" t="str">
            <v>Windstorm / Europe</v>
          </cell>
          <cell r="J319">
            <v>0</v>
          </cell>
          <cell r="K319">
            <v>600000000</v>
          </cell>
        </row>
        <row r="320">
          <cell r="A320" t="str">
            <v>049207AA1</v>
          </cell>
          <cell r="B320" t="str">
            <v>CB-Atlas Capital DAC Series 2023-1 Class A Reset 2025</v>
          </cell>
          <cell r="C320">
            <v>311</v>
          </cell>
          <cell r="D320">
            <v>311</v>
          </cell>
          <cell r="E320">
            <v>45078</v>
          </cell>
          <cell r="F320">
            <v>46173</v>
          </cell>
          <cell r="G320">
            <v>75000000</v>
          </cell>
          <cell r="H320" t="str">
            <v>Atlas Capital DAC</v>
          </cell>
          <cell r="I320" t="str">
            <v>Earthquake / U.S., Canada, Puerto Rico, U.S. VI ; Named Storm / U.S., Puerto Rico, U.S. VI ; Windstorm / Europe</v>
          </cell>
          <cell r="K320">
            <v>137000000</v>
          </cell>
        </row>
        <row r="321">
          <cell r="A321" t="str">
            <v>049207AC7</v>
          </cell>
          <cell r="B321" t="str">
            <v>CB-Atlas Capital DAC Series 2025-1 Class A</v>
          </cell>
          <cell r="C321">
            <v>312</v>
          </cell>
          <cell r="D321">
            <v>312</v>
          </cell>
          <cell r="E321">
            <v>45809</v>
          </cell>
          <cell r="F321">
            <v>46904</v>
          </cell>
          <cell r="G321">
            <v>240000000</v>
          </cell>
          <cell r="H321" t="str">
            <v>Atlas Capital DAC</v>
          </cell>
          <cell r="I321" t="str">
            <v>Earthquake / U.S., Canada, Puerto Rico, U.S. VI ; Named Storm / U.S., Caribbean, Puerto Rico, U.S. VI ; Windstorm / Europe</v>
          </cell>
          <cell r="J321">
            <v>0</v>
          </cell>
          <cell r="K321">
            <v>273900000</v>
          </cell>
        </row>
        <row r="322">
          <cell r="A322" t="str">
            <v>203235AC0</v>
          </cell>
          <cell r="B322" t="str">
            <v>CB-Commonwealth Re Ltd. Series 2025-1 Class A</v>
          </cell>
          <cell r="C322">
            <v>313</v>
          </cell>
          <cell r="D322">
            <v>313</v>
          </cell>
          <cell r="E322">
            <v>45839</v>
          </cell>
          <cell r="F322">
            <v>46934</v>
          </cell>
          <cell r="G322">
            <v>200000000</v>
          </cell>
          <cell r="H322" t="str">
            <v>Commonwealth Re Ltd.</v>
          </cell>
          <cell r="I322" t="str">
            <v>All Natural Perils / U.S.</v>
          </cell>
          <cell r="K322">
            <v>150000000</v>
          </cell>
        </row>
        <row r="323">
          <cell r="A323" t="str">
            <v>31969UAC1</v>
          </cell>
          <cell r="B323" t="str">
            <v>CB-First Coast Re IV Ltd. Series 2025-1 Class B</v>
          </cell>
          <cell r="C323">
            <v>314</v>
          </cell>
          <cell r="D323">
            <v>314</v>
          </cell>
          <cell r="E323">
            <v>45809</v>
          </cell>
          <cell r="F323">
            <v>46816</v>
          </cell>
          <cell r="G323">
            <v>150000000</v>
          </cell>
          <cell r="H323" t="str">
            <v>First Coast Re IV Ltd.</v>
          </cell>
          <cell r="I323" t="str">
            <v>Named Storm / Florida</v>
          </cell>
          <cell r="K323">
            <v>150000000</v>
          </cell>
        </row>
        <row r="324">
          <cell r="A324" t="str">
            <v>31969UAB3</v>
          </cell>
          <cell r="B324" t="str">
            <v>CB-First Coast Re IV Ltd. Series 2025-1 Class A</v>
          </cell>
          <cell r="C324">
            <v>315</v>
          </cell>
          <cell r="D324">
            <v>315</v>
          </cell>
          <cell r="E324">
            <v>45809</v>
          </cell>
          <cell r="F324">
            <v>46816</v>
          </cell>
          <cell r="G324">
            <v>100000000</v>
          </cell>
          <cell r="H324" t="str">
            <v>First Coast Re IV Ltd.</v>
          </cell>
          <cell r="I324" t="str">
            <v>Named Storm / Florida</v>
          </cell>
          <cell r="K324">
            <v>60000000</v>
          </cell>
        </row>
        <row r="325">
          <cell r="A325" t="str">
            <v>88577CAF8</v>
          </cell>
          <cell r="B325" t="str">
            <v>CB-3264 Re Ltd. Series 2025-1 Class B</v>
          </cell>
          <cell r="C325">
            <v>316</v>
          </cell>
          <cell r="D325">
            <v>316</v>
          </cell>
          <cell r="E325">
            <v>45689</v>
          </cell>
          <cell r="F325">
            <v>46783</v>
          </cell>
          <cell r="G325">
            <v>100000000</v>
          </cell>
          <cell r="H325" t="str">
            <v>3264 Re Ltd.</v>
          </cell>
          <cell r="I325" t="str">
            <v>EQ / North America</v>
          </cell>
          <cell r="J325">
            <v>0</v>
          </cell>
          <cell r="K325">
            <v>10000000000</v>
          </cell>
        </row>
        <row r="326">
          <cell r="A326" t="str">
            <v>88577CAE1</v>
          </cell>
          <cell r="B326" t="str">
            <v>CB-3264 Re Ltd. Series 2025-1 Class A</v>
          </cell>
          <cell r="C326">
            <v>317</v>
          </cell>
          <cell r="D326">
            <v>317</v>
          </cell>
          <cell r="E326">
            <v>45689</v>
          </cell>
          <cell r="F326">
            <v>46783</v>
          </cell>
          <cell r="G326">
            <v>100000000</v>
          </cell>
          <cell r="H326" t="str">
            <v>3264 Re Ltd.</v>
          </cell>
          <cell r="I326" t="str">
            <v xml:space="preserve">EQ / North America, Australasia, Japan, Italy, Turkey ; NS / North America, Australia, Japan ; EW / Europe ; Other Wind / U.S., Canada </v>
          </cell>
          <cell r="J326">
            <v>0</v>
          </cell>
          <cell r="K326">
            <v>30000000000</v>
          </cell>
        </row>
        <row r="327">
          <cell r="A327" t="str">
            <v>90215BAB3</v>
          </cell>
          <cell r="B327" t="str">
            <v>CB-2001 CAT Re Ltd. Series 2023-1 Class A Reset 2025</v>
          </cell>
          <cell r="C327">
            <v>318</v>
          </cell>
          <cell r="D327">
            <v>318</v>
          </cell>
          <cell r="E327">
            <v>45292</v>
          </cell>
          <cell r="F327">
            <v>46387</v>
          </cell>
          <cell r="G327">
            <v>275000000</v>
          </cell>
          <cell r="H327" t="str">
            <v>2001 CAT Re Ltd.</v>
          </cell>
          <cell r="I327" t="str">
            <v>Earthquake / U.S., Canada, Puerto Rico, U.S. VI ; Named Storm / U.S., Puerto Rico, U.S. VI ; Windstorm / Europe</v>
          </cell>
          <cell r="J327">
            <v>0</v>
          </cell>
          <cell r="K327">
            <v>275000000</v>
          </cell>
        </row>
        <row r="328">
          <cell r="A328" t="str">
            <v>42703VAM5</v>
          </cell>
          <cell r="B328" t="str">
            <v>CB-Herbie Re Ltd. Series 2025-1 Class A</v>
          </cell>
          <cell r="C328">
            <v>319</v>
          </cell>
          <cell r="D328">
            <v>319</v>
          </cell>
          <cell r="E328">
            <v>45804</v>
          </cell>
          <cell r="F328">
            <v>46538</v>
          </cell>
          <cell r="G328">
            <v>90000000</v>
          </cell>
          <cell r="H328" t="str">
            <v>Herbie Re Ltd.</v>
          </cell>
          <cell r="I328" t="str">
            <v>EQ / North America, Australasia, Japan, Italy, Turkey ; NS / North America, Australia, Japan ; EW / Europe ; Other Wind / U.S., Canada ; WF / U.S.</v>
          </cell>
          <cell r="K328">
            <v>30000000000</v>
          </cell>
        </row>
        <row r="329">
          <cell r="A329" t="str">
            <v>76091JAA6</v>
          </cell>
          <cell r="B329" t="str">
            <v>CB-Res Re 2025 Ltd. Series 2025-II Class 2</v>
          </cell>
          <cell r="C329">
            <v>320</v>
          </cell>
          <cell r="D329">
            <v>320</v>
          </cell>
          <cell r="E329">
            <v>45992</v>
          </cell>
          <cell r="F329">
            <v>47452</v>
          </cell>
          <cell r="G329">
            <v>200000000</v>
          </cell>
          <cell r="H329" t="str">
            <v>Res Re 2025 Ltd.</v>
          </cell>
          <cell r="I329" t="str">
            <v>All Natural Perils / U.S.</v>
          </cell>
          <cell r="J329">
            <v>0</v>
          </cell>
          <cell r="K329">
            <v>950000000</v>
          </cell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 Checks"/>
      <sheetName val="Bound Portfolio Report"/>
      <sheetName val="BoundPortfolio"/>
      <sheetName val="Profit and Loss"/>
      <sheetName val="Historical Events Adjustment"/>
      <sheetName val="Guidelines"/>
      <sheetName val="BoundPortfolioDetails"/>
      <sheetName val="Setup"/>
    </sheetNames>
    <sheetDataSet>
      <sheetData sheetId="0"/>
      <sheetData sheetId="1"/>
      <sheetData sheetId="2">
        <row r="2">
          <cell r="A2">
            <v>109</v>
          </cell>
        </row>
      </sheetData>
      <sheetData sheetId="3"/>
      <sheetData sheetId="4"/>
      <sheetData sheetId="5">
        <row r="2">
          <cell r="L2">
            <v>0.05</v>
          </cell>
          <cell r="R2">
            <v>7.4999999999999997E-2</v>
          </cell>
        </row>
        <row r="3">
          <cell r="L3">
            <v>2.5000000000000001E-2</v>
          </cell>
          <cell r="R3">
            <v>0.05</v>
          </cell>
        </row>
        <row r="4">
          <cell r="L4">
            <v>0.4</v>
          </cell>
          <cell r="R4">
            <v>0.4</v>
          </cell>
        </row>
        <row r="5">
          <cell r="L5">
            <v>0.4</v>
          </cell>
          <cell r="R5">
            <v>0.4</v>
          </cell>
        </row>
        <row r="6">
          <cell r="L6">
            <v>0.05</v>
          </cell>
          <cell r="R6">
            <v>0.1</v>
          </cell>
        </row>
        <row r="7">
          <cell r="L7">
            <v>0.1</v>
          </cell>
          <cell r="R7">
            <v>0.1</v>
          </cell>
        </row>
        <row r="8">
          <cell r="L8">
            <v>0.1</v>
          </cell>
          <cell r="R8">
            <v>0.1</v>
          </cell>
        </row>
        <row r="12">
          <cell r="L12">
            <v>0.15</v>
          </cell>
          <cell r="R12">
            <v>0.15</v>
          </cell>
        </row>
        <row r="13">
          <cell r="L13">
            <v>0.3</v>
          </cell>
          <cell r="R13">
            <v>0.3</v>
          </cell>
        </row>
        <row r="16">
          <cell r="L16">
            <v>0.1</v>
          </cell>
          <cell r="R16">
            <v>0.15</v>
          </cell>
        </row>
        <row r="17">
          <cell r="L17">
            <v>0.3</v>
          </cell>
          <cell r="R17">
            <v>0.15</v>
          </cell>
        </row>
        <row r="18">
          <cell r="L18">
            <v>0.3</v>
          </cell>
          <cell r="R18">
            <v>0.15</v>
          </cell>
        </row>
        <row r="19">
          <cell r="L19">
            <v>0.3</v>
          </cell>
          <cell r="R19">
            <v>0.3</v>
          </cell>
        </row>
        <row r="20">
          <cell r="L20">
            <v>0.3</v>
          </cell>
          <cell r="R20">
            <v>0.3</v>
          </cell>
        </row>
        <row r="21">
          <cell r="L21">
            <v>0.3</v>
          </cell>
          <cell r="R21">
            <v>0.15</v>
          </cell>
        </row>
        <row r="22">
          <cell r="L22">
            <v>0.3</v>
          </cell>
          <cell r="R22">
            <v>0.3</v>
          </cell>
        </row>
        <row r="23">
          <cell r="L23">
            <v>0.3</v>
          </cell>
          <cell r="R23">
            <v>0.3</v>
          </cell>
        </row>
        <row r="30">
          <cell r="L30">
            <v>0.3</v>
          </cell>
          <cell r="R30">
            <v>0.3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zoomScaleNormal="100" workbookViewId="0">
      <selection activeCell="L28" sqref="L28"/>
    </sheetView>
  </sheetViews>
  <sheetFormatPr defaultRowHeight="14.4" x14ac:dyDescent="0.3"/>
  <cols>
    <col min="1" max="1" width="24.21875" bestFit="1" customWidth="1"/>
    <col min="2" max="2" width="2.109375" customWidth="1"/>
    <col min="3" max="4" width="13.6640625" bestFit="1" customWidth="1"/>
    <col min="5" max="8" width="11.5546875" bestFit="1" customWidth="1"/>
    <col min="9" max="9" width="11.5546875" customWidth="1"/>
    <col min="10" max="10" width="11.5546875" bestFit="1" customWidth="1"/>
    <col min="11" max="11" width="20.33203125" style="68" bestFit="1" customWidth="1"/>
    <col min="13" max="13" width="13.6640625" bestFit="1" customWidth="1"/>
    <col min="14" max="14" width="13.5546875" bestFit="1" customWidth="1"/>
  </cols>
  <sheetData>
    <row r="1" spans="1:14" ht="15" customHeight="1" thickBot="1" x14ac:dyDescent="0.35"/>
    <row r="2" spans="1:14" ht="15" customHeight="1" thickBot="1" x14ac:dyDescent="0.35">
      <c r="A2" s="110" t="s">
        <v>654</v>
      </c>
      <c r="B2" s="111"/>
      <c r="C2" s="112">
        <v>45894</v>
      </c>
      <c r="D2" s="113">
        <v>45911</v>
      </c>
      <c r="E2" s="113">
        <v>45915</v>
      </c>
      <c r="F2" s="113">
        <v>45933</v>
      </c>
      <c r="G2" s="113">
        <v>45947</v>
      </c>
      <c r="H2" s="133">
        <v>45968</v>
      </c>
      <c r="I2" s="138">
        <v>45978</v>
      </c>
      <c r="J2" s="134" t="s">
        <v>655</v>
      </c>
    </row>
    <row r="3" spans="1:14" ht="15" customHeight="1" thickBot="1" x14ac:dyDescent="0.35">
      <c r="A3" s="1"/>
      <c r="B3" s="1"/>
      <c r="C3" s="17"/>
      <c r="D3" s="17"/>
      <c r="E3" s="17"/>
      <c r="F3" s="17"/>
      <c r="G3" s="17"/>
      <c r="H3" s="17"/>
      <c r="I3" s="17"/>
      <c r="J3" s="63"/>
      <c r="M3" s="137"/>
    </row>
    <row r="4" spans="1:14" x14ac:dyDescent="0.3">
      <c r="A4" s="99" t="s">
        <v>656</v>
      </c>
      <c r="B4" s="114"/>
      <c r="C4" s="118">
        <v>45891</v>
      </c>
      <c r="D4" s="117">
        <v>45912</v>
      </c>
      <c r="E4" s="121">
        <v>45919</v>
      </c>
      <c r="F4" s="121">
        <v>45933</v>
      </c>
      <c r="G4" s="121">
        <v>45946</v>
      </c>
      <c r="H4" s="121">
        <v>45968</v>
      </c>
      <c r="I4" s="139">
        <v>45978</v>
      </c>
      <c r="J4" s="126"/>
      <c r="M4" s="34"/>
    </row>
    <row r="5" spans="1:14" x14ac:dyDescent="0.3">
      <c r="A5" s="100" t="s">
        <v>657</v>
      </c>
      <c r="B5" s="102"/>
      <c r="C5" s="115">
        <v>33</v>
      </c>
      <c r="D5" s="116">
        <v>36</v>
      </c>
      <c r="E5" s="122">
        <v>39</v>
      </c>
      <c r="F5" s="122">
        <v>41</v>
      </c>
      <c r="G5" s="122">
        <v>44</v>
      </c>
      <c r="H5" s="122">
        <v>55</v>
      </c>
      <c r="I5" s="140">
        <v>57</v>
      </c>
      <c r="J5" s="127">
        <f>I5/H5-1</f>
        <v>3.6363636363636376E-2</v>
      </c>
    </row>
    <row r="6" spans="1:14" x14ac:dyDescent="0.3">
      <c r="A6" s="100" t="s">
        <v>658</v>
      </c>
      <c r="C6" s="105">
        <v>41</v>
      </c>
      <c r="D6" s="116">
        <v>42</v>
      </c>
      <c r="E6" s="122">
        <v>43</v>
      </c>
      <c r="F6" s="122">
        <v>0</v>
      </c>
      <c r="G6" s="122">
        <v>0</v>
      </c>
      <c r="H6" s="122"/>
      <c r="I6" s="140"/>
      <c r="J6" s="127"/>
    </row>
    <row r="7" spans="1:14" x14ac:dyDescent="0.3">
      <c r="A7" s="100" t="s">
        <v>659</v>
      </c>
      <c r="B7" s="102"/>
      <c r="C7" s="103">
        <v>12000000</v>
      </c>
      <c r="D7" s="116">
        <v>12000000</v>
      </c>
      <c r="E7" s="122">
        <v>12170460</v>
      </c>
      <c r="F7" s="122">
        <v>13000000</v>
      </c>
      <c r="G7" s="122">
        <v>13000000</v>
      </c>
      <c r="H7" s="122">
        <v>17000000</v>
      </c>
      <c r="I7" s="140">
        <v>19000000</v>
      </c>
      <c r="J7" s="127">
        <f>I7/H7-1</f>
        <v>0.11764705882352944</v>
      </c>
    </row>
    <row r="8" spans="1:14" x14ac:dyDescent="0.3">
      <c r="A8" s="100" t="s">
        <v>660</v>
      </c>
      <c r="B8" s="102"/>
      <c r="C8" s="103"/>
      <c r="D8" s="116"/>
      <c r="E8" s="122"/>
      <c r="F8" s="122"/>
      <c r="G8" s="122"/>
      <c r="H8" s="122">
        <v>1150000</v>
      </c>
      <c r="I8" s="140">
        <v>1500000</v>
      </c>
      <c r="J8" s="127">
        <f>I8/H8-1</f>
        <v>0.30434782608695654</v>
      </c>
    </row>
    <row r="9" spans="1:14" ht="18" customHeight="1" x14ac:dyDescent="0.3">
      <c r="A9" s="100" t="s">
        <v>661</v>
      </c>
      <c r="B9" s="102"/>
      <c r="C9" s="103">
        <v>8459065</v>
      </c>
      <c r="D9" s="116">
        <v>9236432.5800000001</v>
      </c>
      <c r="E9" s="122">
        <v>10016084.98</v>
      </c>
      <c r="F9" s="122">
        <v>10992085.23</v>
      </c>
      <c r="G9" s="122">
        <v>12079741.699999999</v>
      </c>
      <c r="H9" s="122">
        <v>15545795.119999999</v>
      </c>
      <c r="I9" s="140">
        <v>17904729.559999999</v>
      </c>
      <c r="J9" s="127">
        <f>I9/H9-1</f>
        <v>0.15174099631386362</v>
      </c>
      <c r="M9" s="131"/>
      <c r="N9" s="132"/>
    </row>
    <row r="10" spans="1:14" x14ac:dyDescent="0.3">
      <c r="A10" s="100" t="s">
        <v>662</v>
      </c>
      <c r="B10" s="102"/>
      <c r="C10" s="103"/>
      <c r="D10" s="104"/>
      <c r="E10" s="123"/>
      <c r="F10" s="123"/>
      <c r="G10" s="123"/>
      <c r="H10" s="123"/>
      <c r="I10" s="141"/>
      <c r="J10" s="127"/>
    </row>
    <row r="11" spans="1:14" x14ac:dyDescent="0.3">
      <c r="A11" s="100" t="s">
        <v>663</v>
      </c>
      <c r="B11" s="102"/>
      <c r="C11" s="106">
        <v>4.7399999999999998E-2</v>
      </c>
      <c r="D11" s="107">
        <v>4.0087130679941629E-2</v>
      </c>
      <c r="E11" s="124">
        <v>4.0087130679941629E-2</v>
      </c>
      <c r="F11" s="124">
        <v>3.9484946631504619E-2</v>
      </c>
      <c r="G11" s="124">
        <v>3.95E-2</v>
      </c>
      <c r="H11" s="124">
        <v>3.8699999999999998E-2</v>
      </c>
      <c r="I11" s="142">
        <v>3.8699999999999998E-2</v>
      </c>
      <c r="J11" s="127">
        <f t="shared" ref="J11:J19" si="0">I11/H11-1</f>
        <v>0</v>
      </c>
    </row>
    <row r="12" spans="1:14" x14ac:dyDescent="0.3">
      <c r="A12" s="100" t="s">
        <v>664</v>
      </c>
      <c r="B12" s="102"/>
      <c r="C12" s="104">
        <v>167840.31899999999</v>
      </c>
      <c r="D12" s="104">
        <v>110783.48830836909</v>
      </c>
      <c r="E12" s="123">
        <v>86362.712960341843</v>
      </c>
      <c r="F12" s="123">
        <v>79282.40753405985</v>
      </c>
      <c r="G12" s="123">
        <v>36350.202849999958</v>
      </c>
      <c r="H12" s="123">
        <v>56277.728855999812</v>
      </c>
      <c r="I12" s="141">
        <f>(I7-I9)*I11</f>
        <v>42386.966028000053</v>
      </c>
      <c r="J12" s="127">
        <f t="shared" si="0"/>
        <v>-0.24682522039122501</v>
      </c>
      <c r="K12" s="62"/>
    </row>
    <row r="13" spans="1:14" x14ac:dyDescent="0.3">
      <c r="A13" s="100" t="s">
        <v>665</v>
      </c>
      <c r="B13" s="102"/>
      <c r="C13" s="103">
        <v>163700</v>
      </c>
      <c r="D13" s="104">
        <v>112710</v>
      </c>
      <c r="E13" s="123">
        <v>81010</v>
      </c>
      <c r="F13" s="123">
        <v>72650</v>
      </c>
      <c r="G13" s="123">
        <v>30988</v>
      </c>
      <c r="H13" s="123">
        <v>42550.000000000007</v>
      </c>
      <c r="I13" s="141">
        <v>30988</v>
      </c>
      <c r="J13" s="127">
        <f t="shared" si="0"/>
        <v>-0.2717273795534666</v>
      </c>
    </row>
    <row r="14" spans="1:14" ht="18" customHeight="1" x14ac:dyDescent="0.3">
      <c r="A14" s="100" t="s">
        <v>666</v>
      </c>
      <c r="C14" s="103">
        <v>118198</v>
      </c>
      <c r="D14" s="104">
        <v>118198.48</v>
      </c>
      <c r="E14" s="123">
        <v>117000</v>
      </c>
      <c r="F14" s="123">
        <v>117000</v>
      </c>
      <c r="G14" s="123">
        <v>117000</v>
      </c>
      <c r="H14" s="123">
        <v>117000</v>
      </c>
      <c r="I14" s="123">
        <v>117000</v>
      </c>
      <c r="J14" s="127">
        <f t="shared" si="0"/>
        <v>0</v>
      </c>
      <c r="M14" s="131"/>
    </row>
    <row r="15" spans="1:14" x14ac:dyDescent="0.3">
      <c r="A15" s="100" t="s">
        <v>667</v>
      </c>
      <c r="C15" s="103">
        <v>8250000</v>
      </c>
      <c r="D15" s="104">
        <v>9000000</v>
      </c>
      <c r="E15" s="123">
        <v>9750000</v>
      </c>
      <c r="F15" s="123">
        <v>10675000</v>
      </c>
      <c r="G15" s="123">
        <v>11675000</v>
      </c>
      <c r="H15" s="123">
        <v>14925000</v>
      </c>
      <c r="I15" s="141">
        <v>17175000</v>
      </c>
      <c r="J15" s="127">
        <f t="shared" si="0"/>
        <v>0.15075376884422109</v>
      </c>
    </row>
    <row r="16" spans="1:14" x14ac:dyDescent="0.3">
      <c r="A16" s="100" t="s">
        <v>668</v>
      </c>
      <c r="C16" s="103">
        <v>11700000</v>
      </c>
      <c r="D16" s="104">
        <v>11700000</v>
      </c>
      <c r="E16" s="123">
        <v>11700000</v>
      </c>
      <c r="F16" s="123">
        <v>12425000</v>
      </c>
      <c r="G16" s="123">
        <v>12425000</v>
      </c>
      <c r="H16" s="123">
        <v>15575000</v>
      </c>
      <c r="I16" s="141">
        <v>18325000</v>
      </c>
      <c r="J16" s="127">
        <f t="shared" si="0"/>
        <v>0.1765650080256822</v>
      </c>
    </row>
    <row r="17" spans="1:10" x14ac:dyDescent="0.3">
      <c r="A17" s="100" t="s">
        <v>669</v>
      </c>
      <c r="C17" s="103">
        <v>911703</v>
      </c>
      <c r="D17" s="104">
        <v>994208.167552948</v>
      </c>
      <c r="E17" s="123">
        <v>1060655.5913068771</v>
      </c>
      <c r="F17" s="123">
        <v>1158832.8125502591</v>
      </c>
      <c r="G17" s="123">
        <v>1303174.20594162</v>
      </c>
      <c r="H17" s="123">
        <v>1745621.24538475</v>
      </c>
      <c r="I17" s="141">
        <v>2016217.8673355479</v>
      </c>
      <c r="J17" s="127">
        <f t="shared" si="0"/>
        <v>0.15501450997244026</v>
      </c>
    </row>
    <row r="18" spans="1:10" x14ac:dyDescent="0.3">
      <c r="A18" s="100" t="s">
        <v>670</v>
      </c>
      <c r="C18" s="103">
        <v>1075473</v>
      </c>
      <c r="D18" s="104">
        <v>1106918.167552948</v>
      </c>
      <c r="E18" s="123">
        <v>1141665.5913068771</v>
      </c>
      <c r="F18" s="123">
        <v>1231482.8125502591</v>
      </c>
      <c r="G18" s="123">
        <v>1334161.70594162</v>
      </c>
      <c r="H18" s="123">
        <v>1769671.24538475</v>
      </c>
      <c r="I18" s="141">
        <v>2047205.3673355479</v>
      </c>
      <c r="J18" s="127">
        <f t="shared" si="0"/>
        <v>0.15682806774116864</v>
      </c>
    </row>
    <row r="19" spans="1:10" ht="15" customHeight="1" thickBot="1" x14ac:dyDescent="0.35">
      <c r="A19" s="101" t="s">
        <v>671</v>
      </c>
      <c r="B19" s="12"/>
      <c r="C19" s="108">
        <v>134285</v>
      </c>
      <c r="D19" s="109">
        <v>150910</v>
      </c>
      <c r="E19" s="125">
        <v>166635</v>
      </c>
      <c r="F19" s="125">
        <v>181750</v>
      </c>
      <c r="G19" s="125">
        <v>198875</v>
      </c>
      <c r="H19" s="125">
        <v>308400</v>
      </c>
      <c r="I19" s="125">
        <v>371800</v>
      </c>
      <c r="J19" s="135">
        <f t="shared" si="0"/>
        <v>0.20557717250324248</v>
      </c>
    </row>
    <row r="20" spans="1:10" x14ac:dyDescent="0.3">
      <c r="A20" s="1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V2000"/>
  <sheetViews>
    <sheetView zoomScale="110" zoomScaleNormal="110" workbookViewId="0">
      <selection activeCell="A16" sqref="A16:AS16"/>
    </sheetView>
  </sheetViews>
  <sheetFormatPr defaultColWidth="9.109375" defaultRowHeight="14.4" x14ac:dyDescent="0.3"/>
  <cols>
    <col min="1" max="1" width="18.44140625" bestFit="1" customWidth="1"/>
    <col min="2" max="2" width="8.33203125" bestFit="1" customWidth="1"/>
    <col min="3" max="3" width="56.44140625" bestFit="1" customWidth="1"/>
    <col min="4" max="4" width="8.109375" customWidth="1"/>
    <col min="5" max="5" width="8.44140625" customWidth="1"/>
    <col min="6" max="6" width="6" style="78" customWidth="1"/>
    <col min="7" max="7" width="8.6640625" customWidth="1"/>
    <col min="8" max="8" width="9.5546875" style="78" customWidth="1"/>
    <col min="9" max="9" width="19.88671875" customWidth="1"/>
    <col min="10" max="10" width="7.5546875" customWidth="1"/>
    <col min="11" max="11" width="11.33203125" customWidth="1"/>
    <col min="12" max="13" width="20.6640625" style="136" customWidth="1"/>
    <col min="14" max="14" width="8.44140625" customWidth="1"/>
    <col min="15" max="15" width="18.6640625" customWidth="1"/>
    <col min="16" max="16" width="15.5546875" style="79" customWidth="1"/>
    <col min="17" max="17" width="21.6640625" style="79" customWidth="1"/>
    <col min="18" max="18" width="10.109375" customWidth="1"/>
    <col min="19" max="19" width="8" customWidth="1"/>
    <col min="20" max="20" width="19.6640625" customWidth="1"/>
    <col min="21" max="21" width="14.44140625" style="81" customWidth="1"/>
    <col min="22" max="22" width="16.88671875" customWidth="1"/>
    <col min="23" max="23" width="20.6640625" style="17" customWidth="1"/>
    <col min="24" max="24" width="15.6640625" customWidth="1"/>
    <col min="25" max="25" width="15.44140625" style="17" customWidth="1"/>
    <col min="26" max="26" width="19.5546875" style="83" customWidth="1"/>
    <col min="27" max="27" width="18" customWidth="1"/>
    <col min="28" max="28" width="17.33203125" customWidth="1"/>
    <col min="29" max="29" width="8.88671875" style="86" customWidth="1"/>
    <col min="30" max="30" width="10.6640625" style="78" customWidth="1"/>
    <col min="31" max="31" width="18.44140625" style="78" customWidth="1"/>
    <col min="32" max="32" width="25.88671875" style="78" customWidth="1"/>
    <col min="33" max="33" width="10.5546875" style="78" customWidth="1"/>
    <col min="34" max="34" width="19.6640625" style="78" customWidth="1"/>
    <col min="35" max="35" width="29" customWidth="1"/>
    <col min="36" max="36" width="36.5546875" style="78" customWidth="1"/>
    <col min="37" max="37" width="17.5546875" style="78" customWidth="1"/>
    <col min="38" max="38" width="23.5546875" style="78" customWidth="1"/>
    <col min="39" max="39" width="21" style="78" customWidth="1"/>
    <col min="40" max="40" width="10.88671875" customWidth="1"/>
    <col min="41" max="41" width="13.6640625" customWidth="1"/>
    <col min="42" max="42" width="16.5546875" style="78" customWidth="1"/>
    <col min="43" max="43" width="13.33203125" style="78" customWidth="1"/>
    <col min="44" max="44" width="9.109375" style="78" customWidth="1"/>
    <col min="45" max="45" width="19.33203125" style="78" customWidth="1"/>
    <col min="46" max="46" width="25.77734375" bestFit="1" customWidth="1"/>
  </cols>
  <sheetData>
    <row r="1" spans="1:48" s="30" customFormat="1" ht="15" customHeight="1" thickBot="1" x14ac:dyDescent="0.35">
      <c r="A1" s="89" t="s">
        <v>672</v>
      </c>
      <c r="B1" s="87" t="s">
        <v>673</v>
      </c>
      <c r="C1" s="90" t="s">
        <v>2</v>
      </c>
      <c r="D1" s="90" t="s">
        <v>674</v>
      </c>
      <c r="E1" s="90" t="s">
        <v>675</v>
      </c>
      <c r="F1" s="90" t="s">
        <v>676</v>
      </c>
      <c r="G1" s="87" t="s">
        <v>677</v>
      </c>
      <c r="H1" s="87" t="s">
        <v>678</v>
      </c>
      <c r="I1" s="90" t="s">
        <v>679</v>
      </c>
      <c r="J1" s="87" t="s">
        <v>680</v>
      </c>
      <c r="K1" s="90" t="s">
        <v>681</v>
      </c>
      <c r="L1" s="120" t="s">
        <v>682</v>
      </c>
      <c r="M1" s="120" t="s">
        <v>683</v>
      </c>
      <c r="N1" s="87" t="s">
        <v>684</v>
      </c>
      <c r="O1" s="87" t="s">
        <v>685</v>
      </c>
      <c r="P1" s="92" t="s">
        <v>686</v>
      </c>
      <c r="Q1" s="92" t="s">
        <v>5</v>
      </c>
      <c r="R1" s="93" t="s">
        <v>687</v>
      </c>
      <c r="S1" s="87" t="s">
        <v>688</v>
      </c>
      <c r="T1" s="90" t="s">
        <v>689</v>
      </c>
      <c r="U1" s="94" t="s">
        <v>690</v>
      </c>
      <c r="V1" s="88" t="s">
        <v>691</v>
      </c>
      <c r="W1" s="91" t="s">
        <v>692</v>
      </c>
      <c r="X1" s="88" t="s">
        <v>693</v>
      </c>
      <c r="Y1" s="88" t="s">
        <v>694</v>
      </c>
      <c r="Z1" s="95" t="s">
        <v>695</v>
      </c>
      <c r="AA1" s="90" t="s">
        <v>696</v>
      </c>
      <c r="AB1" s="88" t="s">
        <v>697</v>
      </c>
      <c r="AC1" s="96" t="s">
        <v>698</v>
      </c>
      <c r="AD1" s="88" t="s">
        <v>699</v>
      </c>
      <c r="AE1" s="88" t="s">
        <v>700</v>
      </c>
      <c r="AF1" s="88" t="s">
        <v>701</v>
      </c>
      <c r="AG1" s="88" t="s">
        <v>702</v>
      </c>
      <c r="AH1" s="88" t="s">
        <v>703</v>
      </c>
      <c r="AI1" s="97" t="s">
        <v>704</v>
      </c>
      <c r="AJ1" s="97" t="s">
        <v>705</v>
      </c>
      <c r="AK1" s="97" t="s">
        <v>706</v>
      </c>
      <c r="AL1" s="97" t="s">
        <v>707</v>
      </c>
      <c r="AM1" s="97" t="s">
        <v>708</v>
      </c>
      <c r="AN1" s="97" t="s">
        <v>709</v>
      </c>
      <c r="AO1" s="98" t="s">
        <v>710</v>
      </c>
      <c r="AP1" s="88" t="s">
        <v>711</v>
      </c>
      <c r="AQ1" s="88" t="s">
        <v>712</v>
      </c>
      <c r="AR1" s="88" t="s">
        <v>713</v>
      </c>
      <c r="AS1" s="88" t="s">
        <v>714</v>
      </c>
    </row>
    <row r="2" spans="1:48" s="128" customFormat="1" x14ac:dyDescent="0.3">
      <c r="A2" t="s">
        <v>1152</v>
      </c>
      <c r="B2" t="s">
        <v>1153</v>
      </c>
      <c r="C2" t="s">
        <v>492</v>
      </c>
      <c r="D2" s="78" t="s">
        <v>732</v>
      </c>
      <c r="E2" s="78" t="s">
        <v>733</v>
      </c>
      <c r="F2" s="78" t="s">
        <v>734</v>
      </c>
      <c r="H2" s="78" t="s">
        <v>717</v>
      </c>
      <c r="I2" s="74" t="s">
        <v>735</v>
      </c>
      <c r="K2" s="74" t="s">
        <v>491</v>
      </c>
      <c r="L2" s="199">
        <v>45267</v>
      </c>
      <c r="M2" s="199">
        <v>46363</v>
      </c>
      <c r="O2" s="78" t="s">
        <v>719</v>
      </c>
      <c r="P2" s="79">
        <v>0</v>
      </c>
      <c r="Q2" s="79">
        <v>1000000000</v>
      </c>
      <c r="R2" s="85">
        <v>250000</v>
      </c>
      <c r="T2" s="143">
        <v>103.95</v>
      </c>
      <c r="U2" s="80">
        <v>9.5799999999999996E-2</v>
      </c>
      <c r="V2" s="78" t="s">
        <v>720</v>
      </c>
      <c r="W2" s="74">
        <v>46481</v>
      </c>
      <c r="X2" s="202"/>
      <c r="Y2" s="129"/>
      <c r="Z2" s="84">
        <v>8.3333333333333339E-4</v>
      </c>
      <c r="AA2" s="130">
        <v>5.4973855344643684E-2</v>
      </c>
      <c r="AB2" s="78">
        <v>0</v>
      </c>
      <c r="AC2" s="130">
        <v>3.4925629999999999E-2</v>
      </c>
      <c r="AD2" s="78">
        <v>0</v>
      </c>
      <c r="AE2" s="78">
        <v>0</v>
      </c>
      <c r="AF2" s="78">
        <v>0</v>
      </c>
      <c r="AG2" s="78">
        <v>0</v>
      </c>
      <c r="AH2" s="78">
        <v>0</v>
      </c>
      <c r="AI2" s="74">
        <v>45749</v>
      </c>
      <c r="AJ2" s="74">
        <v>45749</v>
      </c>
      <c r="AK2" s="74">
        <v>45749</v>
      </c>
      <c r="AL2" s="74">
        <v>45749</v>
      </c>
      <c r="AM2" s="74">
        <v>45749</v>
      </c>
      <c r="AN2" s="74" t="s">
        <v>721</v>
      </c>
      <c r="AO2" s="74" t="s">
        <v>722</v>
      </c>
      <c r="AP2" s="78">
        <v>0</v>
      </c>
      <c r="AQ2" s="78">
        <v>0</v>
      </c>
      <c r="AR2" s="78">
        <v>0</v>
      </c>
      <c r="AS2" s="78">
        <v>1</v>
      </c>
      <c r="AV2" s="144"/>
    </row>
    <row r="3" spans="1:48" s="128" customFormat="1" x14ac:dyDescent="0.3">
      <c r="A3" t="s">
        <v>1154</v>
      </c>
      <c r="B3" t="s">
        <v>1155</v>
      </c>
      <c r="C3" t="s">
        <v>218</v>
      </c>
      <c r="D3" s="78" t="s">
        <v>728</v>
      </c>
      <c r="E3" s="78" t="s">
        <v>729</v>
      </c>
      <c r="F3" s="78" t="s">
        <v>716</v>
      </c>
      <c r="H3" s="78" t="s">
        <v>717</v>
      </c>
      <c r="I3" s="74" t="s">
        <v>751</v>
      </c>
      <c r="K3" s="74" t="s">
        <v>217</v>
      </c>
      <c r="L3" s="199">
        <v>45071</v>
      </c>
      <c r="M3" s="199">
        <v>46178</v>
      </c>
      <c r="O3" s="78" t="s">
        <v>719</v>
      </c>
      <c r="P3" s="79">
        <v>0</v>
      </c>
      <c r="Q3" s="79">
        <v>150000000</v>
      </c>
      <c r="R3" s="85">
        <v>250000</v>
      </c>
      <c r="T3" s="143">
        <v>101.95</v>
      </c>
      <c r="U3" s="80">
        <v>9.3081216812133785E-2</v>
      </c>
      <c r="V3" s="78" t="s">
        <v>720</v>
      </c>
      <c r="W3" s="74">
        <v>46515</v>
      </c>
      <c r="X3" s="202"/>
      <c r="Y3" s="129"/>
      <c r="Z3" s="84">
        <v>1.6666666666666668E-3</v>
      </c>
      <c r="AA3" s="130">
        <v>5.2918735843584239E-2</v>
      </c>
      <c r="AB3" s="78">
        <v>0</v>
      </c>
      <c r="AC3" s="130">
        <v>6.6261989999999993E-2</v>
      </c>
      <c r="AD3" s="78">
        <v>0</v>
      </c>
      <c r="AE3" s="78">
        <v>0</v>
      </c>
      <c r="AF3" s="78">
        <v>0</v>
      </c>
      <c r="AG3" s="78">
        <v>0</v>
      </c>
      <c r="AH3" s="78">
        <v>0</v>
      </c>
      <c r="AI3" s="74">
        <v>45749</v>
      </c>
      <c r="AJ3" s="74">
        <v>45749</v>
      </c>
      <c r="AK3" s="74">
        <v>45749</v>
      </c>
      <c r="AL3" s="74">
        <v>45749</v>
      </c>
      <c r="AM3" s="74">
        <v>45749</v>
      </c>
      <c r="AN3" s="74" t="s">
        <v>721</v>
      </c>
      <c r="AO3" s="74" t="s">
        <v>727</v>
      </c>
      <c r="AP3" s="78">
        <v>0</v>
      </c>
      <c r="AQ3" s="78">
        <v>0</v>
      </c>
      <c r="AR3" s="78">
        <v>0</v>
      </c>
      <c r="AS3" s="78">
        <v>1</v>
      </c>
      <c r="AV3" s="144"/>
    </row>
    <row r="4" spans="1:48" s="128" customFormat="1" x14ac:dyDescent="0.3">
      <c r="A4" t="s">
        <v>1156</v>
      </c>
      <c r="B4" t="s">
        <v>1157</v>
      </c>
      <c r="C4" t="s">
        <v>376</v>
      </c>
      <c r="D4" s="78" t="s">
        <v>715</v>
      </c>
      <c r="E4" s="78" t="s">
        <v>729</v>
      </c>
      <c r="F4" s="78" t="s">
        <v>1168</v>
      </c>
      <c r="H4" s="78" t="s">
        <v>717</v>
      </c>
      <c r="I4" s="74" t="s">
        <v>757</v>
      </c>
      <c r="K4" s="74" t="s">
        <v>375</v>
      </c>
      <c r="L4" s="199">
        <v>45593</v>
      </c>
      <c r="M4" s="199">
        <v>46377</v>
      </c>
      <c r="O4" s="78" t="s">
        <v>719</v>
      </c>
      <c r="P4" s="79">
        <v>0</v>
      </c>
      <c r="Q4" s="79">
        <v>95000000</v>
      </c>
      <c r="R4" s="85">
        <v>250000</v>
      </c>
      <c r="T4" s="143">
        <v>101.85</v>
      </c>
      <c r="U4" s="80">
        <v>0.10002121925354004</v>
      </c>
      <c r="V4" s="78" t="s">
        <v>720</v>
      </c>
      <c r="W4" s="74">
        <v>46527</v>
      </c>
      <c r="X4" s="202"/>
      <c r="Y4" s="129"/>
      <c r="Z4" s="84">
        <v>2.631578947368421E-3</v>
      </c>
      <c r="AA4" s="130">
        <v>5.987584733518761E-2</v>
      </c>
      <c r="AB4" s="78">
        <v>0</v>
      </c>
      <c r="AC4" s="130">
        <v>9.1009530000000005E-2</v>
      </c>
      <c r="AD4" s="78">
        <v>0</v>
      </c>
      <c r="AE4" s="78">
        <v>0</v>
      </c>
      <c r="AF4" s="78">
        <v>0</v>
      </c>
      <c r="AG4" s="78">
        <v>0</v>
      </c>
      <c r="AH4" s="78">
        <v>0</v>
      </c>
      <c r="AI4" s="74">
        <v>45749</v>
      </c>
      <c r="AJ4" s="74">
        <v>45749</v>
      </c>
      <c r="AK4" s="74">
        <v>45749</v>
      </c>
      <c r="AL4" s="74">
        <v>45749</v>
      </c>
      <c r="AM4" s="74">
        <v>45749</v>
      </c>
      <c r="AN4" s="74" t="s">
        <v>721</v>
      </c>
      <c r="AO4" s="74" t="s">
        <v>727</v>
      </c>
      <c r="AP4" s="78">
        <v>0</v>
      </c>
      <c r="AQ4" s="78">
        <v>0</v>
      </c>
      <c r="AR4" s="78">
        <v>0</v>
      </c>
      <c r="AS4" s="78">
        <v>1</v>
      </c>
      <c r="AV4" s="144"/>
    </row>
    <row r="5" spans="1:48" s="128" customFormat="1" x14ac:dyDescent="0.3">
      <c r="A5" t="s">
        <v>1158</v>
      </c>
      <c r="B5" t="s">
        <v>1159</v>
      </c>
      <c r="C5" t="s">
        <v>256</v>
      </c>
      <c r="D5" s="78" t="s">
        <v>728</v>
      </c>
      <c r="E5" s="78" t="s">
        <v>724</v>
      </c>
      <c r="F5" s="78" t="s">
        <v>716</v>
      </c>
      <c r="H5" s="78" t="s">
        <v>717</v>
      </c>
      <c r="I5" s="74" t="s">
        <v>736</v>
      </c>
      <c r="K5" s="74" t="s">
        <v>255</v>
      </c>
      <c r="L5" s="199">
        <v>44986</v>
      </c>
      <c r="M5" s="199">
        <v>46081</v>
      </c>
      <c r="O5" s="78" t="s">
        <v>719</v>
      </c>
      <c r="P5" s="79">
        <v>0</v>
      </c>
      <c r="Q5" s="79">
        <v>100000000</v>
      </c>
      <c r="R5" s="85">
        <v>250000</v>
      </c>
      <c r="T5" s="143">
        <v>102.87</v>
      </c>
      <c r="U5" s="80">
        <v>0.1648</v>
      </c>
      <c r="V5" s="78" t="s">
        <v>720</v>
      </c>
      <c r="W5" s="74">
        <v>46223</v>
      </c>
      <c r="X5" s="202"/>
      <c r="Y5" s="129"/>
      <c r="Z5" s="84">
        <v>3.3333333333333335E-3</v>
      </c>
      <c r="AA5" s="130">
        <v>4.8599999999999997E-2</v>
      </c>
      <c r="AB5" s="78">
        <v>0</v>
      </c>
      <c r="AC5" s="130">
        <v>0.1148</v>
      </c>
      <c r="AD5" s="78">
        <v>0</v>
      </c>
      <c r="AE5" s="78">
        <v>0</v>
      </c>
      <c r="AF5" s="78">
        <v>0</v>
      </c>
      <c r="AG5" s="78">
        <v>0</v>
      </c>
      <c r="AH5" s="78">
        <v>0</v>
      </c>
      <c r="AI5" s="74">
        <v>45749</v>
      </c>
      <c r="AJ5" s="74">
        <v>45749</v>
      </c>
      <c r="AK5" s="74">
        <v>45749</v>
      </c>
      <c r="AL5" s="74">
        <v>45749</v>
      </c>
      <c r="AM5" s="74">
        <v>45749</v>
      </c>
      <c r="AN5" s="74" t="s">
        <v>721</v>
      </c>
      <c r="AO5" s="74" t="s">
        <v>727</v>
      </c>
      <c r="AP5" s="78">
        <v>0</v>
      </c>
      <c r="AQ5" s="78">
        <v>0</v>
      </c>
      <c r="AR5" s="78">
        <v>0</v>
      </c>
      <c r="AS5" s="78">
        <v>1</v>
      </c>
      <c r="AV5" s="144"/>
    </row>
    <row r="6" spans="1:48" s="128" customFormat="1" x14ac:dyDescent="0.3">
      <c r="A6" t="s">
        <v>1160</v>
      </c>
      <c r="B6" t="s">
        <v>1161</v>
      </c>
      <c r="C6" t="s">
        <v>484</v>
      </c>
      <c r="D6" s="78" t="s">
        <v>1219</v>
      </c>
      <c r="E6" s="78" t="s">
        <v>733</v>
      </c>
      <c r="F6" s="78" t="s">
        <v>734</v>
      </c>
      <c r="H6" s="78" t="s">
        <v>717</v>
      </c>
      <c r="I6" s="74" t="s">
        <v>735</v>
      </c>
      <c r="K6" s="74" t="s">
        <v>483</v>
      </c>
      <c r="L6" s="199">
        <v>44908</v>
      </c>
      <c r="M6" s="199">
        <v>45991</v>
      </c>
      <c r="O6" s="78" t="s">
        <v>719</v>
      </c>
      <c r="P6" s="79">
        <v>0</v>
      </c>
      <c r="Q6" s="79">
        <v>1000000000</v>
      </c>
      <c r="R6" s="85">
        <v>250000</v>
      </c>
      <c r="T6" s="143">
        <v>100.55</v>
      </c>
      <c r="U6" s="80">
        <v>0.1086</v>
      </c>
      <c r="V6" s="78" t="s">
        <v>720</v>
      </c>
      <c r="W6" s="74">
        <v>46223</v>
      </c>
      <c r="X6" s="202"/>
      <c r="Y6" s="129"/>
      <c r="Z6" s="84">
        <v>1.3513513513513514E-3</v>
      </c>
      <c r="AA6" s="130">
        <v>1.8599999999999998E-2</v>
      </c>
      <c r="AB6" s="78">
        <v>0</v>
      </c>
      <c r="AC6" s="130">
        <v>5.8599999999999999E-2</v>
      </c>
      <c r="AD6" s="78">
        <v>0</v>
      </c>
      <c r="AE6" s="78">
        <v>0</v>
      </c>
      <c r="AF6" s="78">
        <v>0</v>
      </c>
      <c r="AG6" s="78">
        <v>0</v>
      </c>
      <c r="AH6" s="78">
        <v>0</v>
      </c>
      <c r="AI6" s="74">
        <v>45749</v>
      </c>
      <c r="AJ6" s="74">
        <v>45749</v>
      </c>
      <c r="AK6" s="74">
        <v>45749</v>
      </c>
      <c r="AL6" s="74">
        <v>45749</v>
      </c>
      <c r="AM6" s="74">
        <v>45749</v>
      </c>
      <c r="AN6" s="74" t="s">
        <v>721</v>
      </c>
      <c r="AO6" s="74" t="s">
        <v>1198</v>
      </c>
      <c r="AP6" s="78">
        <v>0</v>
      </c>
      <c r="AQ6" s="78">
        <v>0</v>
      </c>
      <c r="AR6" s="78">
        <v>0</v>
      </c>
      <c r="AS6" s="78">
        <v>1</v>
      </c>
      <c r="AV6" s="144"/>
    </row>
    <row r="7" spans="1:48" s="128" customFormat="1" x14ac:dyDescent="0.3">
      <c r="A7" t="s">
        <v>1162</v>
      </c>
      <c r="B7" t="s">
        <v>1163</v>
      </c>
      <c r="C7" t="s">
        <v>486</v>
      </c>
      <c r="D7" s="78" t="s">
        <v>1219</v>
      </c>
      <c r="E7" s="78" t="s">
        <v>765</v>
      </c>
      <c r="F7" s="78" t="s">
        <v>734</v>
      </c>
      <c r="H7" s="78" t="s">
        <v>717</v>
      </c>
      <c r="I7" s="74" t="s">
        <v>735</v>
      </c>
      <c r="K7" s="74" t="s">
        <v>485</v>
      </c>
      <c r="L7" s="199">
        <v>44908</v>
      </c>
      <c r="M7" s="199">
        <v>45991</v>
      </c>
      <c r="O7" s="78" t="s">
        <v>719</v>
      </c>
      <c r="P7" s="79">
        <v>0</v>
      </c>
      <c r="Q7" s="79">
        <v>500000000</v>
      </c>
      <c r="R7" s="85">
        <v>250000</v>
      </c>
      <c r="T7" s="143">
        <v>100.9</v>
      </c>
      <c r="U7" s="80">
        <v>0.1411</v>
      </c>
      <c r="V7" s="78" t="s">
        <v>720</v>
      </c>
      <c r="W7" s="74">
        <v>46223</v>
      </c>
      <c r="X7" s="202"/>
      <c r="Y7" s="129"/>
      <c r="Z7" s="84">
        <v>2.0833333333333333E-3</v>
      </c>
      <c r="AA7" s="130">
        <v>1.8800000000000001E-2</v>
      </c>
      <c r="AB7" s="78">
        <v>0</v>
      </c>
      <c r="AC7" s="130">
        <v>9.11E-2</v>
      </c>
      <c r="AD7" s="78">
        <v>0</v>
      </c>
      <c r="AE7" s="78">
        <v>0</v>
      </c>
      <c r="AF7" s="78">
        <v>0</v>
      </c>
      <c r="AG7" s="78">
        <v>0</v>
      </c>
      <c r="AH7" s="78">
        <v>0</v>
      </c>
      <c r="AI7" s="74">
        <v>45749</v>
      </c>
      <c r="AJ7" s="74">
        <v>45749</v>
      </c>
      <c r="AK7" s="74">
        <v>45749</v>
      </c>
      <c r="AL7" s="74">
        <v>45749</v>
      </c>
      <c r="AM7" s="74">
        <v>45749</v>
      </c>
      <c r="AN7" s="74" t="s">
        <v>721</v>
      </c>
      <c r="AO7" s="74" t="s">
        <v>1198</v>
      </c>
      <c r="AP7" s="78">
        <v>0</v>
      </c>
      <c r="AQ7" s="78">
        <v>0</v>
      </c>
      <c r="AR7" s="78">
        <v>0</v>
      </c>
      <c r="AS7" s="78">
        <v>1</v>
      </c>
      <c r="AV7" s="144"/>
    </row>
    <row r="8" spans="1:48" x14ac:dyDescent="0.3">
      <c r="A8" t="s">
        <v>1164</v>
      </c>
      <c r="B8" t="s">
        <v>1165</v>
      </c>
      <c r="C8" t="s">
        <v>488</v>
      </c>
      <c r="D8" t="s">
        <v>723</v>
      </c>
      <c r="E8" t="s">
        <v>1220</v>
      </c>
      <c r="F8" s="78" t="s">
        <v>1168</v>
      </c>
      <c r="H8" s="78" t="s">
        <v>717</v>
      </c>
      <c r="I8" s="74" t="s">
        <v>735</v>
      </c>
      <c r="K8" s="74" t="s">
        <v>487</v>
      </c>
      <c r="L8" s="199">
        <v>45818</v>
      </c>
      <c r="M8" s="200">
        <v>46904</v>
      </c>
      <c r="O8" s="78" t="s">
        <v>719</v>
      </c>
      <c r="P8" s="79">
        <v>0</v>
      </c>
      <c r="Q8" s="79">
        <v>400000000</v>
      </c>
      <c r="R8" s="85">
        <v>250000</v>
      </c>
      <c r="T8" s="143">
        <v>102.03</v>
      </c>
      <c r="U8" s="80">
        <v>0.1285</v>
      </c>
      <c r="V8" s="78" t="s">
        <v>720</v>
      </c>
      <c r="W8" s="74">
        <v>46223</v>
      </c>
      <c r="X8" s="203"/>
      <c r="Z8" s="84">
        <v>6.2500000000000001E-4</v>
      </c>
      <c r="AA8" s="130">
        <v>8.0699999999999994E-2</v>
      </c>
      <c r="AB8" s="78">
        <v>0</v>
      </c>
      <c r="AC8" s="130">
        <v>7.85E-2</v>
      </c>
      <c r="AD8" s="78">
        <v>0</v>
      </c>
      <c r="AE8" s="78">
        <v>0</v>
      </c>
      <c r="AF8" s="78">
        <v>0</v>
      </c>
      <c r="AG8" s="78">
        <v>0</v>
      </c>
      <c r="AH8" s="78">
        <v>0</v>
      </c>
      <c r="AI8" s="74">
        <v>45749</v>
      </c>
      <c r="AJ8" s="74">
        <v>45749</v>
      </c>
      <c r="AK8" s="74">
        <v>45749</v>
      </c>
      <c r="AL8" s="74">
        <v>45749</v>
      </c>
      <c r="AM8" s="74">
        <v>45749</v>
      </c>
      <c r="AN8" s="74" t="s">
        <v>721</v>
      </c>
      <c r="AO8" s="74" t="s">
        <v>1198</v>
      </c>
      <c r="AP8" s="78">
        <v>0</v>
      </c>
      <c r="AQ8" s="78">
        <v>0</v>
      </c>
      <c r="AR8" s="78">
        <v>0</v>
      </c>
      <c r="AS8" s="78">
        <v>1</v>
      </c>
    </row>
    <row r="9" spans="1:48" x14ac:dyDescent="0.3">
      <c r="A9" t="s">
        <v>1166</v>
      </c>
      <c r="B9" t="s">
        <v>1167</v>
      </c>
      <c r="C9" t="s">
        <v>490</v>
      </c>
      <c r="D9" t="s">
        <v>762</v>
      </c>
      <c r="E9" t="s">
        <v>1221</v>
      </c>
      <c r="F9" s="78" t="s">
        <v>734</v>
      </c>
      <c r="H9" s="78" t="s">
        <v>717</v>
      </c>
      <c r="I9" s="74" t="s">
        <v>735</v>
      </c>
      <c r="K9" s="74" t="s">
        <v>489</v>
      </c>
      <c r="L9" s="199">
        <v>45216</v>
      </c>
      <c r="M9" s="199">
        <v>46356</v>
      </c>
      <c r="O9" s="78" t="s">
        <v>719</v>
      </c>
      <c r="P9" s="79">
        <v>0</v>
      </c>
      <c r="Q9" s="79">
        <v>500000000</v>
      </c>
      <c r="R9" s="85">
        <v>250000</v>
      </c>
      <c r="T9" s="143">
        <v>104.68</v>
      </c>
      <c r="U9" s="80">
        <v>0.13109999999999999</v>
      </c>
      <c r="V9" s="78" t="s">
        <v>720</v>
      </c>
      <c r="W9" s="74">
        <v>46223</v>
      </c>
      <c r="X9" s="203"/>
      <c r="Z9" s="84">
        <v>1.0869565217391304E-3</v>
      </c>
      <c r="AA9" s="130">
        <v>4.7800000000000002E-2</v>
      </c>
      <c r="AB9" s="78">
        <v>0</v>
      </c>
      <c r="AC9" s="130">
        <v>8.1099999999999992E-2</v>
      </c>
      <c r="AD9" s="78">
        <v>0</v>
      </c>
      <c r="AE9" s="78">
        <v>0</v>
      </c>
      <c r="AF9" s="78">
        <v>0</v>
      </c>
      <c r="AG9" s="78">
        <v>0</v>
      </c>
      <c r="AH9" s="78">
        <v>0</v>
      </c>
      <c r="AI9" s="74">
        <v>45749</v>
      </c>
      <c r="AJ9" s="74">
        <v>45749</v>
      </c>
      <c r="AK9" s="74">
        <v>45749</v>
      </c>
      <c r="AL9" s="74">
        <v>45749</v>
      </c>
      <c r="AM9" s="74">
        <v>45749</v>
      </c>
      <c r="AN9" s="74" t="s">
        <v>721</v>
      </c>
      <c r="AO9" s="74" t="s">
        <v>1198</v>
      </c>
      <c r="AP9" s="78">
        <v>0</v>
      </c>
      <c r="AQ9" s="78">
        <v>0</v>
      </c>
      <c r="AR9" s="78">
        <v>0</v>
      </c>
      <c r="AS9" s="78">
        <v>1</v>
      </c>
    </row>
    <row r="10" spans="1:48" x14ac:dyDescent="0.3">
      <c r="A10" t="s">
        <v>974</v>
      </c>
      <c r="B10" t="s">
        <v>975</v>
      </c>
      <c r="C10" t="s">
        <v>494</v>
      </c>
      <c r="D10" t="s">
        <v>732</v>
      </c>
      <c r="E10" t="s">
        <v>1222</v>
      </c>
      <c r="F10" s="78" t="s">
        <v>734</v>
      </c>
      <c r="H10" s="78" t="s">
        <v>717</v>
      </c>
      <c r="I10" s="74" t="s">
        <v>735</v>
      </c>
      <c r="K10" s="74" t="s">
        <v>493</v>
      </c>
      <c r="L10" s="74">
        <v>45265</v>
      </c>
      <c r="M10" s="74">
        <v>46356</v>
      </c>
      <c r="O10" s="78" t="s">
        <v>719</v>
      </c>
      <c r="P10" s="79">
        <v>0</v>
      </c>
      <c r="Q10" s="79">
        <v>500000000</v>
      </c>
      <c r="R10" s="85">
        <v>250000</v>
      </c>
      <c r="T10" s="143">
        <v>104.34</v>
      </c>
      <c r="U10" s="80">
        <v>0.12590000000000001</v>
      </c>
      <c r="V10" s="78" t="s">
        <v>720</v>
      </c>
      <c r="W10" s="74">
        <v>46223</v>
      </c>
      <c r="X10" s="203"/>
      <c r="Z10" s="84">
        <v>7.1428571428571429E-4</v>
      </c>
      <c r="AA10" s="130">
        <v>3.0599999999999999E-2</v>
      </c>
      <c r="AB10" s="78">
        <v>0</v>
      </c>
      <c r="AC10" s="130">
        <v>7.5900000000000009E-2</v>
      </c>
      <c r="AD10" s="78">
        <v>0</v>
      </c>
      <c r="AE10" s="78">
        <v>0</v>
      </c>
      <c r="AF10" s="78">
        <v>0</v>
      </c>
      <c r="AG10" s="78">
        <v>0</v>
      </c>
      <c r="AH10" s="78">
        <v>0</v>
      </c>
      <c r="AI10" s="74">
        <v>45749</v>
      </c>
      <c r="AJ10" s="74">
        <v>45749</v>
      </c>
      <c r="AK10" s="74">
        <v>45749</v>
      </c>
      <c r="AL10" s="74">
        <v>45749</v>
      </c>
      <c r="AM10" s="74">
        <v>45749</v>
      </c>
      <c r="AN10" s="74" t="s">
        <v>721</v>
      </c>
      <c r="AO10" s="74" t="s">
        <v>1198</v>
      </c>
      <c r="AP10" s="78">
        <v>0</v>
      </c>
      <c r="AQ10" s="78">
        <v>0</v>
      </c>
      <c r="AR10" s="78">
        <v>0</v>
      </c>
      <c r="AS10" s="78">
        <v>1</v>
      </c>
    </row>
    <row r="11" spans="1:48" x14ac:dyDescent="0.3">
      <c r="A11" t="s">
        <v>976</v>
      </c>
      <c r="B11" t="s">
        <v>977</v>
      </c>
      <c r="C11" t="s">
        <v>496</v>
      </c>
      <c r="D11" t="s">
        <v>728</v>
      </c>
      <c r="E11" t="s">
        <v>733</v>
      </c>
      <c r="F11" s="78" t="s">
        <v>734</v>
      </c>
      <c r="H11" s="78" t="s">
        <v>717</v>
      </c>
      <c r="I11" s="74" t="s">
        <v>735</v>
      </c>
      <c r="K11" s="74" t="s">
        <v>495</v>
      </c>
      <c r="L11" s="199">
        <v>45036</v>
      </c>
      <c r="M11" s="199">
        <v>45991</v>
      </c>
      <c r="O11" s="78" t="s">
        <v>719</v>
      </c>
      <c r="P11" s="79">
        <v>0</v>
      </c>
      <c r="Q11" s="79">
        <v>1000000000</v>
      </c>
      <c r="R11" s="85">
        <v>250000</v>
      </c>
      <c r="T11" s="143">
        <v>100.4</v>
      </c>
      <c r="U11" s="80">
        <v>9.3669559999999999E-2</v>
      </c>
      <c r="V11" s="78" t="s">
        <v>720</v>
      </c>
      <c r="W11" s="74">
        <v>46223</v>
      </c>
      <c r="X11" s="203"/>
      <c r="Z11" s="84">
        <v>2E-3</v>
      </c>
      <c r="AA11" s="130">
        <v>1.7500000000000002E-2</v>
      </c>
      <c r="AB11" s="78">
        <v>0</v>
      </c>
      <c r="AC11" s="130">
        <v>4.3669559999999996E-2</v>
      </c>
      <c r="AD11" s="78">
        <v>0</v>
      </c>
      <c r="AE11" s="78">
        <v>0</v>
      </c>
      <c r="AF11" s="78">
        <v>0</v>
      </c>
      <c r="AG11" s="78">
        <v>0</v>
      </c>
      <c r="AH11" s="78">
        <v>0</v>
      </c>
      <c r="AI11" s="74">
        <v>45749</v>
      </c>
      <c r="AJ11" s="74">
        <v>45749</v>
      </c>
      <c r="AK11" s="74">
        <v>45749</v>
      </c>
      <c r="AL11" s="74">
        <v>45749</v>
      </c>
      <c r="AM11" s="74">
        <v>45749</v>
      </c>
      <c r="AN11" s="74" t="s">
        <v>721</v>
      </c>
      <c r="AO11" s="74" t="s">
        <v>1198</v>
      </c>
      <c r="AP11" s="78">
        <v>0</v>
      </c>
      <c r="AQ11" s="78">
        <v>0</v>
      </c>
      <c r="AR11" s="78">
        <v>0</v>
      </c>
      <c r="AS11" s="78">
        <v>1</v>
      </c>
    </row>
    <row r="12" spans="1:48" x14ac:dyDescent="0.3">
      <c r="A12" t="s">
        <v>1170</v>
      </c>
      <c r="B12" t="s">
        <v>1171</v>
      </c>
      <c r="C12" t="s">
        <v>498</v>
      </c>
      <c r="D12" t="s">
        <v>728</v>
      </c>
      <c r="E12" t="s">
        <v>765</v>
      </c>
      <c r="F12" s="78" t="s">
        <v>734</v>
      </c>
      <c r="H12" s="78" t="s">
        <v>717</v>
      </c>
      <c r="I12" t="s">
        <v>735</v>
      </c>
      <c r="K12" t="s">
        <v>497</v>
      </c>
      <c r="L12" s="199">
        <v>45036</v>
      </c>
      <c r="M12" s="199">
        <v>45991</v>
      </c>
      <c r="O12" t="s">
        <v>719</v>
      </c>
      <c r="P12" s="79">
        <v>0</v>
      </c>
      <c r="Q12" s="79">
        <v>500000000</v>
      </c>
      <c r="R12" s="145">
        <v>250000</v>
      </c>
      <c r="T12">
        <v>100.65</v>
      </c>
      <c r="U12" s="81">
        <v>0.12116956</v>
      </c>
      <c r="V12" t="s">
        <v>720</v>
      </c>
      <c r="W12" s="17">
        <v>46223</v>
      </c>
      <c r="X12" s="17"/>
      <c r="Z12" s="83">
        <v>3.3333333333333335E-3</v>
      </c>
      <c r="AA12">
        <v>2.18E-2</v>
      </c>
      <c r="AB12">
        <v>0</v>
      </c>
      <c r="AC12" s="86">
        <v>7.1169559999999993E-2</v>
      </c>
      <c r="AD12" s="78">
        <v>0</v>
      </c>
      <c r="AE12" s="78">
        <v>0</v>
      </c>
      <c r="AF12" s="78">
        <v>0</v>
      </c>
      <c r="AG12" s="78">
        <v>0</v>
      </c>
      <c r="AH12" s="78">
        <v>0</v>
      </c>
      <c r="AI12" s="203">
        <v>45749</v>
      </c>
      <c r="AJ12" s="204">
        <v>45749</v>
      </c>
      <c r="AK12" s="204">
        <v>45749</v>
      </c>
      <c r="AL12" s="204">
        <v>45749</v>
      </c>
      <c r="AM12" s="204">
        <v>45749</v>
      </c>
      <c r="AN12" t="s">
        <v>721</v>
      </c>
      <c r="AO12" t="s">
        <v>1198</v>
      </c>
      <c r="AP12" s="78">
        <v>0</v>
      </c>
      <c r="AQ12" s="78">
        <v>0</v>
      </c>
      <c r="AR12" s="78">
        <v>0</v>
      </c>
      <c r="AS12" s="78">
        <v>1</v>
      </c>
    </row>
    <row r="13" spans="1:48" x14ac:dyDescent="0.3">
      <c r="A13" t="s">
        <v>1172</v>
      </c>
      <c r="B13" t="s">
        <v>1173</v>
      </c>
      <c r="C13" t="s">
        <v>500</v>
      </c>
      <c r="D13" t="s">
        <v>723</v>
      </c>
      <c r="E13" t="s">
        <v>1223</v>
      </c>
      <c r="F13" s="78" t="s">
        <v>1168</v>
      </c>
      <c r="H13" s="78" t="s">
        <v>717</v>
      </c>
      <c r="I13" t="s">
        <v>735</v>
      </c>
      <c r="K13" t="s">
        <v>499</v>
      </c>
      <c r="L13" s="199">
        <v>45703</v>
      </c>
      <c r="M13" s="199">
        <v>46797</v>
      </c>
      <c r="O13" t="s">
        <v>719</v>
      </c>
      <c r="P13" s="79">
        <v>0</v>
      </c>
      <c r="Q13" s="79">
        <v>500000000</v>
      </c>
      <c r="R13">
        <v>250000</v>
      </c>
      <c r="T13">
        <v>101.69</v>
      </c>
      <c r="U13" s="81">
        <v>0.11366956</v>
      </c>
      <c r="V13" t="s">
        <v>720</v>
      </c>
      <c r="W13" s="17">
        <v>46223</v>
      </c>
      <c r="X13" s="17"/>
      <c r="Z13" s="83">
        <v>6.2500000000000001E-4</v>
      </c>
      <c r="AA13">
        <v>6.6600000000000006E-2</v>
      </c>
      <c r="AB13">
        <v>0</v>
      </c>
      <c r="AC13" s="86">
        <v>6.366956E-2</v>
      </c>
      <c r="AD13" s="78">
        <v>0</v>
      </c>
      <c r="AE13" s="78">
        <v>0</v>
      </c>
      <c r="AF13" s="78">
        <v>0</v>
      </c>
      <c r="AG13" s="78">
        <v>0</v>
      </c>
      <c r="AH13" s="78">
        <v>0</v>
      </c>
      <c r="AI13" s="203">
        <v>45749</v>
      </c>
      <c r="AJ13" s="204">
        <v>45749</v>
      </c>
      <c r="AK13" s="204">
        <v>45749</v>
      </c>
      <c r="AL13" s="204">
        <v>45749</v>
      </c>
      <c r="AM13" s="204">
        <v>45749</v>
      </c>
      <c r="AN13" t="s">
        <v>721</v>
      </c>
      <c r="AO13" t="s">
        <v>1198</v>
      </c>
      <c r="AP13" s="78">
        <v>0</v>
      </c>
      <c r="AQ13" s="78">
        <v>0</v>
      </c>
      <c r="AR13" s="78">
        <v>0</v>
      </c>
      <c r="AS13" s="78">
        <v>1</v>
      </c>
    </row>
    <row r="14" spans="1:48" x14ac:dyDescent="0.3">
      <c r="A14" t="s">
        <v>1174</v>
      </c>
      <c r="B14" t="s">
        <v>1175</v>
      </c>
      <c r="C14" t="s">
        <v>528</v>
      </c>
      <c r="D14" t="s">
        <v>728</v>
      </c>
      <c r="E14" t="s">
        <v>724</v>
      </c>
      <c r="F14" s="78" t="s">
        <v>716</v>
      </c>
      <c r="H14" s="78" t="s">
        <v>717</v>
      </c>
      <c r="I14" t="s">
        <v>1218</v>
      </c>
      <c r="K14" t="s">
        <v>527</v>
      </c>
      <c r="L14" s="199">
        <v>45135</v>
      </c>
      <c r="M14" s="199">
        <v>46230</v>
      </c>
      <c r="O14" t="s">
        <v>719</v>
      </c>
      <c r="P14" s="79">
        <v>0</v>
      </c>
      <c r="Q14" s="79">
        <v>150000000</v>
      </c>
      <c r="R14">
        <v>250000</v>
      </c>
      <c r="T14">
        <v>103.06</v>
      </c>
      <c r="U14" s="81">
        <v>0.10539999999999999</v>
      </c>
      <c r="V14" t="s">
        <v>720</v>
      </c>
      <c r="W14" s="17">
        <v>46223</v>
      </c>
      <c r="X14" s="17"/>
      <c r="Z14" s="83">
        <v>1.6666666666666668E-3</v>
      </c>
      <c r="AA14">
        <v>2.69E-2</v>
      </c>
      <c r="AB14">
        <v>0</v>
      </c>
      <c r="AC14" s="86">
        <v>5.5399999999999991E-2</v>
      </c>
      <c r="AD14" s="78">
        <v>0</v>
      </c>
      <c r="AE14" s="78">
        <v>0</v>
      </c>
      <c r="AF14" s="78">
        <v>0</v>
      </c>
      <c r="AG14" s="78">
        <v>0</v>
      </c>
      <c r="AH14" s="78">
        <v>0</v>
      </c>
      <c r="AI14" s="203">
        <v>45749</v>
      </c>
      <c r="AJ14" s="204">
        <v>45749</v>
      </c>
      <c r="AK14" s="204">
        <v>45749</v>
      </c>
      <c r="AL14" s="204">
        <v>45749</v>
      </c>
      <c r="AM14" s="204">
        <v>45749</v>
      </c>
      <c r="AN14" t="s">
        <v>721</v>
      </c>
      <c r="AO14" t="s">
        <v>1198</v>
      </c>
      <c r="AP14" s="78">
        <v>0</v>
      </c>
      <c r="AQ14" s="78">
        <v>0</v>
      </c>
      <c r="AR14" s="78">
        <v>0</v>
      </c>
      <c r="AS14" s="78">
        <v>1</v>
      </c>
    </row>
    <row r="15" spans="1:48" x14ac:dyDescent="0.3">
      <c r="A15" t="s">
        <v>1182</v>
      </c>
      <c r="B15" t="s">
        <v>1183</v>
      </c>
      <c r="C15" t="s">
        <v>593</v>
      </c>
      <c r="D15" t="s">
        <v>728</v>
      </c>
      <c r="E15" t="s">
        <v>724</v>
      </c>
      <c r="F15" s="78" t="s">
        <v>716</v>
      </c>
      <c r="H15" s="78" t="s">
        <v>717</v>
      </c>
      <c r="I15" t="s">
        <v>735</v>
      </c>
      <c r="K15" t="s">
        <v>592</v>
      </c>
      <c r="L15" s="199">
        <v>45091</v>
      </c>
      <c r="M15" s="199">
        <v>46186</v>
      </c>
      <c r="O15" t="s">
        <v>719</v>
      </c>
      <c r="P15" s="79">
        <v>0</v>
      </c>
      <c r="Q15" s="79">
        <v>500000000</v>
      </c>
      <c r="R15">
        <v>250000</v>
      </c>
      <c r="T15">
        <v>102.08</v>
      </c>
      <c r="U15" s="81">
        <v>0.10589999999999999</v>
      </c>
      <c r="V15" t="s">
        <v>720</v>
      </c>
      <c r="W15" s="17">
        <v>46223</v>
      </c>
      <c r="X15" s="17"/>
      <c r="Z15" s="83">
        <v>1.1111111111111111E-3</v>
      </c>
      <c r="AA15">
        <v>3.4200000000000001E-2</v>
      </c>
      <c r="AB15">
        <v>0</v>
      </c>
      <c r="AC15" s="86">
        <v>5.5899999999999991E-2</v>
      </c>
      <c r="AD15" s="78">
        <v>0</v>
      </c>
      <c r="AE15" s="78">
        <v>0</v>
      </c>
      <c r="AF15" s="78">
        <v>0</v>
      </c>
      <c r="AG15" s="78">
        <v>0</v>
      </c>
      <c r="AH15" s="78">
        <v>0</v>
      </c>
      <c r="AI15" s="203">
        <v>45749</v>
      </c>
      <c r="AJ15" s="204">
        <v>45749</v>
      </c>
      <c r="AK15" s="204">
        <v>45749</v>
      </c>
      <c r="AL15" s="204">
        <v>45749</v>
      </c>
      <c r="AM15" s="204">
        <v>45749</v>
      </c>
      <c r="AN15" t="s">
        <v>721</v>
      </c>
      <c r="AO15" t="s">
        <v>1198</v>
      </c>
      <c r="AP15" s="78">
        <v>0</v>
      </c>
      <c r="AQ15" s="78">
        <v>0</v>
      </c>
      <c r="AR15" s="78">
        <v>0</v>
      </c>
      <c r="AS15" s="78">
        <v>1</v>
      </c>
    </row>
    <row r="16" spans="1:48" x14ac:dyDescent="0.3">
      <c r="A16" t="s">
        <v>1184</v>
      </c>
      <c r="B16" t="s">
        <v>1185</v>
      </c>
      <c r="C16" t="s">
        <v>595</v>
      </c>
      <c r="D16" t="s">
        <v>728</v>
      </c>
      <c r="E16" t="s">
        <v>1221</v>
      </c>
      <c r="F16" s="78" t="s">
        <v>716</v>
      </c>
      <c r="H16" s="78" t="s">
        <v>717</v>
      </c>
      <c r="I16" t="s">
        <v>735</v>
      </c>
      <c r="K16" t="s">
        <v>594</v>
      </c>
      <c r="L16" s="199">
        <v>45091</v>
      </c>
      <c r="M16" s="199">
        <v>46186</v>
      </c>
      <c r="O16" t="s">
        <v>719</v>
      </c>
      <c r="P16" s="79">
        <v>0</v>
      </c>
      <c r="Q16" s="79">
        <v>500000000</v>
      </c>
      <c r="R16">
        <v>250000</v>
      </c>
      <c r="T16">
        <v>102.85</v>
      </c>
      <c r="U16" s="81">
        <v>0.13589999999999999</v>
      </c>
      <c r="V16" t="s">
        <v>720</v>
      </c>
      <c r="W16" s="17">
        <v>46223</v>
      </c>
      <c r="X16" s="17"/>
      <c r="Z16" s="83">
        <v>1.25E-3</v>
      </c>
      <c r="AA16">
        <v>5.1200000000000002E-2</v>
      </c>
      <c r="AB16">
        <v>0</v>
      </c>
      <c r="AC16" s="86">
        <v>8.589999999999999E-2</v>
      </c>
      <c r="AD16" s="78">
        <v>0</v>
      </c>
      <c r="AE16" s="78">
        <v>0</v>
      </c>
      <c r="AF16" s="78">
        <v>0</v>
      </c>
      <c r="AG16" s="78">
        <v>0</v>
      </c>
      <c r="AH16" s="78">
        <v>0</v>
      </c>
      <c r="AI16" s="203">
        <v>45749</v>
      </c>
      <c r="AJ16" s="204">
        <v>45749</v>
      </c>
      <c r="AK16" s="204">
        <v>45749</v>
      </c>
      <c r="AL16" s="204">
        <v>45749</v>
      </c>
      <c r="AM16" s="204">
        <v>45749</v>
      </c>
      <c r="AN16" t="s">
        <v>721</v>
      </c>
      <c r="AO16" t="s">
        <v>1198</v>
      </c>
      <c r="AP16" s="78">
        <v>0</v>
      </c>
      <c r="AQ16" s="78">
        <v>0</v>
      </c>
      <c r="AR16" s="78">
        <v>0</v>
      </c>
      <c r="AS16" s="78">
        <v>1</v>
      </c>
    </row>
    <row r="17" spans="24:39" x14ac:dyDescent="0.3">
      <c r="X17" s="17"/>
      <c r="AI17" s="203"/>
      <c r="AJ17" s="204"/>
      <c r="AK17" s="204"/>
      <c r="AL17" s="204"/>
      <c r="AM17" s="204"/>
    </row>
    <row r="18" spans="24:39" x14ac:dyDescent="0.3">
      <c r="X18" s="17"/>
      <c r="AI18" s="203"/>
      <c r="AJ18" s="204"/>
      <c r="AK18" s="204"/>
      <c r="AL18" s="204"/>
      <c r="AM18" s="204"/>
    </row>
    <row r="19" spans="24:39" x14ac:dyDescent="0.3">
      <c r="X19" s="17"/>
      <c r="AI19" s="203"/>
      <c r="AJ19" s="204"/>
      <c r="AK19" s="204"/>
      <c r="AL19" s="204"/>
      <c r="AM19" s="204"/>
    </row>
    <row r="20" spans="24:39" x14ac:dyDescent="0.3">
      <c r="X20" s="17"/>
      <c r="AI20" s="203"/>
      <c r="AJ20" s="204"/>
      <c r="AK20" s="204"/>
      <c r="AL20" s="204"/>
      <c r="AM20" s="204"/>
    </row>
    <row r="21" spans="24:39" x14ac:dyDescent="0.3">
      <c r="X21" s="17"/>
      <c r="AI21" s="203"/>
      <c r="AJ21" s="204"/>
      <c r="AK21" s="204"/>
      <c r="AL21" s="204"/>
      <c r="AM21" s="204"/>
    </row>
    <row r="22" spans="24:39" x14ac:dyDescent="0.3">
      <c r="X22" s="17"/>
      <c r="AI22" s="203"/>
      <c r="AJ22" s="204"/>
      <c r="AK22" s="204"/>
      <c r="AL22" s="204"/>
      <c r="AM22" s="204"/>
    </row>
    <row r="23" spans="24:39" x14ac:dyDescent="0.3">
      <c r="X23" s="17"/>
      <c r="AI23" s="203"/>
      <c r="AJ23" s="204"/>
      <c r="AK23" s="204"/>
      <c r="AL23" s="204"/>
      <c r="AM23" s="204"/>
    </row>
    <row r="24" spans="24:39" x14ac:dyDescent="0.3">
      <c r="X24" s="17"/>
      <c r="AI24" s="203"/>
      <c r="AJ24" s="204"/>
      <c r="AK24" s="204"/>
      <c r="AL24" s="204"/>
      <c r="AM24" s="204"/>
    </row>
    <row r="25" spans="24:39" x14ac:dyDescent="0.3">
      <c r="X25" s="17"/>
      <c r="AI25" s="203"/>
      <c r="AJ25" s="204"/>
      <c r="AK25" s="204"/>
      <c r="AL25" s="204"/>
      <c r="AM25" s="204"/>
    </row>
    <row r="26" spans="24:39" x14ac:dyDescent="0.3">
      <c r="X26" s="17"/>
      <c r="AI26" s="203"/>
      <c r="AJ26" s="204"/>
      <c r="AK26" s="204"/>
      <c r="AL26" s="204"/>
      <c r="AM26" s="204"/>
    </row>
    <row r="27" spans="24:39" x14ac:dyDescent="0.3">
      <c r="X27" s="17"/>
      <c r="AI27" s="203"/>
      <c r="AJ27" s="204"/>
      <c r="AK27" s="204"/>
      <c r="AL27" s="204"/>
      <c r="AM27" s="204"/>
    </row>
    <row r="28" spans="24:39" x14ac:dyDescent="0.3">
      <c r="X28" s="17"/>
      <c r="AI28" s="203"/>
      <c r="AJ28" s="204"/>
      <c r="AK28" s="204"/>
      <c r="AL28" s="204"/>
      <c r="AM28" s="204"/>
    </row>
    <row r="29" spans="24:39" x14ac:dyDescent="0.3">
      <c r="X29" s="17"/>
      <c r="AI29" s="203"/>
      <c r="AJ29" s="204"/>
      <c r="AK29" s="204"/>
      <c r="AL29" s="204"/>
      <c r="AM29" s="204"/>
    </row>
    <row r="30" spans="24:39" x14ac:dyDescent="0.3">
      <c r="X30" s="17"/>
      <c r="AI30" s="203"/>
      <c r="AJ30" s="204"/>
      <c r="AK30" s="204"/>
      <c r="AL30" s="204"/>
      <c r="AM30" s="204"/>
    </row>
    <row r="31" spans="24:39" x14ac:dyDescent="0.3">
      <c r="X31" s="17"/>
      <c r="AI31" s="203"/>
      <c r="AJ31" s="204"/>
      <c r="AK31" s="204"/>
      <c r="AL31" s="204"/>
      <c r="AM31" s="204"/>
    </row>
    <row r="32" spans="24:39" x14ac:dyDescent="0.3">
      <c r="X32" s="17"/>
      <c r="AI32" s="203"/>
      <c r="AJ32" s="204"/>
      <c r="AK32" s="204"/>
      <c r="AL32" s="204"/>
      <c r="AM32" s="204"/>
    </row>
    <row r="33" spans="24:39" x14ac:dyDescent="0.3">
      <c r="X33" s="17"/>
      <c r="AI33" s="203"/>
      <c r="AJ33" s="204"/>
      <c r="AK33" s="204"/>
      <c r="AL33" s="204"/>
      <c r="AM33" s="204"/>
    </row>
    <row r="34" spans="24:39" x14ac:dyDescent="0.3">
      <c r="X34" s="17"/>
      <c r="AI34" s="203"/>
      <c r="AJ34" s="204"/>
      <c r="AK34" s="204"/>
      <c r="AL34" s="204"/>
      <c r="AM34" s="204"/>
    </row>
    <row r="35" spans="24:39" x14ac:dyDescent="0.3">
      <c r="X35" s="17"/>
      <c r="AI35" s="203"/>
      <c r="AJ35" s="204"/>
      <c r="AK35" s="204"/>
      <c r="AL35" s="204"/>
      <c r="AM35" s="204"/>
    </row>
    <row r="36" spans="24:39" x14ac:dyDescent="0.3">
      <c r="X36" s="17"/>
      <c r="AI36" s="203"/>
      <c r="AJ36" s="204"/>
      <c r="AK36" s="204"/>
      <c r="AL36" s="204"/>
      <c r="AM36" s="204"/>
    </row>
    <row r="37" spans="24:39" x14ac:dyDescent="0.3">
      <c r="X37" s="17"/>
      <c r="AI37" s="203"/>
      <c r="AJ37" s="204"/>
      <c r="AK37" s="204"/>
      <c r="AL37" s="204"/>
      <c r="AM37" s="204"/>
    </row>
    <row r="38" spans="24:39" x14ac:dyDescent="0.3">
      <c r="X38" s="17"/>
      <c r="AI38" s="203"/>
      <c r="AJ38" s="204"/>
      <c r="AK38" s="204"/>
      <c r="AL38" s="204"/>
      <c r="AM38" s="204"/>
    </row>
    <row r="39" spans="24:39" x14ac:dyDescent="0.3">
      <c r="X39" s="17"/>
      <c r="AI39" s="203"/>
      <c r="AJ39" s="204"/>
      <c r="AK39" s="204"/>
      <c r="AL39" s="204"/>
      <c r="AM39" s="204"/>
    </row>
    <row r="40" spans="24:39" x14ac:dyDescent="0.3">
      <c r="X40" s="17"/>
      <c r="AI40" s="203"/>
      <c r="AJ40" s="204"/>
      <c r="AK40" s="204"/>
      <c r="AL40" s="204"/>
      <c r="AM40" s="204"/>
    </row>
    <row r="41" spans="24:39" x14ac:dyDescent="0.3">
      <c r="X41" s="17"/>
      <c r="AI41" s="203"/>
      <c r="AJ41" s="204"/>
      <c r="AK41" s="204"/>
      <c r="AL41" s="204"/>
      <c r="AM41" s="204"/>
    </row>
    <row r="42" spans="24:39" x14ac:dyDescent="0.3">
      <c r="X42" s="17"/>
      <c r="AI42" s="203"/>
      <c r="AJ42" s="204"/>
      <c r="AK42" s="204"/>
      <c r="AL42" s="204"/>
      <c r="AM42" s="204"/>
    </row>
    <row r="43" spans="24:39" x14ac:dyDescent="0.3">
      <c r="X43" s="17"/>
      <c r="AI43" s="203"/>
      <c r="AJ43" s="204"/>
      <c r="AK43" s="204"/>
      <c r="AL43" s="204"/>
      <c r="AM43" s="204"/>
    </row>
    <row r="44" spans="24:39" x14ac:dyDescent="0.3">
      <c r="X44" s="17"/>
      <c r="AI44" s="203"/>
      <c r="AJ44" s="204"/>
      <c r="AK44" s="204"/>
      <c r="AL44" s="204"/>
      <c r="AM44" s="204"/>
    </row>
    <row r="45" spans="24:39" x14ac:dyDescent="0.3">
      <c r="X45" s="17"/>
      <c r="AI45" s="203"/>
      <c r="AJ45" s="204"/>
      <c r="AK45" s="204"/>
      <c r="AL45" s="204"/>
      <c r="AM45" s="204"/>
    </row>
    <row r="46" spans="24:39" x14ac:dyDescent="0.3">
      <c r="X46" s="17"/>
      <c r="AI46" s="203"/>
      <c r="AJ46" s="204"/>
      <c r="AK46" s="204"/>
      <c r="AL46" s="204"/>
      <c r="AM46" s="204"/>
    </row>
    <row r="47" spans="24:39" x14ac:dyDescent="0.3">
      <c r="X47" s="17"/>
      <c r="AI47" s="203"/>
      <c r="AJ47" s="204"/>
      <c r="AK47" s="204"/>
      <c r="AL47" s="204"/>
      <c r="AM47" s="204"/>
    </row>
    <row r="48" spans="24:39" x14ac:dyDescent="0.3">
      <c r="X48" s="17"/>
      <c r="AI48" s="203"/>
      <c r="AJ48" s="204"/>
      <c r="AK48" s="204"/>
      <c r="AL48" s="204"/>
      <c r="AM48" s="204"/>
    </row>
    <row r="49" spans="24:39" x14ac:dyDescent="0.3">
      <c r="X49" s="17"/>
      <c r="AI49" s="203"/>
      <c r="AJ49" s="204"/>
      <c r="AK49" s="204"/>
      <c r="AL49" s="204"/>
      <c r="AM49" s="204"/>
    </row>
    <row r="50" spans="24:39" x14ac:dyDescent="0.3">
      <c r="X50" s="17"/>
      <c r="AI50" s="203"/>
      <c r="AJ50" s="204"/>
      <c r="AK50" s="204"/>
      <c r="AL50" s="204"/>
      <c r="AM50" s="204"/>
    </row>
    <row r="51" spans="24:39" x14ac:dyDescent="0.3">
      <c r="X51" s="17"/>
      <c r="AI51" s="203"/>
      <c r="AJ51" s="204"/>
      <c r="AK51" s="204"/>
      <c r="AL51" s="204"/>
      <c r="AM51" s="204"/>
    </row>
    <row r="52" spans="24:39" x14ac:dyDescent="0.3">
      <c r="X52" s="17"/>
      <c r="AI52" s="203"/>
      <c r="AJ52" s="204"/>
      <c r="AK52" s="204"/>
      <c r="AL52" s="204"/>
      <c r="AM52" s="204"/>
    </row>
    <row r="53" spans="24:39" x14ac:dyDescent="0.3">
      <c r="X53" s="17"/>
      <c r="AI53" s="203"/>
      <c r="AJ53" s="204"/>
      <c r="AK53" s="204"/>
      <c r="AL53" s="204"/>
      <c r="AM53" s="204"/>
    </row>
    <row r="54" spans="24:39" x14ac:dyDescent="0.3">
      <c r="X54" s="17"/>
      <c r="AI54" s="203"/>
      <c r="AJ54" s="204"/>
      <c r="AK54" s="204"/>
      <c r="AL54" s="204"/>
      <c r="AM54" s="204"/>
    </row>
    <row r="55" spans="24:39" x14ac:dyDescent="0.3">
      <c r="X55" s="17"/>
      <c r="AI55" s="203"/>
      <c r="AJ55" s="204"/>
      <c r="AK55" s="204"/>
      <c r="AL55" s="204"/>
      <c r="AM55" s="204"/>
    </row>
    <row r="56" spans="24:39" x14ac:dyDescent="0.3">
      <c r="X56" s="17"/>
      <c r="AI56" s="203"/>
      <c r="AJ56" s="204"/>
      <c r="AK56" s="204"/>
      <c r="AL56" s="204"/>
      <c r="AM56" s="204"/>
    </row>
    <row r="57" spans="24:39" x14ac:dyDescent="0.3">
      <c r="X57" s="17"/>
      <c r="AI57" s="203"/>
      <c r="AJ57" s="204"/>
      <c r="AK57" s="204"/>
      <c r="AL57" s="204"/>
      <c r="AM57" s="204"/>
    </row>
    <row r="58" spans="24:39" x14ac:dyDescent="0.3">
      <c r="X58" s="17"/>
      <c r="AI58" s="203"/>
      <c r="AJ58" s="204"/>
      <c r="AK58" s="204"/>
      <c r="AL58" s="204"/>
      <c r="AM58" s="204"/>
    </row>
    <row r="59" spans="24:39" x14ac:dyDescent="0.3">
      <c r="X59" s="17"/>
      <c r="AI59" s="203"/>
      <c r="AJ59" s="204"/>
      <c r="AK59" s="204"/>
      <c r="AL59" s="204"/>
      <c r="AM59" s="204"/>
    </row>
    <row r="60" spans="24:39" x14ac:dyDescent="0.3">
      <c r="X60" s="17"/>
      <c r="AI60" s="17"/>
      <c r="AJ60" s="205"/>
      <c r="AK60" s="205"/>
      <c r="AL60" s="205"/>
      <c r="AM60" s="205"/>
    </row>
    <row r="61" spans="24:39" x14ac:dyDescent="0.3">
      <c r="X61" s="17"/>
      <c r="AI61" s="17"/>
      <c r="AJ61" s="205"/>
      <c r="AK61" s="205"/>
      <c r="AL61" s="205"/>
      <c r="AM61" s="205"/>
    </row>
    <row r="62" spans="24:39" x14ac:dyDescent="0.3">
      <c r="X62" s="17"/>
      <c r="AI62" s="17"/>
      <c r="AJ62" s="205"/>
      <c r="AK62" s="205"/>
      <c r="AL62" s="205"/>
      <c r="AM62" s="205"/>
    </row>
    <row r="63" spans="24:39" x14ac:dyDescent="0.3">
      <c r="X63" s="17"/>
      <c r="AI63" s="17"/>
      <c r="AJ63" s="205"/>
      <c r="AK63" s="205"/>
      <c r="AL63" s="205"/>
      <c r="AM63" s="205"/>
    </row>
    <row r="64" spans="24:39" x14ac:dyDescent="0.3">
      <c r="X64" s="17"/>
      <c r="AI64" s="17"/>
      <c r="AJ64" s="205"/>
      <c r="AK64" s="205"/>
      <c r="AL64" s="205"/>
      <c r="AM64" s="205"/>
    </row>
    <row r="65" spans="24:39" x14ac:dyDescent="0.3">
      <c r="X65" s="17"/>
      <c r="AI65" s="17"/>
      <c r="AJ65" s="205"/>
      <c r="AK65" s="205"/>
      <c r="AL65" s="205"/>
      <c r="AM65" s="205"/>
    </row>
    <row r="66" spans="24:39" x14ac:dyDescent="0.3">
      <c r="X66" s="17"/>
      <c r="AI66" s="17"/>
      <c r="AJ66" s="205"/>
      <c r="AK66" s="205"/>
      <c r="AL66" s="205"/>
      <c r="AM66" s="205"/>
    </row>
    <row r="67" spans="24:39" x14ac:dyDescent="0.3">
      <c r="X67" s="17"/>
      <c r="AI67" s="17"/>
      <c r="AJ67" s="205"/>
      <c r="AK67" s="205"/>
      <c r="AL67" s="205"/>
      <c r="AM67" s="205"/>
    </row>
    <row r="68" spans="24:39" x14ac:dyDescent="0.3">
      <c r="X68" s="17"/>
      <c r="AI68" s="17"/>
      <c r="AJ68" s="205"/>
      <c r="AK68" s="205"/>
      <c r="AL68" s="205"/>
      <c r="AM68" s="205"/>
    </row>
    <row r="69" spans="24:39" x14ac:dyDescent="0.3">
      <c r="X69" s="17"/>
      <c r="AI69" s="17"/>
      <c r="AJ69" s="205"/>
      <c r="AK69" s="205"/>
      <c r="AL69" s="205"/>
      <c r="AM69" s="205"/>
    </row>
    <row r="70" spans="24:39" x14ac:dyDescent="0.3">
      <c r="X70" s="17"/>
      <c r="AI70" s="17"/>
      <c r="AJ70" s="205"/>
      <c r="AK70" s="205"/>
      <c r="AL70" s="205"/>
      <c r="AM70" s="205"/>
    </row>
    <row r="71" spans="24:39" x14ac:dyDescent="0.3">
      <c r="X71" s="17"/>
      <c r="AI71" s="17"/>
      <c r="AJ71" s="205"/>
      <c r="AK71" s="205"/>
      <c r="AL71" s="205"/>
      <c r="AM71" s="205"/>
    </row>
    <row r="72" spans="24:39" x14ac:dyDescent="0.3">
      <c r="X72" s="17"/>
      <c r="AI72" s="17"/>
      <c r="AJ72" s="205"/>
      <c r="AK72" s="205"/>
      <c r="AL72" s="205"/>
      <c r="AM72" s="205"/>
    </row>
    <row r="73" spans="24:39" x14ac:dyDescent="0.3">
      <c r="X73" s="17"/>
      <c r="AI73" s="17"/>
      <c r="AJ73" s="205"/>
      <c r="AK73" s="205"/>
      <c r="AL73" s="205"/>
      <c r="AM73" s="205"/>
    </row>
    <row r="74" spans="24:39" x14ac:dyDescent="0.3">
      <c r="X74" s="17"/>
      <c r="AI74" s="17"/>
      <c r="AJ74" s="205"/>
      <c r="AK74" s="205"/>
      <c r="AL74" s="205"/>
      <c r="AM74" s="205"/>
    </row>
    <row r="75" spans="24:39" x14ac:dyDescent="0.3">
      <c r="X75" s="17"/>
      <c r="AI75" s="17"/>
      <c r="AJ75" s="205"/>
      <c r="AK75" s="205"/>
      <c r="AL75" s="205"/>
      <c r="AM75" s="205"/>
    </row>
    <row r="76" spans="24:39" x14ac:dyDescent="0.3">
      <c r="X76" s="17"/>
      <c r="AI76" s="17"/>
      <c r="AJ76" s="205"/>
      <c r="AK76" s="205"/>
      <c r="AL76" s="205"/>
      <c r="AM76" s="205"/>
    </row>
    <row r="77" spans="24:39" x14ac:dyDescent="0.3">
      <c r="X77" s="17"/>
      <c r="AI77" s="17"/>
      <c r="AJ77" s="205"/>
      <c r="AK77" s="205"/>
      <c r="AL77" s="205"/>
      <c r="AM77" s="205"/>
    </row>
    <row r="78" spans="24:39" x14ac:dyDescent="0.3">
      <c r="X78" s="17"/>
      <c r="AI78" s="17"/>
      <c r="AJ78" s="205"/>
      <c r="AK78" s="205"/>
      <c r="AL78" s="205"/>
      <c r="AM78" s="205"/>
    </row>
    <row r="79" spans="24:39" x14ac:dyDescent="0.3">
      <c r="X79" s="17"/>
      <c r="AI79" s="17"/>
      <c r="AJ79" s="205"/>
      <c r="AK79" s="205"/>
      <c r="AL79" s="205"/>
      <c r="AM79" s="205"/>
    </row>
    <row r="80" spans="24:39" x14ac:dyDescent="0.3">
      <c r="X80" s="17"/>
      <c r="AI80" s="17"/>
      <c r="AJ80" s="205"/>
      <c r="AK80" s="205"/>
      <c r="AL80" s="205"/>
      <c r="AM80" s="205"/>
    </row>
    <row r="81" spans="24:39" x14ac:dyDescent="0.3">
      <c r="X81" s="17"/>
      <c r="AI81" s="17"/>
      <c r="AJ81" s="205"/>
      <c r="AK81" s="205"/>
      <c r="AL81" s="205"/>
      <c r="AM81" s="205"/>
    </row>
    <row r="82" spans="24:39" x14ac:dyDescent="0.3">
      <c r="X82" s="17"/>
      <c r="AI82" s="17"/>
      <c r="AJ82" s="205"/>
      <c r="AK82" s="205"/>
      <c r="AL82" s="205"/>
      <c r="AM82" s="205"/>
    </row>
    <row r="83" spans="24:39" x14ac:dyDescent="0.3">
      <c r="X83" s="17"/>
      <c r="AI83" s="17"/>
      <c r="AJ83" s="205"/>
      <c r="AK83" s="205"/>
      <c r="AL83" s="205"/>
      <c r="AM83" s="205"/>
    </row>
    <row r="84" spans="24:39" x14ac:dyDescent="0.3">
      <c r="X84" s="17"/>
      <c r="AI84" s="17"/>
      <c r="AJ84" s="205"/>
      <c r="AK84" s="205"/>
      <c r="AL84" s="205"/>
      <c r="AM84" s="205"/>
    </row>
    <row r="85" spans="24:39" x14ac:dyDescent="0.3">
      <c r="X85" s="17"/>
      <c r="AI85" s="17"/>
      <c r="AJ85" s="205"/>
      <c r="AK85" s="205"/>
      <c r="AL85" s="205"/>
      <c r="AM85" s="205"/>
    </row>
    <row r="86" spans="24:39" x14ac:dyDescent="0.3">
      <c r="X86" s="17"/>
      <c r="AI86" s="17"/>
      <c r="AJ86" s="205"/>
      <c r="AK86" s="205"/>
      <c r="AL86" s="205"/>
      <c r="AM86" s="205"/>
    </row>
    <row r="87" spans="24:39" x14ac:dyDescent="0.3">
      <c r="X87" s="17"/>
      <c r="AI87" s="17"/>
      <c r="AJ87" s="205"/>
      <c r="AK87" s="205"/>
      <c r="AL87" s="205"/>
      <c r="AM87" s="205"/>
    </row>
    <row r="88" spans="24:39" x14ac:dyDescent="0.3">
      <c r="X88" s="17"/>
      <c r="AI88" s="17"/>
      <c r="AJ88" s="205"/>
      <c r="AK88" s="205"/>
      <c r="AL88" s="205"/>
      <c r="AM88" s="205"/>
    </row>
    <row r="89" spans="24:39" x14ac:dyDescent="0.3">
      <c r="X89" s="17"/>
      <c r="AI89" s="17"/>
      <c r="AJ89" s="205"/>
      <c r="AK89" s="205"/>
      <c r="AL89" s="205"/>
      <c r="AM89" s="205"/>
    </row>
    <row r="90" spans="24:39" x14ac:dyDescent="0.3">
      <c r="X90" s="17"/>
      <c r="AI90" s="17"/>
      <c r="AJ90" s="205"/>
      <c r="AK90" s="205"/>
      <c r="AL90" s="205"/>
      <c r="AM90" s="205"/>
    </row>
    <row r="91" spans="24:39" x14ac:dyDescent="0.3">
      <c r="X91" s="17"/>
      <c r="AI91" s="17"/>
      <c r="AJ91" s="205"/>
      <c r="AK91" s="205"/>
      <c r="AL91" s="205"/>
      <c r="AM91" s="205"/>
    </row>
    <row r="92" spans="24:39" x14ac:dyDescent="0.3">
      <c r="X92" s="17"/>
      <c r="AI92" s="17"/>
      <c r="AJ92" s="205"/>
      <c r="AK92" s="205"/>
      <c r="AL92" s="205"/>
      <c r="AM92" s="205"/>
    </row>
    <row r="93" spans="24:39" x14ac:dyDescent="0.3">
      <c r="X93" s="17"/>
      <c r="AI93" s="17"/>
      <c r="AJ93" s="205"/>
      <c r="AK93" s="205"/>
      <c r="AL93" s="205"/>
      <c r="AM93" s="205"/>
    </row>
    <row r="94" spans="24:39" x14ac:dyDescent="0.3">
      <c r="X94" s="17"/>
      <c r="AI94" s="17"/>
      <c r="AJ94" s="205"/>
      <c r="AK94" s="205"/>
      <c r="AL94" s="205"/>
      <c r="AM94" s="205"/>
    </row>
    <row r="95" spans="24:39" x14ac:dyDescent="0.3">
      <c r="X95" s="17"/>
      <c r="AI95" s="17"/>
      <c r="AJ95" s="205"/>
      <c r="AK95" s="205"/>
      <c r="AL95" s="205"/>
      <c r="AM95" s="205"/>
    </row>
    <row r="96" spans="24:39" x14ac:dyDescent="0.3">
      <c r="X96" s="17"/>
      <c r="AI96" s="17"/>
      <c r="AJ96" s="205"/>
      <c r="AK96" s="205"/>
      <c r="AL96" s="205"/>
      <c r="AM96" s="205"/>
    </row>
    <row r="97" spans="24:39" x14ac:dyDescent="0.3">
      <c r="X97" s="17"/>
      <c r="AI97" s="17"/>
      <c r="AJ97" s="205"/>
      <c r="AK97" s="205"/>
      <c r="AL97" s="205"/>
      <c r="AM97" s="205"/>
    </row>
    <row r="98" spans="24:39" x14ac:dyDescent="0.3">
      <c r="X98" s="17"/>
      <c r="AI98" s="17"/>
      <c r="AJ98" s="205"/>
      <c r="AK98" s="205"/>
      <c r="AL98" s="205"/>
      <c r="AM98" s="205"/>
    </row>
    <row r="99" spans="24:39" x14ac:dyDescent="0.3">
      <c r="X99" s="17"/>
      <c r="AI99" s="17"/>
      <c r="AJ99" s="205"/>
      <c r="AK99" s="205"/>
      <c r="AL99" s="205"/>
      <c r="AM99" s="205"/>
    </row>
    <row r="100" spans="24:39" x14ac:dyDescent="0.3">
      <c r="X100" s="17"/>
      <c r="AI100" s="17"/>
      <c r="AJ100" s="205"/>
      <c r="AK100" s="205"/>
      <c r="AL100" s="205"/>
      <c r="AM100" s="205"/>
    </row>
    <row r="101" spans="24:39" x14ac:dyDescent="0.3">
      <c r="X101" s="17"/>
      <c r="AI101" s="17"/>
      <c r="AJ101" s="205"/>
      <c r="AK101" s="205"/>
      <c r="AL101" s="205"/>
      <c r="AM101" s="205"/>
    </row>
    <row r="102" spans="24:39" x14ac:dyDescent="0.3">
      <c r="X102" s="17"/>
      <c r="AI102" s="17"/>
      <c r="AJ102" s="205"/>
      <c r="AK102" s="205"/>
      <c r="AL102" s="205"/>
      <c r="AM102" s="205"/>
    </row>
    <row r="103" spans="24:39" x14ac:dyDescent="0.3">
      <c r="X103" s="17"/>
      <c r="AI103" s="17"/>
      <c r="AJ103" s="205"/>
      <c r="AK103" s="205"/>
      <c r="AL103" s="205"/>
      <c r="AM103" s="205"/>
    </row>
    <row r="104" spans="24:39" x14ac:dyDescent="0.3">
      <c r="X104" s="17"/>
      <c r="AI104" s="17"/>
      <c r="AJ104" s="205"/>
      <c r="AK104" s="205"/>
      <c r="AL104" s="205"/>
      <c r="AM104" s="205"/>
    </row>
    <row r="105" spans="24:39" x14ac:dyDescent="0.3">
      <c r="X105" s="17"/>
      <c r="AI105" s="17"/>
      <c r="AJ105" s="205"/>
      <c r="AK105" s="205"/>
      <c r="AL105" s="205"/>
      <c r="AM105" s="205"/>
    </row>
    <row r="106" spans="24:39" x14ac:dyDescent="0.3">
      <c r="X106" s="17"/>
      <c r="AI106" s="17"/>
      <c r="AJ106" s="205"/>
      <c r="AK106" s="205"/>
      <c r="AL106" s="205"/>
      <c r="AM106" s="205"/>
    </row>
    <row r="107" spans="24:39" x14ac:dyDescent="0.3">
      <c r="X107" s="17"/>
      <c r="AI107" s="17"/>
      <c r="AJ107" s="205"/>
      <c r="AK107" s="205"/>
      <c r="AL107" s="205"/>
      <c r="AM107" s="205"/>
    </row>
    <row r="108" spans="24:39" x14ac:dyDescent="0.3">
      <c r="X108" s="17"/>
      <c r="AI108" s="17"/>
      <c r="AJ108" s="205"/>
      <c r="AK108" s="205"/>
      <c r="AL108" s="205"/>
      <c r="AM108" s="205"/>
    </row>
    <row r="109" spans="24:39" x14ac:dyDescent="0.3">
      <c r="X109" s="17"/>
      <c r="AI109" s="17"/>
      <c r="AJ109" s="205"/>
      <c r="AK109" s="205"/>
      <c r="AL109" s="205"/>
      <c r="AM109" s="205"/>
    </row>
    <row r="110" spans="24:39" x14ac:dyDescent="0.3">
      <c r="X110" s="17"/>
      <c r="AI110" s="17"/>
      <c r="AJ110" s="205"/>
      <c r="AK110" s="205"/>
      <c r="AL110" s="205"/>
      <c r="AM110" s="205"/>
    </row>
    <row r="111" spans="24:39" x14ac:dyDescent="0.3">
      <c r="X111" s="17"/>
      <c r="AI111" s="17"/>
      <c r="AJ111" s="205"/>
      <c r="AK111" s="205"/>
      <c r="AL111" s="205"/>
      <c r="AM111" s="205"/>
    </row>
    <row r="112" spans="24:39" x14ac:dyDescent="0.3">
      <c r="X112" s="17"/>
      <c r="AI112" s="17"/>
      <c r="AJ112" s="205"/>
      <c r="AK112" s="205"/>
      <c r="AL112" s="205"/>
      <c r="AM112" s="205"/>
    </row>
    <row r="113" spans="24:39" x14ac:dyDescent="0.3">
      <c r="X113" s="17"/>
      <c r="AI113" s="17"/>
      <c r="AJ113" s="205"/>
      <c r="AK113" s="205"/>
      <c r="AL113" s="205"/>
      <c r="AM113" s="205"/>
    </row>
    <row r="114" spans="24:39" x14ac:dyDescent="0.3">
      <c r="X114" s="17"/>
      <c r="AI114" s="17"/>
      <c r="AJ114" s="205"/>
      <c r="AK114" s="205"/>
      <c r="AL114" s="205"/>
      <c r="AM114" s="205"/>
    </row>
    <row r="115" spans="24:39" x14ac:dyDescent="0.3">
      <c r="X115" s="17"/>
      <c r="AI115" s="17"/>
      <c r="AJ115" s="205"/>
      <c r="AK115" s="205"/>
      <c r="AL115" s="205"/>
      <c r="AM115" s="205"/>
    </row>
    <row r="116" spans="24:39" x14ac:dyDescent="0.3">
      <c r="X116" s="17"/>
      <c r="AI116" s="17"/>
      <c r="AJ116" s="205"/>
      <c r="AK116" s="205"/>
      <c r="AL116" s="205"/>
      <c r="AM116" s="205"/>
    </row>
    <row r="117" spans="24:39" x14ac:dyDescent="0.3">
      <c r="X117" s="17"/>
      <c r="AI117" s="17"/>
      <c r="AJ117" s="205"/>
      <c r="AK117" s="205"/>
      <c r="AL117" s="205"/>
      <c r="AM117" s="205"/>
    </row>
    <row r="118" spans="24:39" x14ac:dyDescent="0.3">
      <c r="X118" s="17"/>
      <c r="AI118" s="17"/>
      <c r="AJ118" s="205"/>
      <c r="AK118" s="205"/>
      <c r="AL118" s="205"/>
      <c r="AM118" s="205"/>
    </row>
    <row r="119" spans="24:39" x14ac:dyDescent="0.3">
      <c r="X119" s="17"/>
      <c r="AI119" s="17"/>
      <c r="AJ119" s="205"/>
      <c r="AK119" s="205"/>
      <c r="AL119" s="205"/>
      <c r="AM119" s="205"/>
    </row>
    <row r="120" spans="24:39" x14ac:dyDescent="0.3">
      <c r="X120" s="17"/>
      <c r="AI120" s="17"/>
      <c r="AJ120" s="205"/>
      <c r="AK120" s="205"/>
      <c r="AL120" s="205"/>
      <c r="AM120" s="205"/>
    </row>
    <row r="121" spans="24:39" x14ac:dyDescent="0.3">
      <c r="X121" s="17"/>
      <c r="AI121" s="17"/>
      <c r="AJ121" s="205"/>
      <c r="AK121" s="205"/>
      <c r="AL121" s="205"/>
      <c r="AM121" s="205"/>
    </row>
    <row r="122" spans="24:39" x14ac:dyDescent="0.3">
      <c r="X122" s="17"/>
      <c r="AI122" s="17"/>
      <c r="AJ122" s="205"/>
      <c r="AK122" s="205"/>
      <c r="AL122" s="205"/>
      <c r="AM122" s="205"/>
    </row>
    <row r="123" spans="24:39" x14ac:dyDescent="0.3">
      <c r="X123" s="17"/>
      <c r="AI123" s="17"/>
      <c r="AJ123" s="205"/>
      <c r="AK123" s="205"/>
      <c r="AL123" s="205"/>
      <c r="AM123" s="205"/>
    </row>
    <row r="124" spans="24:39" x14ac:dyDescent="0.3">
      <c r="X124" s="17"/>
      <c r="AI124" s="17"/>
      <c r="AJ124" s="205"/>
      <c r="AK124" s="205"/>
      <c r="AL124" s="205"/>
      <c r="AM124" s="205"/>
    </row>
    <row r="125" spans="24:39" x14ac:dyDescent="0.3">
      <c r="X125" s="17"/>
      <c r="AI125" s="17"/>
      <c r="AJ125" s="205"/>
      <c r="AK125" s="205"/>
      <c r="AL125" s="205"/>
      <c r="AM125" s="205"/>
    </row>
    <row r="126" spans="24:39" x14ac:dyDescent="0.3">
      <c r="X126" s="17"/>
      <c r="AI126" s="17"/>
      <c r="AJ126" s="205"/>
      <c r="AK126" s="205"/>
      <c r="AL126" s="205"/>
      <c r="AM126" s="205"/>
    </row>
    <row r="127" spans="24:39" x14ac:dyDescent="0.3">
      <c r="X127" s="17"/>
      <c r="AI127" s="17"/>
      <c r="AJ127" s="205"/>
      <c r="AK127" s="205"/>
      <c r="AL127" s="205"/>
      <c r="AM127" s="205"/>
    </row>
    <row r="128" spans="24:39" x14ac:dyDescent="0.3">
      <c r="X128" s="17"/>
      <c r="AI128" s="17"/>
      <c r="AJ128" s="205"/>
      <c r="AK128" s="205"/>
      <c r="AL128" s="205"/>
      <c r="AM128" s="205"/>
    </row>
    <row r="129" spans="24:39" x14ac:dyDescent="0.3">
      <c r="X129" s="17"/>
      <c r="AI129" s="17"/>
      <c r="AJ129" s="205"/>
      <c r="AK129" s="205"/>
      <c r="AL129" s="205"/>
      <c r="AM129" s="205"/>
    </row>
    <row r="130" spans="24:39" x14ac:dyDescent="0.3">
      <c r="X130" s="17"/>
      <c r="AI130" s="17"/>
      <c r="AJ130" s="205"/>
      <c r="AK130" s="205"/>
      <c r="AL130" s="205"/>
      <c r="AM130" s="205"/>
    </row>
    <row r="131" spans="24:39" x14ac:dyDescent="0.3">
      <c r="X131" s="17"/>
      <c r="AI131" s="17"/>
      <c r="AJ131" s="205"/>
      <c r="AK131" s="205"/>
      <c r="AL131" s="205"/>
      <c r="AM131" s="205"/>
    </row>
    <row r="132" spans="24:39" x14ac:dyDescent="0.3">
      <c r="X132" s="17"/>
      <c r="AI132" s="17"/>
      <c r="AJ132" s="205"/>
      <c r="AK132" s="205"/>
      <c r="AL132" s="205"/>
      <c r="AM132" s="205"/>
    </row>
    <row r="133" spans="24:39" x14ac:dyDescent="0.3">
      <c r="X133" s="17"/>
      <c r="AI133" s="17"/>
      <c r="AJ133" s="205"/>
      <c r="AK133" s="205"/>
      <c r="AL133" s="205"/>
      <c r="AM133" s="205"/>
    </row>
    <row r="134" spans="24:39" x14ac:dyDescent="0.3">
      <c r="X134" s="17"/>
      <c r="AI134" s="17"/>
      <c r="AJ134" s="205"/>
      <c r="AK134" s="205"/>
      <c r="AL134" s="205"/>
      <c r="AM134" s="205"/>
    </row>
    <row r="135" spans="24:39" x14ac:dyDescent="0.3">
      <c r="X135" s="17"/>
      <c r="AI135" s="17"/>
      <c r="AJ135" s="205"/>
      <c r="AK135" s="205"/>
      <c r="AL135" s="205"/>
      <c r="AM135" s="205"/>
    </row>
    <row r="136" spans="24:39" x14ac:dyDescent="0.3">
      <c r="X136" s="17"/>
      <c r="AI136" s="17"/>
      <c r="AJ136" s="205"/>
      <c r="AK136" s="205"/>
      <c r="AL136" s="205"/>
      <c r="AM136" s="205"/>
    </row>
    <row r="137" spans="24:39" x14ac:dyDescent="0.3">
      <c r="X137" s="17"/>
      <c r="AI137" s="17"/>
      <c r="AJ137" s="205"/>
      <c r="AK137" s="205"/>
      <c r="AL137" s="205"/>
      <c r="AM137" s="205"/>
    </row>
    <row r="138" spans="24:39" x14ac:dyDescent="0.3">
      <c r="X138" s="17"/>
      <c r="AI138" s="17"/>
      <c r="AJ138" s="205"/>
      <c r="AK138" s="205"/>
      <c r="AL138" s="205"/>
      <c r="AM138" s="205"/>
    </row>
    <row r="139" spans="24:39" x14ac:dyDescent="0.3">
      <c r="X139" s="17"/>
      <c r="AI139" s="17"/>
      <c r="AJ139" s="205"/>
      <c r="AK139" s="205"/>
      <c r="AL139" s="205"/>
      <c r="AM139" s="205"/>
    </row>
    <row r="140" spans="24:39" x14ac:dyDescent="0.3">
      <c r="X140" s="17"/>
      <c r="AI140" s="17"/>
      <c r="AJ140" s="205"/>
      <c r="AK140" s="205"/>
      <c r="AL140" s="205"/>
      <c r="AM140" s="205"/>
    </row>
    <row r="141" spans="24:39" x14ac:dyDescent="0.3">
      <c r="X141" s="17"/>
      <c r="AI141" s="17"/>
      <c r="AJ141" s="205"/>
      <c r="AK141" s="205"/>
      <c r="AL141" s="205"/>
      <c r="AM141" s="205"/>
    </row>
    <row r="142" spans="24:39" x14ac:dyDescent="0.3">
      <c r="X142" s="17"/>
      <c r="AI142" s="17"/>
      <c r="AJ142" s="205"/>
      <c r="AK142" s="205"/>
      <c r="AL142" s="205"/>
      <c r="AM142" s="205"/>
    </row>
    <row r="143" spans="24:39" x14ac:dyDescent="0.3">
      <c r="X143" s="17"/>
      <c r="AI143" s="17"/>
      <c r="AJ143" s="205"/>
      <c r="AK143" s="205"/>
      <c r="AL143" s="205"/>
      <c r="AM143" s="205"/>
    </row>
    <row r="144" spans="24:39" x14ac:dyDescent="0.3">
      <c r="X144" s="17"/>
      <c r="AI144" s="17"/>
      <c r="AJ144" s="205"/>
      <c r="AK144" s="205"/>
      <c r="AL144" s="205"/>
      <c r="AM144" s="205"/>
    </row>
    <row r="145" spans="24:39" x14ac:dyDescent="0.3">
      <c r="X145" s="17"/>
      <c r="AI145" s="17"/>
      <c r="AJ145" s="205"/>
      <c r="AK145" s="205"/>
      <c r="AL145" s="205"/>
      <c r="AM145" s="205"/>
    </row>
    <row r="146" spans="24:39" x14ac:dyDescent="0.3">
      <c r="X146" s="17"/>
      <c r="AI146" s="17"/>
      <c r="AJ146" s="205"/>
      <c r="AK146" s="205"/>
      <c r="AL146" s="205"/>
      <c r="AM146" s="205"/>
    </row>
    <row r="147" spans="24:39" x14ac:dyDescent="0.3">
      <c r="X147" s="17"/>
      <c r="AI147" s="17"/>
      <c r="AJ147" s="205"/>
      <c r="AK147" s="205"/>
      <c r="AL147" s="205"/>
      <c r="AM147" s="205"/>
    </row>
    <row r="148" spans="24:39" x14ac:dyDescent="0.3">
      <c r="X148" s="17"/>
      <c r="AI148" s="17"/>
      <c r="AJ148" s="205"/>
      <c r="AK148" s="205"/>
      <c r="AL148" s="205"/>
      <c r="AM148" s="205"/>
    </row>
    <row r="149" spans="24:39" x14ac:dyDescent="0.3">
      <c r="X149" s="17"/>
      <c r="AI149" s="17"/>
      <c r="AJ149" s="205"/>
      <c r="AK149" s="205"/>
      <c r="AL149" s="205"/>
      <c r="AM149" s="205"/>
    </row>
    <row r="150" spans="24:39" x14ac:dyDescent="0.3">
      <c r="X150" s="17"/>
      <c r="AI150" s="17"/>
      <c r="AJ150" s="205"/>
      <c r="AK150" s="205"/>
      <c r="AL150" s="205"/>
      <c r="AM150" s="205"/>
    </row>
    <row r="151" spans="24:39" x14ac:dyDescent="0.3">
      <c r="X151" s="17"/>
      <c r="AI151" s="17"/>
      <c r="AJ151" s="205"/>
      <c r="AK151" s="205"/>
      <c r="AL151" s="205"/>
      <c r="AM151" s="205"/>
    </row>
    <row r="152" spans="24:39" x14ac:dyDescent="0.3">
      <c r="X152" s="17"/>
      <c r="AI152" s="17"/>
      <c r="AJ152" s="205"/>
      <c r="AK152" s="205"/>
      <c r="AL152" s="205"/>
      <c r="AM152" s="205"/>
    </row>
    <row r="153" spans="24:39" x14ac:dyDescent="0.3">
      <c r="X153" s="17"/>
      <c r="AI153" s="17"/>
      <c r="AJ153" s="205"/>
      <c r="AK153" s="205"/>
      <c r="AL153" s="205"/>
      <c r="AM153" s="205"/>
    </row>
    <row r="154" spans="24:39" x14ac:dyDescent="0.3">
      <c r="X154" s="17"/>
      <c r="AI154" s="17"/>
      <c r="AJ154" s="205"/>
      <c r="AK154" s="205"/>
      <c r="AL154" s="205"/>
      <c r="AM154" s="205"/>
    </row>
    <row r="155" spans="24:39" x14ac:dyDescent="0.3">
      <c r="X155" s="17"/>
      <c r="AI155" s="17"/>
      <c r="AJ155" s="205"/>
      <c r="AK155" s="205"/>
      <c r="AL155" s="205"/>
      <c r="AM155" s="205"/>
    </row>
    <row r="156" spans="24:39" x14ac:dyDescent="0.3">
      <c r="X156" s="17"/>
      <c r="AI156" s="17"/>
      <c r="AJ156" s="205"/>
      <c r="AK156" s="205"/>
      <c r="AL156" s="205"/>
      <c r="AM156" s="205"/>
    </row>
    <row r="157" spans="24:39" x14ac:dyDescent="0.3">
      <c r="X157" s="17"/>
      <c r="AI157" s="17"/>
      <c r="AJ157" s="205"/>
      <c r="AK157" s="205"/>
      <c r="AL157" s="205"/>
      <c r="AM157" s="205"/>
    </row>
    <row r="158" spans="24:39" x14ac:dyDescent="0.3">
      <c r="X158" s="17"/>
      <c r="AI158" s="17"/>
      <c r="AJ158" s="205"/>
      <c r="AK158" s="205"/>
      <c r="AL158" s="205"/>
      <c r="AM158" s="205"/>
    </row>
    <row r="159" spans="24:39" x14ac:dyDescent="0.3">
      <c r="X159" s="17"/>
      <c r="AI159" s="17"/>
      <c r="AJ159" s="205"/>
      <c r="AK159" s="205"/>
      <c r="AL159" s="205"/>
      <c r="AM159" s="205"/>
    </row>
    <row r="160" spans="24:39" x14ac:dyDescent="0.3">
      <c r="X160" s="17"/>
      <c r="AI160" s="17"/>
      <c r="AJ160" s="205"/>
      <c r="AK160" s="205"/>
      <c r="AL160" s="205"/>
      <c r="AM160" s="205"/>
    </row>
    <row r="161" spans="24:39" x14ac:dyDescent="0.3">
      <c r="X161" s="17"/>
      <c r="AI161" s="17"/>
      <c r="AJ161" s="205"/>
      <c r="AK161" s="205"/>
      <c r="AL161" s="205"/>
      <c r="AM161" s="205"/>
    </row>
    <row r="162" spans="24:39" x14ac:dyDescent="0.3">
      <c r="X162" s="17"/>
      <c r="AI162" s="17"/>
      <c r="AJ162" s="205"/>
      <c r="AK162" s="205"/>
      <c r="AL162" s="205"/>
      <c r="AM162" s="205"/>
    </row>
    <row r="163" spans="24:39" x14ac:dyDescent="0.3">
      <c r="X163" s="17"/>
      <c r="AI163" s="17"/>
      <c r="AJ163" s="205"/>
      <c r="AK163" s="205"/>
      <c r="AL163" s="205"/>
      <c r="AM163" s="205"/>
    </row>
    <row r="164" spans="24:39" x14ac:dyDescent="0.3">
      <c r="X164" s="17"/>
      <c r="AI164" s="17"/>
      <c r="AJ164" s="205"/>
      <c r="AK164" s="205"/>
      <c r="AL164" s="205"/>
      <c r="AM164" s="205"/>
    </row>
    <row r="165" spans="24:39" x14ac:dyDescent="0.3">
      <c r="X165" s="17"/>
      <c r="AI165" s="17"/>
      <c r="AJ165" s="205"/>
      <c r="AK165" s="205"/>
      <c r="AL165" s="205"/>
      <c r="AM165" s="205"/>
    </row>
    <row r="166" spans="24:39" x14ac:dyDescent="0.3">
      <c r="X166" s="17"/>
      <c r="AI166" s="17"/>
      <c r="AJ166" s="205"/>
      <c r="AK166" s="205"/>
      <c r="AL166" s="205"/>
      <c r="AM166" s="205"/>
    </row>
    <row r="167" spans="24:39" x14ac:dyDescent="0.3">
      <c r="X167" s="17"/>
      <c r="AI167" s="17"/>
      <c r="AJ167" s="205"/>
      <c r="AK167" s="205"/>
      <c r="AL167" s="205"/>
      <c r="AM167" s="205"/>
    </row>
    <row r="168" spans="24:39" x14ac:dyDescent="0.3">
      <c r="X168" s="17"/>
      <c r="AI168" s="17"/>
      <c r="AJ168" s="205"/>
      <c r="AK168" s="205"/>
      <c r="AL168" s="205"/>
      <c r="AM168" s="205"/>
    </row>
    <row r="169" spans="24:39" x14ac:dyDescent="0.3">
      <c r="X169" s="17"/>
      <c r="AI169" s="17"/>
      <c r="AJ169" s="205"/>
      <c r="AK169" s="205"/>
      <c r="AL169" s="205"/>
      <c r="AM169" s="205"/>
    </row>
    <row r="170" spans="24:39" x14ac:dyDescent="0.3">
      <c r="X170" s="17"/>
      <c r="AI170" s="17"/>
      <c r="AJ170" s="205"/>
      <c r="AK170" s="205"/>
      <c r="AL170" s="205"/>
      <c r="AM170" s="205"/>
    </row>
    <row r="171" spans="24:39" x14ac:dyDescent="0.3">
      <c r="X171" s="17"/>
      <c r="AI171" s="17"/>
      <c r="AJ171" s="205"/>
      <c r="AK171" s="205"/>
      <c r="AL171" s="205"/>
      <c r="AM171" s="205"/>
    </row>
    <row r="172" spans="24:39" x14ac:dyDescent="0.3">
      <c r="X172" s="17"/>
      <c r="AI172" s="17"/>
      <c r="AJ172" s="205"/>
      <c r="AK172" s="205"/>
      <c r="AL172" s="205"/>
      <c r="AM172" s="205"/>
    </row>
    <row r="173" spans="24:39" x14ac:dyDescent="0.3">
      <c r="X173" s="17"/>
      <c r="AI173" s="17"/>
      <c r="AJ173" s="205"/>
      <c r="AK173" s="205"/>
      <c r="AL173" s="205"/>
      <c r="AM173" s="205"/>
    </row>
    <row r="174" spans="24:39" x14ac:dyDescent="0.3">
      <c r="X174" s="17"/>
      <c r="AI174" s="17"/>
      <c r="AJ174" s="205"/>
      <c r="AK174" s="205"/>
      <c r="AL174" s="205"/>
      <c r="AM174" s="205"/>
    </row>
    <row r="175" spans="24:39" x14ac:dyDescent="0.3">
      <c r="X175" s="17"/>
      <c r="AI175" s="17"/>
      <c r="AJ175" s="205"/>
      <c r="AK175" s="205"/>
      <c r="AL175" s="205"/>
      <c r="AM175" s="205"/>
    </row>
    <row r="176" spans="24:39" x14ac:dyDescent="0.3">
      <c r="X176" s="17"/>
      <c r="AI176" s="17"/>
      <c r="AJ176" s="205"/>
      <c r="AK176" s="205"/>
      <c r="AL176" s="205"/>
      <c r="AM176" s="205"/>
    </row>
    <row r="177" spans="24:39" x14ac:dyDescent="0.3">
      <c r="X177" s="17"/>
      <c r="AI177" s="17"/>
      <c r="AJ177" s="205"/>
      <c r="AK177" s="205"/>
      <c r="AL177" s="205"/>
      <c r="AM177" s="205"/>
    </row>
    <row r="178" spans="24:39" x14ac:dyDescent="0.3">
      <c r="X178" s="17"/>
      <c r="AI178" s="17"/>
      <c r="AJ178" s="205"/>
      <c r="AK178" s="205"/>
      <c r="AL178" s="205"/>
      <c r="AM178" s="205"/>
    </row>
    <row r="179" spans="24:39" x14ac:dyDescent="0.3">
      <c r="X179" s="17"/>
      <c r="AI179" s="17"/>
      <c r="AJ179" s="205"/>
      <c r="AK179" s="205"/>
      <c r="AL179" s="205"/>
      <c r="AM179" s="205"/>
    </row>
    <row r="180" spans="24:39" x14ac:dyDescent="0.3">
      <c r="X180" s="17"/>
      <c r="AI180" s="17"/>
      <c r="AJ180" s="205"/>
      <c r="AK180" s="205"/>
      <c r="AL180" s="205"/>
      <c r="AM180" s="205"/>
    </row>
    <row r="181" spans="24:39" x14ac:dyDescent="0.3">
      <c r="X181" s="17"/>
      <c r="AI181" s="17"/>
      <c r="AJ181" s="205"/>
      <c r="AK181" s="205"/>
      <c r="AL181" s="205"/>
      <c r="AM181" s="205"/>
    </row>
    <row r="182" spans="24:39" x14ac:dyDescent="0.3">
      <c r="X182" s="17"/>
      <c r="AI182" s="17"/>
      <c r="AJ182" s="205"/>
      <c r="AK182" s="205"/>
      <c r="AL182" s="205"/>
      <c r="AM182" s="205"/>
    </row>
    <row r="183" spans="24:39" x14ac:dyDescent="0.3">
      <c r="X183" s="17"/>
      <c r="AI183" s="17"/>
      <c r="AJ183" s="205"/>
      <c r="AK183" s="205"/>
      <c r="AL183" s="205"/>
      <c r="AM183" s="205"/>
    </row>
    <row r="184" spans="24:39" x14ac:dyDescent="0.3">
      <c r="X184" s="17"/>
      <c r="AI184" s="17"/>
      <c r="AJ184" s="205"/>
      <c r="AK184" s="205"/>
      <c r="AL184" s="205"/>
      <c r="AM184" s="205"/>
    </row>
    <row r="185" spans="24:39" x14ac:dyDescent="0.3">
      <c r="X185" s="17"/>
      <c r="AI185" s="17"/>
      <c r="AJ185" s="205"/>
      <c r="AK185" s="205"/>
      <c r="AL185" s="205"/>
      <c r="AM185" s="205"/>
    </row>
    <row r="186" spans="24:39" x14ac:dyDescent="0.3">
      <c r="X186" s="17"/>
      <c r="AI186" s="17"/>
      <c r="AJ186" s="205"/>
      <c r="AK186" s="205"/>
      <c r="AL186" s="205"/>
      <c r="AM186" s="205"/>
    </row>
    <row r="187" spans="24:39" x14ac:dyDescent="0.3">
      <c r="X187" s="17"/>
      <c r="AI187" s="17"/>
      <c r="AJ187" s="205"/>
      <c r="AK187" s="205"/>
      <c r="AL187" s="205"/>
      <c r="AM187" s="205"/>
    </row>
    <row r="188" spans="24:39" x14ac:dyDescent="0.3">
      <c r="X188" s="17"/>
      <c r="AI188" s="17"/>
      <c r="AJ188" s="205"/>
      <c r="AK188" s="205"/>
      <c r="AL188" s="205"/>
      <c r="AM188" s="205"/>
    </row>
    <row r="189" spans="24:39" x14ac:dyDescent="0.3">
      <c r="X189" s="17"/>
      <c r="AI189" s="17"/>
      <c r="AJ189" s="205"/>
      <c r="AK189" s="205"/>
      <c r="AL189" s="205"/>
      <c r="AM189" s="205"/>
    </row>
    <row r="190" spans="24:39" x14ac:dyDescent="0.3">
      <c r="X190" s="17"/>
      <c r="AI190" s="17"/>
      <c r="AJ190" s="205"/>
      <c r="AK190" s="205"/>
      <c r="AL190" s="205"/>
      <c r="AM190" s="205"/>
    </row>
    <row r="191" spans="24:39" x14ac:dyDescent="0.3">
      <c r="X191" s="17"/>
      <c r="AI191" s="17"/>
      <c r="AJ191" s="205"/>
      <c r="AK191" s="205"/>
      <c r="AL191" s="205"/>
      <c r="AM191" s="205"/>
    </row>
    <row r="192" spans="24:39" x14ac:dyDescent="0.3">
      <c r="X192" s="17"/>
      <c r="AI192" s="17"/>
      <c r="AJ192" s="205"/>
      <c r="AK192" s="205"/>
      <c r="AL192" s="205"/>
      <c r="AM192" s="205"/>
    </row>
    <row r="193" spans="24:39" x14ac:dyDescent="0.3">
      <c r="X193" s="17"/>
      <c r="AI193" s="17"/>
      <c r="AJ193" s="205"/>
      <c r="AK193" s="205"/>
      <c r="AL193" s="205"/>
      <c r="AM193" s="205"/>
    </row>
    <row r="194" spans="24:39" x14ac:dyDescent="0.3">
      <c r="X194" s="17"/>
      <c r="AI194" s="17"/>
      <c r="AJ194" s="205"/>
      <c r="AK194" s="205"/>
      <c r="AL194" s="205"/>
      <c r="AM194" s="205"/>
    </row>
    <row r="195" spans="24:39" x14ac:dyDescent="0.3">
      <c r="X195" s="17"/>
      <c r="AI195" s="17"/>
      <c r="AJ195" s="205"/>
      <c r="AK195" s="205"/>
      <c r="AL195" s="205"/>
      <c r="AM195" s="205"/>
    </row>
    <row r="196" spans="24:39" x14ac:dyDescent="0.3">
      <c r="X196" s="17"/>
      <c r="AI196" s="17"/>
      <c r="AJ196" s="205"/>
      <c r="AK196" s="205"/>
      <c r="AL196" s="205"/>
      <c r="AM196" s="205"/>
    </row>
    <row r="197" spans="24:39" x14ac:dyDescent="0.3">
      <c r="X197" s="17"/>
      <c r="AI197" s="17"/>
      <c r="AJ197" s="205"/>
      <c r="AK197" s="205"/>
      <c r="AL197" s="205"/>
      <c r="AM197" s="205"/>
    </row>
    <row r="198" spans="24:39" x14ac:dyDescent="0.3">
      <c r="X198" s="17"/>
      <c r="AI198" s="17"/>
      <c r="AJ198" s="205"/>
      <c r="AK198" s="205"/>
      <c r="AL198" s="205"/>
      <c r="AM198" s="205"/>
    </row>
    <row r="199" spans="24:39" x14ac:dyDescent="0.3">
      <c r="X199" s="17"/>
      <c r="AI199" s="17"/>
      <c r="AJ199" s="205"/>
      <c r="AK199" s="205"/>
      <c r="AL199" s="205"/>
      <c r="AM199" s="205"/>
    </row>
    <row r="200" spans="24:39" x14ac:dyDescent="0.3">
      <c r="X200" s="17"/>
      <c r="AI200" s="17"/>
      <c r="AJ200" s="205"/>
      <c r="AK200" s="205"/>
      <c r="AL200" s="205"/>
      <c r="AM200" s="205"/>
    </row>
    <row r="201" spans="24:39" x14ac:dyDescent="0.3">
      <c r="X201" s="17"/>
      <c r="AI201" s="17"/>
      <c r="AJ201" s="205"/>
      <c r="AK201" s="205"/>
      <c r="AL201" s="205"/>
      <c r="AM201" s="205"/>
    </row>
    <row r="202" spans="24:39" x14ac:dyDescent="0.3">
      <c r="X202" s="17"/>
      <c r="AI202" s="17"/>
      <c r="AJ202" s="205"/>
      <c r="AK202" s="205"/>
      <c r="AL202" s="205"/>
      <c r="AM202" s="205"/>
    </row>
    <row r="203" spans="24:39" x14ac:dyDescent="0.3">
      <c r="X203" s="17"/>
      <c r="AI203" s="17"/>
      <c r="AJ203" s="205"/>
      <c r="AK203" s="205"/>
      <c r="AL203" s="205"/>
      <c r="AM203" s="205"/>
    </row>
    <row r="204" spans="24:39" x14ac:dyDescent="0.3">
      <c r="X204" s="17"/>
      <c r="AI204" s="17"/>
      <c r="AJ204" s="205"/>
      <c r="AK204" s="205"/>
      <c r="AL204" s="205"/>
      <c r="AM204" s="205"/>
    </row>
    <row r="205" spans="24:39" x14ac:dyDescent="0.3">
      <c r="X205" s="17"/>
      <c r="AI205" s="17"/>
      <c r="AJ205" s="205"/>
      <c r="AK205" s="205"/>
      <c r="AL205" s="205"/>
      <c r="AM205" s="205"/>
    </row>
    <row r="206" spans="24:39" x14ac:dyDescent="0.3">
      <c r="X206" s="17"/>
      <c r="AI206" s="17"/>
      <c r="AJ206" s="205"/>
      <c r="AK206" s="205"/>
      <c r="AL206" s="205"/>
      <c r="AM206" s="205"/>
    </row>
    <row r="207" spans="24:39" x14ac:dyDescent="0.3">
      <c r="X207" s="17"/>
      <c r="AI207" s="17"/>
      <c r="AJ207" s="205"/>
      <c r="AK207" s="205"/>
      <c r="AL207" s="205"/>
      <c r="AM207" s="205"/>
    </row>
    <row r="208" spans="24:39" x14ac:dyDescent="0.3">
      <c r="X208" s="17"/>
      <c r="AI208" s="17"/>
      <c r="AJ208" s="205"/>
      <c r="AK208" s="205"/>
      <c r="AL208" s="205"/>
      <c r="AM208" s="205"/>
    </row>
    <row r="209" spans="24:39" x14ac:dyDescent="0.3">
      <c r="X209" s="17"/>
      <c r="AI209" s="17"/>
      <c r="AJ209" s="205"/>
      <c r="AK209" s="205"/>
      <c r="AL209" s="205"/>
      <c r="AM209" s="205"/>
    </row>
    <row r="210" spans="24:39" x14ac:dyDescent="0.3">
      <c r="X210" s="17"/>
      <c r="AI210" s="17"/>
      <c r="AJ210" s="205"/>
      <c r="AK210" s="205"/>
      <c r="AL210" s="205"/>
      <c r="AM210" s="205"/>
    </row>
    <row r="211" spans="24:39" x14ac:dyDescent="0.3">
      <c r="X211" s="17"/>
      <c r="AI211" s="17"/>
      <c r="AJ211" s="205"/>
      <c r="AK211" s="205"/>
      <c r="AL211" s="205"/>
      <c r="AM211" s="205"/>
    </row>
    <row r="212" spans="24:39" x14ac:dyDescent="0.3">
      <c r="X212" s="17"/>
      <c r="AI212" s="17"/>
      <c r="AJ212" s="205"/>
      <c r="AK212" s="205"/>
      <c r="AL212" s="205"/>
      <c r="AM212" s="205"/>
    </row>
    <row r="213" spans="24:39" x14ac:dyDescent="0.3">
      <c r="X213" s="17"/>
      <c r="AI213" s="17"/>
      <c r="AJ213" s="205"/>
      <c r="AK213" s="205"/>
      <c r="AL213" s="205"/>
      <c r="AM213" s="205"/>
    </row>
    <row r="214" spans="24:39" x14ac:dyDescent="0.3">
      <c r="X214" s="17"/>
      <c r="AI214" s="17"/>
      <c r="AJ214" s="205"/>
      <c r="AK214" s="205"/>
      <c r="AL214" s="205"/>
      <c r="AM214" s="205"/>
    </row>
    <row r="215" spans="24:39" x14ac:dyDescent="0.3">
      <c r="X215" s="17"/>
      <c r="AI215" s="17"/>
      <c r="AJ215" s="205"/>
      <c r="AK215" s="205"/>
      <c r="AL215" s="205"/>
      <c r="AM215" s="205"/>
    </row>
    <row r="216" spans="24:39" x14ac:dyDescent="0.3">
      <c r="X216" s="17"/>
      <c r="AI216" s="17"/>
      <c r="AJ216" s="205"/>
      <c r="AK216" s="205"/>
      <c r="AL216" s="205"/>
      <c r="AM216" s="205"/>
    </row>
    <row r="217" spans="24:39" x14ac:dyDescent="0.3">
      <c r="X217" s="17"/>
      <c r="AI217" s="17"/>
      <c r="AJ217" s="205"/>
      <c r="AK217" s="205"/>
      <c r="AL217" s="205"/>
      <c r="AM217" s="205"/>
    </row>
    <row r="218" spans="24:39" x14ac:dyDescent="0.3">
      <c r="X218" s="17"/>
      <c r="AI218" s="17"/>
      <c r="AJ218" s="205"/>
      <c r="AK218" s="205"/>
      <c r="AL218" s="205"/>
      <c r="AM218" s="205"/>
    </row>
    <row r="219" spans="24:39" x14ac:dyDescent="0.3">
      <c r="X219" s="17"/>
      <c r="AI219" s="17"/>
      <c r="AJ219" s="205"/>
      <c r="AK219" s="205"/>
      <c r="AL219" s="205"/>
      <c r="AM219" s="205"/>
    </row>
    <row r="220" spans="24:39" x14ac:dyDescent="0.3">
      <c r="X220" s="17"/>
      <c r="AI220" s="17"/>
      <c r="AJ220" s="205"/>
      <c r="AK220" s="205"/>
      <c r="AL220" s="205"/>
      <c r="AM220" s="205"/>
    </row>
    <row r="221" spans="24:39" x14ac:dyDescent="0.3">
      <c r="X221" s="17"/>
      <c r="AI221" s="17"/>
      <c r="AJ221" s="205"/>
      <c r="AK221" s="205"/>
      <c r="AL221" s="205"/>
      <c r="AM221" s="205"/>
    </row>
    <row r="222" spans="24:39" x14ac:dyDescent="0.3">
      <c r="X222" s="17"/>
      <c r="AI222" s="17"/>
      <c r="AJ222" s="205"/>
      <c r="AK222" s="205"/>
      <c r="AL222" s="205"/>
      <c r="AM222" s="205"/>
    </row>
    <row r="223" spans="24:39" x14ac:dyDescent="0.3">
      <c r="X223" s="17"/>
      <c r="AI223" s="17"/>
      <c r="AJ223" s="205"/>
      <c r="AK223" s="205"/>
      <c r="AL223" s="205"/>
      <c r="AM223" s="205"/>
    </row>
    <row r="224" spans="24:39" x14ac:dyDescent="0.3">
      <c r="X224" s="17"/>
      <c r="AI224" s="17"/>
      <c r="AJ224" s="205"/>
      <c r="AK224" s="205"/>
      <c r="AL224" s="205"/>
      <c r="AM224" s="205"/>
    </row>
    <row r="225" spans="24:39" x14ac:dyDescent="0.3">
      <c r="X225" s="17"/>
      <c r="AI225" s="17"/>
      <c r="AJ225" s="205"/>
      <c r="AK225" s="205"/>
      <c r="AL225" s="205"/>
      <c r="AM225" s="205"/>
    </row>
    <row r="226" spans="24:39" x14ac:dyDescent="0.3">
      <c r="X226" s="17"/>
      <c r="AI226" s="17"/>
      <c r="AJ226" s="205"/>
      <c r="AK226" s="205"/>
      <c r="AL226" s="205"/>
      <c r="AM226" s="205"/>
    </row>
    <row r="227" spans="24:39" x14ac:dyDescent="0.3">
      <c r="X227" s="17"/>
      <c r="AI227" s="17"/>
      <c r="AJ227" s="205"/>
      <c r="AK227" s="205"/>
      <c r="AL227" s="205"/>
      <c r="AM227" s="205"/>
    </row>
    <row r="228" spans="24:39" x14ac:dyDescent="0.3">
      <c r="X228" s="17"/>
      <c r="AI228" s="17"/>
      <c r="AJ228" s="205"/>
      <c r="AK228" s="205"/>
      <c r="AL228" s="205"/>
      <c r="AM228" s="205"/>
    </row>
    <row r="229" spans="24:39" x14ac:dyDescent="0.3">
      <c r="X229" s="17"/>
      <c r="AI229" s="17"/>
      <c r="AJ229" s="205"/>
      <c r="AK229" s="205"/>
      <c r="AL229" s="205"/>
      <c r="AM229" s="205"/>
    </row>
    <row r="230" spans="24:39" x14ac:dyDescent="0.3">
      <c r="X230" s="17"/>
      <c r="AI230" s="17"/>
      <c r="AJ230" s="205"/>
      <c r="AK230" s="205"/>
      <c r="AL230" s="205"/>
      <c r="AM230" s="205"/>
    </row>
    <row r="231" spans="24:39" x14ac:dyDescent="0.3">
      <c r="X231" s="17"/>
      <c r="AI231" s="17"/>
      <c r="AJ231" s="205"/>
      <c r="AK231" s="205"/>
      <c r="AL231" s="205"/>
      <c r="AM231" s="205"/>
    </row>
    <row r="232" spans="24:39" x14ac:dyDescent="0.3">
      <c r="X232" s="17"/>
      <c r="AI232" s="17"/>
      <c r="AJ232" s="205"/>
      <c r="AK232" s="205"/>
      <c r="AL232" s="205"/>
      <c r="AM232" s="205"/>
    </row>
    <row r="233" spans="24:39" x14ac:dyDescent="0.3">
      <c r="X233" s="17"/>
      <c r="AI233" s="17"/>
      <c r="AJ233" s="205"/>
      <c r="AK233" s="205"/>
      <c r="AL233" s="205"/>
      <c r="AM233" s="205"/>
    </row>
    <row r="234" spans="24:39" x14ac:dyDescent="0.3">
      <c r="X234" s="17"/>
      <c r="AI234" s="17"/>
      <c r="AJ234" s="205"/>
      <c r="AK234" s="205"/>
      <c r="AL234" s="205"/>
      <c r="AM234" s="205"/>
    </row>
    <row r="235" spans="24:39" x14ac:dyDescent="0.3">
      <c r="X235" s="17"/>
      <c r="AI235" s="17"/>
      <c r="AJ235" s="205"/>
      <c r="AK235" s="205"/>
      <c r="AL235" s="205"/>
      <c r="AM235" s="205"/>
    </row>
    <row r="236" spans="24:39" x14ac:dyDescent="0.3">
      <c r="X236" s="17"/>
      <c r="AI236" s="17"/>
      <c r="AJ236" s="205"/>
      <c r="AK236" s="205"/>
      <c r="AL236" s="205"/>
      <c r="AM236" s="205"/>
    </row>
    <row r="237" spans="24:39" x14ac:dyDescent="0.3">
      <c r="X237" s="17"/>
      <c r="AI237" s="17"/>
      <c r="AJ237" s="205"/>
      <c r="AK237" s="205"/>
      <c r="AL237" s="205"/>
      <c r="AM237" s="205"/>
    </row>
    <row r="238" spans="24:39" x14ac:dyDescent="0.3">
      <c r="X238" s="17"/>
      <c r="AI238" s="17"/>
      <c r="AJ238" s="205"/>
      <c r="AK238" s="205"/>
      <c r="AL238" s="205"/>
      <c r="AM238" s="205"/>
    </row>
    <row r="239" spans="24:39" x14ac:dyDescent="0.3">
      <c r="X239" s="17"/>
      <c r="AI239" s="17"/>
      <c r="AJ239" s="205"/>
      <c r="AK239" s="205"/>
      <c r="AL239" s="205"/>
      <c r="AM239" s="205"/>
    </row>
    <row r="240" spans="24:39" x14ac:dyDescent="0.3">
      <c r="X240" s="17"/>
      <c r="AI240" s="17"/>
      <c r="AJ240" s="205"/>
      <c r="AK240" s="205"/>
      <c r="AL240" s="205"/>
      <c r="AM240" s="205"/>
    </row>
    <row r="241" spans="24:39" x14ac:dyDescent="0.3">
      <c r="X241" s="17"/>
      <c r="AI241" s="17"/>
      <c r="AJ241" s="205"/>
      <c r="AK241" s="205"/>
      <c r="AL241" s="205"/>
      <c r="AM241" s="205"/>
    </row>
    <row r="242" spans="24:39" x14ac:dyDescent="0.3">
      <c r="X242" s="17"/>
      <c r="AI242" s="17"/>
      <c r="AJ242" s="205"/>
      <c r="AK242" s="205"/>
      <c r="AL242" s="205"/>
      <c r="AM242" s="205"/>
    </row>
    <row r="243" spans="24:39" x14ac:dyDescent="0.3">
      <c r="X243" s="17"/>
      <c r="AI243" s="17"/>
      <c r="AJ243" s="205"/>
      <c r="AK243" s="205"/>
      <c r="AL243" s="205"/>
      <c r="AM243" s="205"/>
    </row>
    <row r="244" spans="24:39" x14ac:dyDescent="0.3">
      <c r="X244" s="17"/>
      <c r="AI244" s="17"/>
      <c r="AJ244" s="205"/>
      <c r="AK244" s="205"/>
      <c r="AL244" s="205"/>
      <c r="AM244" s="205"/>
    </row>
    <row r="245" spans="24:39" x14ac:dyDescent="0.3">
      <c r="X245" s="17"/>
      <c r="AI245" s="17"/>
      <c r="AJ245" s="205"/>
      <c r="AK245" s="205"/>
      <c r="AL245" s="205"/>
      <c r="AM245" s="205"/>
    </row>
    <row r="246" spans="24:39" x14ac:dyDescent="0.3">
      <c r="X246" s="17"/>
      <c r="AI246" s="17"/>
      <c r="AJ246" s="205"/>
      <c r="AK246" s="205"/>
      <c r="AL246" s="205"/>
      <c r="AM246" s="205"/>
    </row>
    <row r="247" spans="24:39" x14ac:dyDescent="0.3">
      <c r="X247" s="17"/>
      <c r="AI247" s="17"/>
      <c r="AJ247" s="205"/>
      <c r="AK247" s="205"/>
      <c r="AL247" s="205"/>
      <c r="AM247" s="205"/>
    </row>
    <row r="248" spans="24:39" x14ac:dyDescent="0.3">
      <c r="X248" s="17"/>
      <c r="AI248" s="17"/>
      <c r="AJ248" s="205"/>
      <c r="AK248" s="205"/>
      <c r="AL248" s="205"/>
      <c r="AM248" s="205"/>
    </row>
    <row r="249" spans="24:39" x14ac:dyDescent="0.3">
      <c r="X249" s="17"/>
      <c r="AI249" s="17"/>
      <c r="AJ249" s="205"/>
      <c r="AK249" s="205"/>
      <c r="AL249" s="205"/>
      <c r="AM249" s="205"/>
    </row>
    <row r="250" spans="24:39" x14ac:dyDescent="0.3">
      <c r="X250" s="17"/>
      <c r="AI250" s="17"/>
      <c r="AJ250" s="205"/>
      <c r="AK250" s="205"/>
      <c r="AL250" s="205"/>
      <c r="AM250" s="205"/>
    </row>
    <row r="251" spans="24:39" x14ac:dyDescent="0.3">
      <c r="X251" s="17"/>
      <c r="AI251" s="17"/>
      <c r="AJ251" s="205"/>
      <c r="AK251" s="205"/>
      <c r="AL251" s="205"/>
      <c r="AM251" s="205"/>
    </row>
    <row r="252" spans="24:39" x14ac:dyDescent="0.3">
      <c r="X252" s="17"/>
      <c r="AI252" s="17"/>
      <c r="AJ252" s="205"/>
      <c r="AK252" s="205"/>
      <c r="AL252" s="205"/>
      <c r="AM252" s="205"/>
    </row>
    <row r="253" spans="24:39" x14ac:dyDescent="0.3">
      <c r="X253" s="17"/>
      <c r="AI253" s="17"/>
      <c r="AJ253" s="205"/>
      <c r="AK253" s="205"/>
      <c r="AL253" s="205"/>
      <c r="AM253" s="205"/>
    </row>
    <row r="254" spans="24:39" x14ac:dyDescent="0.3">
      <c r="X254" s="17"/>
      <c r="AI254" s="17"/>
      <c r="AJ254" s="205"/>
      <c r="AK254" s="205"/>
      <c r="AL254" s="205"/>
      <c r="AM254" s="205"/>
    </row>
    <row r="255" spans="24:39" x14ac:dyDescent="0.3">
      <c r="X255" s="17"/>
      <c r="AI255" s="17"/>
      <c r="AJ255" s="205"/>
      <c r="AK255" s="205"/>
      <c r="AL255" s="205"/>
      <c r="AM255" s="205"/>
    </row>
    <row r="256" spans="24:39" x14ac:dyDescent="0.3">
      <c r="X256" s="17"/>
      <c r="AI256" s="17"/>
      <c r="AJ256" s="205"/>
      <c r="AK256" s="205"/>
      <c r="AL256" s="205"/>
      <c r="AM256" s="205"/>
    </row>
    <row r="257" spans="24:39" x14ac:dyDescent="0.3">
      <c r="X257" s="17"/>
      <c r="AI257" s="17"/>
      <c r="AJ257" s="205"/>
      <c r="AK257" s="205"/>
      <c r="AL257" s="205"/>
      <c r="AM257" s="205"/>
    </row>
    <row r="258" spans="24:39" x14ac:dyDescent="0.3">
      <c r="X258" s="17"/>
      <c r="AI258" s="17"/>
      <c r="AJ258" s="205"/>
      <c r="AK258" s="205"/>
      <c r="AL258" s="205"/>
      <c r="AM258" s="205"/>
    </row>
    <row r="259" spans="24:39" x14ac:dyDescent="0.3">
      <c r="X259" s="17"/>
      <c r="AI259" s="17"/>
      <c r="AJ259" s="205"/>
      <c r="AK259" s="205"/>
      <c r="AL259" s="205"/>
      <c r="AM259" s="205"/>
    </row>
    <row r="260" spans="24:39" x14ac:dyDescent="0.3">
      <c r="X260" s="17"/>
      <c r="AI260" s="17"/>
      <c r="AJ260" s="205"/>
      <c r="AK260" s="205"/>
      <c r="AL260" s="205"/>
      <c r="AM260" s="205"/>
    </row>
    <row r="261" spans="24:39" x14ac:dyDescent="0.3">
      <c r="X261" s="17"/>
      <c r="AI261" s="17"/>
      <c r="AJ261" s="205"/>
      <c r="AK261" s="205"/>
      <c r="AL261" s="205"/>
      <c r="AM261" s="205"/>
    </row>
    <row r="262" spans="24:39" x14ac:dyDescent="0.3">
      <c r="X262" s="17"/>
      <c r="AI262" s="17"/>
      <c r="AJ262" s="205"/>
      <c r="AK262" s="205"/>
      <c r="AL262" s="205"/>
      <c r="AM262" s="205"/>
    </row>
    <row r="263" spans="24:39" x14ac:dyDescent="0.3">
      <c r="X263" s="17"/>
      <c r="AI263" s="17"/>
      <c r="AJ263" s="205"/>
      <c r="AK263" s="205"/>
      <c r="AL263" s="205"/>
      <c r="AM263" s="205"/>
    </row>
    <row r="264" spans="24:39" x14ac:dyDescent="0.3">
      <c r="X264" s="17"/>
      <c r="AI264" s="17"/>
      <c r="AJ264" s="205"/>
      <c r="AK264" s="205"/>
      <c r="AL264" s="205"/>
      <c r="AM264" s="205"/>
    </row>
    <row r="265" spans="24:39" x14ac:dyDescent="0.3">
      <c r="X265" s="17"/>
      <c r="AI265" s="17"/>
      <c r="AJ265" s="205"/>
      <c r="AK265" s="205"/>
      <c r="AL265" s="205"/>
      <c r="AM265" s="205"/>
    </row>
    <row r="266" spans="24:39" x14ac:dyDescent="0.3">
      <c r="X266" s="17"/>
      <c r="AI266" s="17"/>
      <c r="AJ266" s="205"/>
      <c r="AK266" s="205"/>
      <c r="AL266" s="205"/>
      <c r="AM266" s="205"/>
    </row>
    <row r="267" spans="24:39" x14ac:dyDescent="0.3">
      <c r="X267" s="17"/>
      <c r="AI267" s="17"/>
      <c r="AJ267" s="205"/>
      <c r="AK267" s="205"/>
      <c r="AL267" s="205"/>
      <c r="AM267" s="205"/>
    </row>
    <row r="268" spans="24:39" x14ac:dyDescent="0.3">
      <c r="X268" s="17"/>
      <c r="AI268" s="17"/>
      <c r="AJ268" s="205"/>
      <c r="AK268" s="205"/>
      <c r="AL268" s="205"/>
      <c r="AM268" s="205"/>
    </row>
    <row r="269" spans="24:39" x14ac:dyDescent="0.3">
      <c r="X269" s="17"/>
      <c r="AI269" s="17"/>
      <c r="AJ269" s="205"/>
      <c r="AK269" s="205"/>
      <c r="AL269" s="205"/>
      <c r="AM269" s="205"/>
    </row>
    <row r="270" spans="24:39" x14ac:dyDescent="0.3">
      <c r="X270" s="17"/>
      <c r="AI270" s="17"/>
      <c r="AJ270" s="205"/>
      <c r="AK270" s="205"/>
      <c r="AL270" s="205"/>
      <c r="AM270" s="205"/>
    </row>
    <row r="271" spans="24:39" x14ac:dyDescent="0.3">
      <c r="X271" s="17"/>
      <c r="AI271" s="17"/>
      <c r="AJ271" s="205"/>
      <c r="AK271" s="205"/>
      <c r="AL271" s="205"/>
      <c r="AM271" s="205"/>
    </row>
    <row r="272" spans="24:39" x14ac:dyDescent="0.3">
      <c r="X272" s="17"/>
      <c r="AI272" s="17"/>
      <c r="AJ272" s="205"/>
      <c r="AK272" s="205"/>
      <c r="AL272" s="205"/>
      <c r="AM272" s="205"/>
    </row>
    <row r="273" spans="24:39" x14ac:dyDescent="0.3">
      <c r="X273" s="17"/>
      <c r="AI273" s="17"/>
      <c r="AJ273" s="205"/>
      <c r="AK273" s="205"/>
      <c r="AL273" s="205"/>
      <c r="AM273" s="205"/>
    </row>
    <row r="274" spans="24:39" x14ac:dyDescent="0.3">
      <c r="X274" s="17"/>
      <c r="AI274" s="17"/>
      <c r="AJ274" s="205"/>
      <c r="AK274" s="205"/>
      <c r="AL274" s="205"/>
      <c r="AM274" s="205"/>
    </row>
    <row r="275" spans="24:39" x14ac:dyDescent="0.3">
      <c r="X275" s="17"/>
      <c r="AI275" s="17"/>
      <c r="AJ275" s="205"/>
      <c r="AK275" s="205"/>
      <c r="AL275" s="205"/>
      <c r="AM275" s="205"/>
    </row>
    <row r="276" spans="24:39" x14ac:dyDescent="0.3">
      <c r="X276" s="17"/>
      <c r="AI276" s="17"/>
      <c r="AJ276" s="205"/>
      <c r="AK276" s="205"/>
      <c r="AL276" s="205"/>
      <c r="AM276" s="205"/>
    </row>
    <row r="277" spans="24:39" x14ac:dyDescent="0.3">
      <c r="X277" s="17"/>
      <c r="AI277" s="17"/>
      <c r="AJ277" s="205"/>
      <c r="AK277" s="205"/>
      <c r="AL277" s="205"/>
      <c r="AM277" s="205"/>
    </row>
    <row r="278" spans="24:39" x14ac:dyDescent="0.3">
      <c r="X278" s="17"/>
      <c r="AI278" s="17"/>
      <c r="AJ278" s="205"/>
      <c r="AK278" s="205"/>
      <c r="AL278" s="205"/>
      <c r="AM278" s="205"/>
    </row>
    <row r="279" spans="24:39" x14ac:dyDescent="0.3">
      <c r="X279" s="17"/>
      <c r="AI279" s="17"/>
      <c r="AJ279" s="205"/>
      <c r="AK279" s="205"/>
      <c r="AL279" s="205"/>
      <c r="AM279" s="205"/>
    </row>
    <row r="280" spans="24:39" x14ac:dyDescent="0.3">
      <c r="X280" s="17"/>
      <c r="AI280" s="17"/>
      <c r="AJ280" s="205"/>
      <c r="AK280" s="205"/>
      <c r="AL280" s="205"/>
      <c r="AM280" s="205"/>
    </row>
    <row r="281" spans="24:39" x14ac:dyDescent="0.3">
      <c r="X281" s="17"/>
      <c r="AI281" s="17"/>
      <c r="AJ281" s="205"/>
      <c r="AK281" s="205"/>
      <c r="AL281" s="205"/>
      <c r="AM281" s="205"/>
    </row>
    <row r="282" spans="24:39" x14ac:dyDescent="0.3">
      <c r="X282" s="17"/>
      <c r="AI282" s="17"/>
      <c r="AJ282" s="205"/>
      <c r="AK282" s="205"/>
      <c r="AL282" s="205"/>
      <c r="AM282" s="205"/>
    </row>
    <row r="283" spans="24:39" x14ac:dyDescent="0.3">
      <c r="X283" s="17"/>
      <c r="AI283" s="17"/>
      <c r="AJ283" s="205"/>
      <c r="AK283" s="205"/>
      <c r="AL283" s="205"/>
      <c r="AM283" s="205"/>
    </row>
    <row r="284" spans="24:39" x14ac:dyDescent="0.3">
      <c r="X284" s="17"/>
      <c r="AI284" s="17"/>
      <c r="AJ284" s="205"/>
      <c r="AK284" s="205"/>
      <c r="AL284" s="205"/>
      <c r="AM284" s="205"/>
    </row>
    <row r="285" spans="24:39" x14ac:dyDescent="0.3">
      <c r="X285" s="17"/>
      <c r="AI285" s="17"/>
      <c r="AJ285" s="205"/>
      <c r="AK285" s="205"/>
      <c r="AL285" s="205"/>
      <c r="AM285" s="205"/>
    </row>
    <row r="286" spans="24:39" x14ac:dyDescent="0.3">
      <c r="X286" s="17"/>
      <c r="AI286" s="17"/>
      <c r="AJ286" s="205"/>
      <c r="AK286" s="205"/>
      <c r="AL286" s="205"/>
      <c r="AM286" s="205"/>
    </row>
    <row r="287" spans="24:39" x14ac:dyDescent="0.3">
      <c r="X287" s="17"/>
      <c r="AI287" s="17"/>
      <c r="AJ287" s="205"/>
      <c r="AK287" s="205"/>
      <c r="AL287" s="205"/>
      <c r="AM287" s="205"/>
    </row>
    <row r="288" spans="24:39" x14ac:dyDescent="0.3">
      <c r="X288" s="17"/>
      <c r="AI288" s="17"/>
      <c r="AJ288" s="205"/>
      <c r="AK288" s="205"/>
      <c r="AL288" s="205"/>
      <c r="AM288" s="205"/>
    </row>
    <row r="289" spans="24:39" x14ac:dyDescent="0.3">
      <c r="X289" s="17"/>
      <c r="AI289" s="17"/>
      <c r="AJ289" s="205"/>
      <c r="AK289" s="205"/>
      <c r="AL289" s="205"/>
      <c r="AM289" s="205"/>
    </row>
    <row r="290" spans="24:39" x14ac:dyDescent="0.3">
      <c r="X290" s="17"/>
      <c r="AI290" s="17"/>
      <c r="AJ290" s="205"/>
      <c r="AK290" s="205"/>
      <c r="AL290" s="205"/>
      <c r="AM290" s="205"/>
    </row>
    <row r="291" spans="24:39" x14ac:dyDescent="0.3">
      <c r="X291" s="17"/>
      <c r="AI291" s="17"/>
      <c r="AJ291" s="205"/>
      <c r="AK291" s="205"/>
      <c r="AL291" s="205"/>
      <c r="AM291" s="205"/>
    </row>
    <row r="292" spans="24:39" x14ac:dyDescent="0.3">
      <c r="X292" s="17"/>
      <c r="AI292" s="17"/>
      <c r="AJ292" s="205"/>
      <c r="AK292" s="205"/>
      <c r="AL292" s="205"/>
      <c r="AM292" s="205"/>
    </row>
    <row r="293" spans="24:39" x14ac:dyDescent="0.3">
      <c r="X293" s="17"/>
      <c r="AI293" s="17"/>
      <c r="AJ293" s="205"/>
      <c r="AK293" s="205"/>
      <c r="AL293" s="205"/>
      <c r="AM293" s="205"/>
    </row>
    <row r="294" spans="24:39" x14ac:dyDescent="0.3">
      <c r="X294" s="17"/>
      <c r="AI294" s="17"/>
      <c r="AJ294" s="205"/>
      <c r="AK294" s="205"/>
      <c r="AL294" s="205"/>
      <c r="AM294" s="205"/>
    </row>
    <row r="295" spans="24:39" x14ac:dyDescent="0.3">
      <c r="X295" s="17"/>
      <c r="AI295" s="17"/>
      <c r="AJ295" s="205"/>
      <c r="AK295" s="205"/>
      <c r="AL295" s="205"/>
      <c r="AM295" s="205"/>
    </row>
    <row r="296" spans="24:39" x14ac:dyDescent="0.3">
      <c r="X296" s="17"/>
      <c r="AI296" s="17"/>
      <c r="AJ296" s="205"/>
      <c r="AK296" s="205"/>
      <c r="AL296" s="205"/>
      <c r="AM296" s="205"/>
    </row>
    <row r="297" spans="24:39" x14ac:dyDescent="0.3">
      <c r="X297" s="17"/>
      <c r="AI297" s="17"/>
      <c r="AJ297" s="205"/>
      <c r="AK297" s="205"/>
      <c r="AL297" s="205"/>
      <c r="AM297" s="205"/>
    </row>
    <row r="298" spans="24:39" x14ac:dyDescent="0.3">
      <c r="X298" s="17"/>
      <c r="AI298" s="17"/>
      <c r="AJ298" s="205"/>
      <c r="AK298" s="205"/>
      <c r="AL298" s="205"/>
      <c r="AM298" s="205"/>
    </row>
    <row r="299" spans="24:39" x14ac:dyDescent="0.3">
      <c r="X299" s="17"/>
      <c r="AI299" s="17"/>
      <c r="AJ299" s="205"/>
      <c r="AK299" s="205"/>
      <c r="AL299" s="205"/>
      <c r="AM299" s="205"/>
    </row>
    <row r="300" spans="24:39" x14ac:dyDescent="0.3">
      <c r="X300" s="17"/>
      <c r="AI300" s="17"/>
      <c r="AJ300" s="205"/>
      <c r="AK300" s="205"/>
      <c r="AL300" s="205"/>
      <c r="AM300" s="205"/>
    </row>
    <row r="301" spans="24:39" x14ac:dyDescent="0.3">
      <c r="X301" s="17"/>
      <c r="AI301" s="17"/>
      <c r="AJ301" s="205"/>
      <c r="AK301" s="205"/>
      <c r="AL301" s="205"/>
      <c r="AM301" s="205"/>
    </row>
    <row r="302" spans="24:39" x14ac:dyDescent="0.3">
      <c r="X302" s="17"/>
      <c r="AI302" s="17"/>
      <c r="AJ302" s="205"/>
      <c r="AK302" s="205"/>
      <c r="AL302" s="205"/>
      <c r="AM302" s="205"/>
    </row>
    <row r="303" spans="24:39" x14ac:dyDescent="0.3">
      <c r="X303" s="17"/>
      <c r="AI303" s="17"/>
      <c r="AJ303" s="205"/>
      <c r="AK303" s="205"/>
      <c r="AL303" s="205"/>
      <c r="AM303" s="205"/>
    </row>
    <row r="304" spans="24:39" x14ac:dyDescent="0.3">
      <c r="X304" s="17"/>
      <c r="AI304" s="17"/>
      <c r="AJ304" s="205"/>
      <c r="AK304" s="205"/>
      <c r="AL304" s="205"/>
      <c r="AM304" s="205"/>
    </row>
    <row r="305" spans="24:39" x14ac:dyDescent="0.3">
      <c r="X305" s="17"/>
      <c r="AI305" s="17"/>
      <c r="AJ305" s="205"/>
      <c r="AK305" s="205"/>
      <c r="AL305" s="205"/>
      <c r="AM305" s="205"/>
    </row>
    <row r="306" spans="24:39" x14ac:dyDescent="0.3">
      <c r="X306" s="17"/>
      <c r="AI306" s="17"/>
      <c r="AJ306" s="205"/>
      <c r="AK306" s="205"/>
      <c r="AL306" s="205"/>
      <c r="AM306" s="205"/>
    </row>
    <row r="307" spans="24:39" x14ac:dyDescent="0.3">
      <c r="X307" s="17"/>
      <c r="AI307" s="17"/>
      <c r="AJ307" s="205"/>
      <c r="AK307" s="205"/>
      <c r="AL307" s="205"/>
      <c r="AM307" s="205"/>
    </row>
    <row r="308" spans="24:39" x14ac:dyDescent="0.3">
      <c r="X308" s="17"/>
      <c r="AI308" s="17"/>
      <c r="AJ308" s="205"/>
      <c r="AK308" s="205"/>
      <c r="AL308" s="205"/>
      <c r="AM308" s="205"/>
    </row>
    <row r="309" spans="24:39" x14ac:dyDescent="0.3">
      <c r="X309" s="17"/>
      <c r="AI309" s="17"/>
      <c r="AJ309" s="205"/>
      <c r="AK309" s="205"/>
      <c r="AL309" s="205"/>
      <c r="AM309" s="205"/>
    </row>
    <row r="310" spans="24:39" x14ac:dyDescent="0.3">
      <c r="X310" s="17"/>
      <c r="AI310" s="17"/>
      <c r="AJ310" s="205"/>
      <c r="AK310" s="205"/>
      <c r="AL310" s="205"/>
      <c r="AM310" s="205"/>
    </row>
    <row r="311" spans="24:39" x14ac:dyDescent="0.3">
      <c r="X311" s="17"/>
      <c r="AI311" s="17"/>
      <c r="AJ311" s="205"/>
      <c r="AK311" s="205"/>
      <c r="AL311" s="205"/>
      <c r="AM311" s="205"/>
    </row>
    <row r="312" spans="24:39" x14ac:dyDescent="0.3">
      <c r="X312" s="17"/>
      <c r="AI312" s="17"/>
      <c r="AJ312" s="205"/>
      <c r="AK312" s="205"/>
      <c r="AL312" s="205"/>
      <c r="AM312" s="205"/>
    </row>
    <row r="313" spans="24:39" x14ac:dyDescent="0.3">
      <c r="X313" s="17"/>
      <c r="AI313" s="17"/>
      <c r="AJ313" s="205"/>
      <c r="AK313" s="205"/>
      <c r="AL313" s="205"/>
      <c r="AM313" s="205"/>
    </row>
    <row r="314" spans="24:39" x14ac:dyDescent="0.3">
      <c r="X314" s="17"/>
      <c r="AI314" s="17"/>
      <c r="AJ314" s="205"/>
      <c r="AK314" s="205"/>
      <c r="AL314" s="205"/>
      <c r="AM314" s="205"/>
    </row>
    <row r="315" spans="24:39" x14ac:dyDescent="0.3">
      <c r="X315" s="17"/>
      <c r="AI315" s="17"/>
      <c r="AJ315" s="205"/>
      <c r="AK315" s="205"/>
      <c r="AL315" s="205"/>
      <c r="AM315" s="205"/>
    </row>
    <row r="316" spans="24:39" x14ac:dyDescent="0.3">
      <c r="X316" s="17"/>
      <c r="AI316" s="17"/>
      <c r="AJ316" s="205"/>
      <c r="AK316" s="205"/>
      <c r="AL316" s="205"/>
      <c r="AM316" s="205"/>
    </row>
    <row r="317" spans="24:39" x14ac:dyDescent="0.3">
      <c r="X317" s="17"/>
      <c r="AI317" s="17"/>
      <c r="AJ317" s="205"/>
      <c r="AK317" s="205"/>
      <c r="AL317" s="205"/>
      <c r="AM317" s="205"/>
    </row>
    <row r="318" spans="24:39" x14ac:dyDescent="0.3">
      <c r="X318" s="17"/>
      <c r="AI318" s="17"/>
      <c r="AJ318" s="205"/>
      <c r="AK318" s="205"/>
      <c r="AL318" s="205"/>
      <c r="AM318" s="205"/>
    </row>
    <row r="319" spans="24:39" x14ac:dyDescent="0.3">
      <c r="X319" s="17"/>
      <c r="AI319" s="17"/>
      <c r="AJ319" s="205"/>
      <c r="AK319" s="205"/>
      <c r="AL319" s="205"/>
      <c r="AM319" s="205"/>
    </row>
    <row r="320" spans="24:39" x14ac:dyDescent="0.3">
      <c r="X320" s="17"/>
      <c r="AI320" s="17"/>
      <c r="AJ320" s="205"/>
      <c r="AK320" s="205"/>
      <c r="AL320" s="205"/>
      <c r="AM320" s="205"/>
    </row>
    <row r="321" spans="24:39" x14ac:dyDescent="0.3">
      <c r="X321" s="17"/>
      <c r="AI321" s="17"/>
      <c r="AJ321" s="205"/>
      <c r="AK321" s="205"/>
      <c r="AL321" s="205"/>
      <c r="AM321" s="205"/>
    </row>
    <row r="322" spans="24:39" x14ac:dyDescent="0.3">
      <c r="X322" s="17"/>
      <c r="AI322" s="17"/>
      <c r="AJ322" s="205"/>
      <c r="AK322" s="205"/>
      <c r="AL322" s="205"/>
      <c r="AM322" s="205"/>
    </row>
    <row r="323" spans="24:39" x14ac:dyDescent="0.3">
      <c r="X323" s="17"/>
      <c r="AI323" s="17"/>
      <c r="AJ323" s="205"/>
      <c r="AK323" s="205"/>
      <c r="AL323" s="205"/>
      <c r="AM323" s="205"/>
    </row>
    <row r="324" spans="24:39" x14ac:dyDescent="0.3">
      <c r="X324" s="17"/>
      <c r="AI324" s="17"/>
      <c r="AJ324" s="205"/>
      <c r="AK324" s="205"/>
      <c r="AL324" s="205"/>
      <c r="AM324" s="205"/>
    </row>
    <row r="325" spans="24:39" x14ac:dyDescent="0.3">
      <c r="X325" s="17"/>
      <c r="AI325" s="17"/>
      <c r="AJ325" s="205"/>
      <c r="AK325" s="205"/>
      <c r="AL325" s="205"/>
      <c r="AM325" s="205"/>
    </row>
    <row r="326" spans="24:39" x14ac:dyDescent="0.3">
      <c r="X326" s="17"/>
      <c r="AI326" s="17"/>
      <c r="AJ326" s="205"/>
      <c r="AK326" s="205"/>
      <c r="AL326" s="205"/>
      <c r="AM326" s="205"/>
    </row>
    <row r="327" spans="24:39" x14ac:dyDescent="0.3">
      <c r="X327" s="17"/>
      <c r="AI327" s="17"/>
      <c r="AJ327" s="205"/>
      <c r="AK327" s="205"/>
      <c r="AL327" s="205"/>
      <c r="AM327" s="205"/>
    </row>
    <row r="328" spans="24:39" x14ac:dyDescent="0.3">
      <c r="X328" s="17"/>
      <c r="AI328" s="17"/>
      <c r="AJ328" s="205"/>
      <c r="AK328" s="205"/>
      <c r="AL328" s="205"/>
      <c r="AM328" s="205"/>
    </row>
    <row r="329" spans="24:39" x14ac:dyDescent="0.3">
      <c r="X329" s="17"/>
      <c r="AI329" s="17"/>
      <c r="AJ329" s="205"/>
      <c r="AK329" s="205"/>
      <c r="AL329" s="205"/>
      <c r="AM329" s="205"/>
    </row>
    <row r="330" spans="24:39" x14ac:dyDescent="0.3">
      <c r="X330" s="17"/>
      <c r="AI330" s="17"/>
      <c r="AJ330" s="205"/>
      <c r="AK330" s="205"/>
      <c r="AL330" s="205"/>
      <c r="AM330" s="205"/>
    </row>
    <row r="331" spans="24:39" x14ac:dyDescent="0.3">
      <c r="X331" s="17"/>
      <c r="AI331" s="17"/>
      <c r="AJ331" s="205"/>
      <c r="AK331" s="205"/>
      <c r="AL331" s="205"/>
      <c r="AM331" s="205"/>
    </row>
    <row r="332" spans="24:39" x14ac:dyDescent="0.3">
      <c r="X332" s="17"/>
      <c r="AI332" s="17"/>
      <c r="AJ332" s="205"/>
      <c r="AK332" s="205"/>
      <c r="AL332" s="205"/>
      <c r="AM332" s="205"/>
    </row>
    <row r="333" spans="24:39" x14ac:dyDescent="0.3">
      <c r="X333" s="17"/>
      <c r="AI333" s="17"/>
      <c r="AJ333" s="205"/>
      <c r="AK333" s="205"/>
      <c r="AL333" s="205"/>
      <c r="AM333" s="205"/>
    </row>
    <row r="334" spans="24:39" x14ac:dyDescent="0.3">
      <c r="X334" s="17"/>
      <c r="AI334" s="17"/>
      <c r="AJ334" s="205"/>
      <c r="AK334" s="205"/>
      <c r="AL334" s="205"/>
      <c r="AM334" s="205"/>
    </row>
    <row r="335" spans="24:39" x14ac:dyDescent="0.3">
      <c r="X335" s="17"/>
      <c r="AI335" s="17"/>
      <c r="AJ335" s="205"/>
      <c r="AK335" s="205"/>
      <c r="AL335" s="205"/>
      <c r="AM335" s="205"/>
    </row>
    <row r="336" spans="24:39" x14ac:dyDescent="0.3">
      <c r="X336" s="17"/>
      <c r="AI336" s="17"/>
      <c r="AJ336" s="205"/>
      <c r="AK336" s="205"/>
      <c r="AL336" s="205"/>
      <c r="AM336" s="205"/>
    </row>
    <row r="337" spans="24:39" x14ac:dyDescent="0.3">
      <c r="X337" s="17"/>
      <c r="AI337" s="17"/>
      <c r="AJ337" s="205"/>
      <c r="AK337" s="205"/>
      <c r="AL337" s="205"/>
      <c r="AM337" s="205"/>
    </row>
    <row r="338" spans="24:39" x14ac:dyDescent="0.3">
      <c r="X338" s="17"/>
      <c r="AI338" s="17"/>
      <c r="AJ338" s="205"/>
      <c r="AK338" s="205"/>
      <c r="AL338" s="205"/>
      <c r="AM338" s="205"/>
    </row>
    <row r="339" spans="24:39" x14ac:dyDescent="0.3">
      <c r="X339" s="17"/>
      <c r="AI339" s="17"/>
      <c r="AJ339" s="205"/>
      <c r="AK339" s="205"/>
      <c r="AL339" s="205"/>
      <c r="AM339" s="205"/>
    </row>
    <row r="340" spans="24:39" x14ac:dyDescent="0.3">
      <c r="X340" s="17"/>
      <c r="AI340" s="17"/>
      <c r="AJ340" s="205"/>
      <c r="AK340" s="205"/>
      <c r="AL340" s="205"/>
      <c r="AM340" s="205"/>
    </row>
    <row r="341" spans="24:39" x14ac:dyDescent="0.3">
      <c r="X341" s="17"/>
      <c r="AI341" s="17"/>
      <c r="AJ341" s="205"/>
      <c r="AK341" s="205"/>
      <c r="AL341" s="205"/>
      <c r="AM341" s="205"/>
    </row>
    <row r="342" spans="24:39" x14ac:dyDescent="0.3">
      <c r="X342" s="17"/>
      <c r="AI342" s="17"/>
      <c r="AJ342" s="205"/>
      <c r="AK342" s="205"/>
      <c r="AL342" s="205"/>
      <c r="AM342" s="205"/>
    </row>
    <row r="343" spans="24:39" x14ac:dyDescent="0.3">
      <c r="X343" s="17"/>
      <c r="AI343" s="17"/>
      <c r="AJ343" s="205"/>
      <c r="AK343" s="205"/>
      <c r="AL343" s="205"/>
      <c r="AM343" s="205"/>
    </row>
    <row r="344" spans="24:39" x14ac:dyDescent="0.3">
      <c r="X344" s="17"/>
      <c r="AI344" s="17"/>
      <c r="AJ344" s="205"/>
      <c r="AK344" s="205"/>
      <c r="AL344" s="205"/>
      <c r="AM344" s="205"/>
    </row>
    <row r="345" spans="24:39" x14ac:dyDescent="0.3">
      <c r="X345" s="17"/>
      <c r="AI345" s="17"/>
      <c r="AJ345" s="205"/>
      <c r="AK345" s="205"/>
      <c r="AL345" s="205"/>
      <c r="AM345" s="205"/>
    </row>
    <row r="346" spans="24:39" x14ac:dyDescent="0.3">
      <c r="X346" s="17"/>
      <c r="AI346" s="17"/>
      <c r="AJ346" s="205"/>
      <c r="AK346" s="205"/>
      <c r="AL346" s="205"/>
      <c r="AM346" s="205"/>
    </row>
    <row r="347" spans="24:39" x14ac:dyDescent="0.3">
      <c r="X347" s="17"/>
      <c r="AI347" s="17"/>
      <c r="AJ347" s="205"/>
      <c r="AK347" s="205"/>
      <c r="AL347" s="205"/>
      <c r="AM347" s="205"/>
    </row>
    <row r="348" spans="24:39" x14ac:dyDescent="0.3">
      <c r="X348" s="17"/>
      <c r="AI348" s="17"/>
      <c r="AJ348" s="205"/>
      <c r="AK348" s="205"/>
      <c r="AL348" s="205"/>
      <c r="AM348" s="205"/>
    </row>
    <row r="349" spans="24:39" x14ac:dyDescent="0.3">
      <c r="X349" s="17"/>
      <c r="AI349" s="17"/>
      <c r="AJ349" s="205"/>
      <c r="AK349" s="205"/>
      <c r="AL349" s="205"/>
      <c r="AM349" s="205"/>
    </row>
    <row r="350" spans="24:39" x14ac:dyDescent="0.3">
      <c r="X350" s="17"/>
      <c r="AI350" s="17"/>
      <c r="AJ350" s="205"/>
      <c r="AK350" s="205"/>
      <c r="AL350" s="205"/>
      <c r="AM350" s="205"/>
    </row>
    <row r="351" spans="24:39" x14ac:dyDescent="0.3">
      <c r="X351" s="17"/>
      <c r="AI351" s="17"/>
      <c r="AJ351" s="205"/>
      <c r="AK351" s="205"/>
      <c r="AL351" s="205"/>
      <c r="AM351" s="205"/>
    </row>
    <row r="352" spans="24:39" x14ac:dyDescent="0.3">
      <c r="X352" s="17"/>
      <c r="AI352" s="17"/>
      <c r="AJ352" s="205"/>
      <c r="AK352" s="205"/>
      <c r="AL352" s="205"/>
      <c r="AM352" s="205"/>
    </row>
    <row r="353" spans="24:39" x14ac:dyDescent="0.3">
      <c r="X353" s="17"/>
      <c r="AI353" s="17"/>
      <c r="AJ353" s="205"/>
      <c r="AK353" s="205"/>
      <c r="AL353" s="205"/>
      <c r="AM353" s="205"/>
    </row>
    <row r="354" spans="24:39" x14ac:dyDescent="0.3">
      <c r="X354" s="17"/>
      <c r="AI354" s="17"/>
      <c r="AJ354" s="205"/>
      <c r="AK354" s="205"/>
      <c r="AL354" s="205"/>
      <c r="AM354" s="205"/>
    </row>
    <row r="355" spans="24:39" x14ac:dyDescent="0.3">
      <c r="X355" s="17"/>
      <c r="AI355" s="17"/>
      <c r="AJ355" s="205"/>
      <c r="AK355" s="205"/>
      <c r="AL355" s="205"/>
      <c r="AM355" s="205"/>
    </row>
    <row r="356" spans="24:39" x14ac:dyDescent="0.3">
      <c r="X356" s="17"/>
      <c r="AI356" s="17"/>
      <c r="AJ356" s="205"/>
      <c r="AK356" s="205"/>
      <c r="AL356" s="205"/>
      <c r="AM356" s="205"/>
    </row>
    <row r="357" spans="24:39" x14ac:dyDescent="0.3">
      <c r="X357" s="17"/>
      <c r="AI357" s="17"/>
      <c r="AJ357" s="205"/>
      <c r="AK357" s="205"/>
      <c r="AL357" s="205"/>
      <c r="AM357" s="205"/>
    </row>
    <row r="358" spans="24:39" x14ac:dyDescent="0.3">
      <c r="X358" s="17"/>
      <c r="AI358" s="17"/>
      <c r="AJ358" s="205"/>
      <c r="AK358" s="205"/>
      <c r="AL358" s="205"/>
      <c r="AM358" s="205"/>
    </row>
    <row r="359" spans="24:39" x14ac:dyDescent="0.3">
      <c r="X359" s="17"/>
      <c r="AI359" s="17"/>
      <c r="AJ359" s="205"/>
      <c r="AK359" s="205"/>
      <c r="AL359" s="205"/>
      <c r="AM359" s="205"/>
    </row>
    <row r="360" spans="24:39" x14ac:dyDescent="0.3">
      <c r="X360" s="17"/>
      <c r="AI360" s="17"/>
      <c r="AJ360" s="205"/>
      <c r="AK360" s="205"/>
      <c r="AL360" s="205"/>
      <c r="AM360" s="205"/>
    </row>
    <row r="361" spans="24:39" x14ac:dyDescent="0.3">
      <c r="X361" s="17"/>
      <c r="AI361" s="17"/>
      <c r="AJ361" s="205"/>
      <c r="AK361" s="205"/>
      <c r="AL361" s="205"/>
      <c r="AM361" s="205"/>
    </row>
    <row r="362" spans="24:39" x14ac:dyDescent="0.3">
      <c r="X362" s="17"/>
      <c r="AI362" s="17"/>
      <c r="AJ362" s="205"/>
      <c r="AK362" s="205"/>
      <c r="AL362" s="205"/>
      <c r="AM362" s="205"/>
    </row>
    <row r="363" spans="24:39" x14ac:dyDescent="0.3">
      <c r="X363" s="17"/>
      <c r="AI363" s="17"/>
      <c r="AJ363" s="205"/>
      <c r="AK363" s="205"/>
      <c r="AL363" s="205"/>
      <c r="AM363" s="205"/>
    </row>
    <row r="364" spans="24:39" x14ac:dyDescent="0.3">
      <c r="X364" s="17"/>
      <c r="AI364" s="17"/>
      <c r="AJ364" s="205"/>
      <c r="AK364" s="205"/>
      <c r="AL364" s="205"/>
      <c r="AM364" s="205"/>
    </row>
    <row r="365" spans="24:39" x14ac:dyDescent="0.3">
      <c r="X365" s="17"/>
      <c r="AI365" s="17"/>
      <c r="AJ365" s="205"/>
      <c r="AK365" s="205"/>
      <c r="AL365" s="205"/>
      <c r="AM365" s="205"/>
    </row>
    <row r="366" spans="24:39" x14ac:dyDescent="0.3">
      <c r="X366" s="17"/>
      <c r="AI366" s="17"/>
      <c r="AJ366" s="205"/>
      <c r="AK366" s="205"/>
      <c r="AL366" s="205"/>
      <c r="AM366" s="205"/>
    </row>
    <row r="367" spans="24:39" x14ac:dyDescent="0.3">
      <c r="X367" s="17"/>
      <c r="AI367" s="17"/>
      <c r="AJ367" s="205"/>
      <c r="AK367" s="205"/>
      <c r="AL367" s="205"/>
      <c r="AM367" s="205"/>
    </row>
    <row r="368" spans="24:39" x14ac:dyDescent="0.3">
      <c r="X368" s="17"/>
      <c r="AI368" s="17"/>
      <c r="AJ368" s="205"/>
      <c r="AK368" s="205"/>
      <c r="AL368" s="205"/>
      <c r="AM368" s="205"/>
    </row>
    <row r="369" spans="24:39" x14ac:dyDescent="0.3">
      <c r="X369" s="17"/>
      <c r="AI369" s="17"/>
      <c r="AJ369" s="205"/>
      <c r="AK369" s="205"/>
      <c r="AL369" s="205"/>
      <c r="AM369" s="205"/>
    </row>
    <row r="370" spans="24:39" x14ac:dyDescent="0.3">
      <c r="X370" s="17"/>
      <c r="AI370" s="17"/>
      <c r="AJ370" s="205"/>
      <c r="AK370" s="205"/>
      <c r="AL370" s="205"/>
      <c r="AM370" s="205"/>
    </row>
    <row r="371" spans="24:39" x14ac:dyDescent="0.3">
      <c r="X371" s="17"/>
      <c r="AI371" s="17"/>
      <c r="AJ371" s="205"/>
      <c r="AK371" s="205"/>
      <c r="AL371" s="205"/>
      <c r="AM371" s="205"/>
    </row>
    <row r="372" spans="24:39" x14ac:dyDescent="0.3">
      <c r="X372" s="17"/>
      <c r="AI372" s="17"/>
      <c r="AJ372" s="205"/>
      <c r="AK372" s="205"/>
      <c r="AL372" s="205"/>
      <c r="AM372" s="205"/>
    </row>
    <row r="373" spans="24:39" x14ac:dyDescent="0.3">
      <c r="X373" s="17"/>
      <c r="AI373" s="17"/>
      <c r="AJ373" s="205"/>
      <c r="AK373" s="205"/>
      <c r="AL373" s="205"/>
      <c r="AM373" s="205"/>
    </row>
    <row r="374" spans="24:39" x14ac:dyDescent="0.3">
      <c r="X374" s="17"/>
      <c r="AI374" s="17"/>
      <c r="AJ374" s="205"/>
      <c r="AK374" s="205"/>
      <c r="AL374" s="205"/>
      <c r="AM374" s="205"/>
    </row>
    <row r="375" spans="24:39" x14ac:dyDescent="0.3">
      <c r="X375" s="17"/>
      <c r="AI375" s="17"/>
      <c r="AJ375" s="205"/>
      <c r="AK375" s="205"/>
      <c r="AL375" s="205"/>
      <c r="AM375" s="205"/>
    </row>
    <row r="376" spans="24:39" x14ac:dyDescent="0.3">
      <c r="X376" s="17"/>
      <c r="AI376" s="17"/>
      <c r="AJ376" s="205"/>
      <c r="AK376" s="205"/>
      <c r="AL376" s="205"/>
      <c r="AM376" s="205"/>
    </row>
    <row r="377" spans="24:39" x14ac:dyDescent="0.3">
      <c r="X377" s="17"/>
      <c r="AI377" s="17"/>
      <c r="AJ377" s="205"/>
      <c r="AK377" s="205"/>
      <c r="AL377" s="205"/>
      <c r="AM377" s="205"/>
    </row>
    <row r="378" spans="24:39" x14ac:dyDescent="0.3">
      <c r="X378" s="17"/>
      <c r="AI378" s="17"/>
      <c r="AJ378" s="205"/>
      <c r="AK378" s="205"/>
      <c r="AL378" s="205"/>
      <c r="AM378" s="205"/>
    </row>
    <row r="379" spans="24:39" x14ac:dyDescent="0.3">
      <c r="X379" s="17"/>
      <c r="AI379" s="17"/>
      <c r="AJ379" s="205"/>
      <c r="AK379" s="205"/>
      <c r="AL379" s="205"/>
      <c r="AM379" s="205"/>
    </row>
    <row r="380" spans="24:39" x14ac:dyDescent="0.3">
      <c r="X380" s="17"/>
      <c r="AI380" s="17"/>
      <c r="AJ380" s="205"/>
      <c r="AK380" s="205"/>
      <c r="AL380" s="205"/>
      <c r="AM380" s="205"/>
    </row>
    <row r="381" spans="24:39" x14ac:dyDescent="0.3">
      <c r="X381" s="17"/>
      <c r="AI381" s="17"/>
      <c r="AJ381" s="205"/>
      <c r="AK381" s="205"/>
      <c r="AL381" s="205"/>
      <c r="AM381" s="205"/>
    </row>
    <row r="382" spans="24:39" x14ac:dyDescent="0.3">
      <c r="X382" s="17"/>
      <c r="AI382" s="17"/>
      <c r="AJ382" s="205"/>
      <c r="AK382" s="205"/>
      <c r="AL382" s="205"/>
      <c r="AM382" s="205"/>
    </row>
    <row r="383" spans="24:39" x14ac:dyDescent="0.3">
      <c r="X383" s="17"/>
      <c r="AI383" s="17"/>
      <c r="AJ383" s="205"/>
      <c r="AK383" s="205"/>
      <c r="AL383" s="205"/>
      <c r="AM383" s="205"/>
    </row>
    <row r="384" spans="24:39" x14ac:dyDescent="0.3">
      <c r="X384" s="17"/>
      <c r="AI384" s="17"/>
      <c r="AJ384" s="205"/>
      <c r="AK384" s="205"/>
      <c r="AL384" s="205"/>
      <c r="AM384" s="205"/>
    </row>
    <row r="385" spans="24:39" x14ac:dyDescent="0.3">
      <c r="X385" s="17"/>
      <c r="AI385" s="17"/>
      <c r="AJ385" s="205"/>
      <c r="AK385" s="205"/>
      <c r="AL385" s="205"/>
      <c r="AM385" s="205"/>
    </row>
    <row r="386" spans="24:39" x14ac:dyDescent="0.3">
      <c r="X386" s="17"/>
      <c r="AI386" s="17"/>
      <c r="AJ386" s="205"/>
      <c r="AK386" s="205"/>
      <c r="AL386" s="205"/>
      <c r="AM386" s="205"/>
    </row>
    <row r="387" spans="24:39" x14ac:dyDescent="0.3">
      <c r="X387" s="17"/>
      <c r="AI387" s="17"/>
      <c r="AJ387" s="205"/>
      <c r="AK387" s="205"/>
      <c r="AL387" s="205"/>
      <c r="AM387" s="205"/>
    </row>
    <row r="388" spans="24:39" x14ac:dyDescent="0.3">
      <c r="X388" s="17"/>
      <c r="AI388" s="17"/>
      <c r="AJ388" s="205"/>
      <c r="AK388" s="205"/>
      <c r="AL388" s="205"/>
      <c r="AM388" s="205"/>
    </row>
    <row r="389" spans="24:39" x14ac:dyDescent="0.3">
      <c r="X389" s="17"/>
      <c r="AI389" s="17"/>
      <c r="AJ389" s="205"/>
      <c r="AK389" s="205"/>
      <c r="AL389" s="205"/>
      <c r="AM389" s="205"/>
    </row>
    <row r="390" spans="24:39" x14ac:dyDescent="0.3">
      <c r="X390" s="17"/>
      <c r="AI390" s="17"/>
      <c r="AJ390" s="205"/>
      <c r="AK390" s="205"/>
      <c r="AL390" s="205"/>
      <c r="AM390" s="205"/>
    </row>
    <row r="391" spans="24:39" x14ac:dyDescent="0.3">
      <c r="X391" s="17"/>
      <c r="AI391" s="17"/>
      <c r="AJ391" s="205"/>
      <c r="AK391" s="205"/>
      <c r="AL391" s="205"/>
      <c r="AM391" s="205"/>
    </row>
    <row r="392" spans="24:39" x14ac:dyDescent="0.3">
      <c r="X392" s="17"/>
      <c r="AI392" s="17"/>
      <c r="AJ392" s="205"/>
      <c r="AK392" s="205"/>
      <c r="AL392" s="205"/>
      <c r="AM392" s="205"/>
    </row>
    <row r="393" spans="24:39" x14ac:dyDescent="0.3">
      <c r="X393" s="17"/>
      <c r="AI393" s="17"/>
      <c r="AJ393" s="205"/>
      <c r="AK393" s="205"/>
      <c r="AL393" s="205"/>
      <c r="AM393" s="205"/>
    </row>
    <row r="394" spans="24:39" x14ac:dyDescent="0.3">
      <c r="X394" s="17"/>
      <c r="AI394" s="17"/>
      <c r="AJ394" s="205"/>
      <c r="AK394" s="205"/>
      <c r="AL394" s="205"/>
      <c r="AM394" s="205"/>
    </row>
    <row r="395" spans="24:39" x14ac:dyDescent="0.3">
      <c r="X395" s="17"/>
      <c r="AI395" s="17"/>
      <c r="AJ395" s="205"/>
      <c r="AK395" s="205"/>
      <c r="AL395" s="205"/>
      <c r="AM395" s="205"/>
    </row>
    <row r="396" spans="24:39" x14ac:dyDescent="0.3">
      <c r="X396" s="17"/>
      <c r="AI396" s="17"/>
      <c r="AJ396" s="205"/>
      <c r="AK396" s="205"/>
      <c r="AL396" s="205"/>
      <c r="AM396" s="205"/>
    </row>
    <row r="397" spans="24:39" x14ac:dyDescent="0.3">
      <c r="X397" s="17"/>
      <c r="AI397" s="17"/>
      <c r="AJ397" s="205"/>
      <c r="AK397" s="205"/>
      <c r="AL397" s="205"/>
      <c r="AM397" s="205"/>
    </row>
    <row r="398" spans="24:39" x14ac:dyDescent="0.3">
      <c r="X398" s="17"/>
      <c r="AI398" s="17"/>
      <c r="AJ398" s="205"/>
      <c r="AK398" s="205"/>
      <c r="AL398" s="205"/>
      <c r="AM398" s="205"/>
    </row>
    <row r="399" spans="24:39" x14ac:dyDescent="0.3">
      <c r="X399" s="17"/>
      <c r="AI399" s="17"/>
      <c r="AJ399" s="205"/>
      <c r="AK399" s="205"/>
      <c r="AL399" s="205"/>
      <c r="AM399" s="205"/>
    </row>
    <row r="400" spans="24:39" x14ac:dyDescent="0.3">
      <c r="X400" s="17"/>
      <c r="AI400" s="17"/>
      <c r="AJ400" s="205"/>
      <c r="AK400" s="205"/>
      <c r="AL400" s="205"/>
      <c r="AM400" s="205"/>
    </row>
    <row r="401" spans="24:39" x14ac:dyDescent="0.3">
      <c r="X401" s="17"/>
      <c r="AI401" s="17"/>
      <c r="AJ401" s="205"/>
      <c r="AK401" s="205"/>
      <c r="AL401" s="205"/>
      <c r="AM401" s="205"/>
    </row>
    <row r="402" spans="24:39" x14ac:dyDescent="0.3">
      <c r="X402" s="17"/>
      <c r="AI402" s="17"/>
      <c r="AJ402" s="205"/>
      <c r="AK402" s="205"/>
      <c r="AL402" s="205"/>
      <c r="AM402" s="205"/>
    </row>
    <row r="403" spans="24:39" x14ac:dyDescent="0.3">
      <c r="X403" s="17"/>
      <c r="AI403" s="17"/>
      <c r="AJ403" s="205"/>
      <c r="AK403" s="205"/>
      <c r="AL403" s="205"/>
      <c r="AM403" s="205"/>
    </row>
    <row r="404" spans="24:39" x14ac:dyDescent="0.3">
      <c r="X404" s="17"/>
      <c r="AI404" s="17"/>
      <c r="AJ404" s="205"/>
      <c r="AK404" s="205"/>
      <c r="AL404" s="205"/>
      <c r="AM404" s="205"/>
    </row>
    <row r="405" spans="24:39" x14ac:dyDescent="0.3">
      <c r="X405" s="17"/>
      <c r="AI405" s="17"/>
      <c r="AJ405" s="205"/>
      <c r="AK405" s="205"/>
      <c r="AL405" s="205"/>
      <c r="AM405" s="205"/>
    </row>
    <row r="406" spans="24:39" x14ac:dyDescent="0.3">
      <c r="X406" s="17"/>
      <c r="AI406" s="17"/>
      <c r="AJ406" s="205"/>
      <c r="AK406" s="205"/>
      <c r="AL406" s="205"/>
      <c r="AM406" s="205"/>
    </row>
    <row r="407" spans="24:39" x14ac:dyDescent="0.3">
      <c r="X407" s="17"/>
      <c r="AI407" s="17"/>
      <c r="AJ407" s="205"/>
      <c r="AK407" s="205"/>
      <c r="AL407" s="205"/>
      <c r="AM407" s="205"/>
    </row>
    <row r="408" spans="24:39" x14ac:dyDescent="0.3">
      <c r="X408" s="17"/>
      <c r="AI408" s="17"/>
      <c r="AJ408" s="205"/>
      <c r="AK408" s="205"/>
      <c r="AL408" s="205"/>
      <c r="AM408" s="205"/>
    </row>
    <row r="409" spans="24:39" x14ac:dyDescent="0.3">
      <c r="X409" s="17"/>
      <c r="AI409" s="17"/>
      <c r="AJ409" s="205"/>
      <c r="AK409" s="205"/>
      <c r="AL409" s="205"/>
      <c r="AM409" s="205"/>
    </row>
    <row r="410" spans="24:39" x14ac:dyDescent="0.3">
      <c r="X410" s="17"/>
      <c r="AI410" s="17"/>
      <c r="AJ410" s="205"/>
      <c r="AK410" s="205"/>
      <c r="AL410" s="205"/>
      <c r="AM410" s="205"/>
    </row>
    <row r="411" spans="24:39" x14ac:dyDescent="0.3">
      <c r="X411" s="17"/>
      <c r="AI411" s="17"/>
      <c r="AJ411" s="205"/>
      <c r="AK411" s="205"/>
      <c r="AL411" s="205"/>
      <c r="AM411" s="205"/>
    </row>
    <row r="412" spans="24:39" x14ac:dyDescent="0.3">
      <c r="X412" s="17"/>
      <c r="AI412" s="17"/>
      <c r="AJ412" s="205"/>
      <c r="AK412" s="205"/>
      <c r="AL412" s="205"/>
      <c r="AM412" s="205"/>
    </row>
    <row r="413" spans="24:39" x14ac:dyDescent="0.3">
      <c r="X413" s="17"/>
      <c r="AI413" s="17"/>
      <c r="AJ413" s="205"/>
      <c r="AK413" s="205"/>
      <c r="AL413" s="205"/>
      <c r="AM413" s="205"/>
    </row>
    <row r="414" spans="24:39" x14ac:dyDescent="0.3">
      <c r="X414" s="17"/>
      <c r="AI414" s="17"/>
      <c r="AJ414" s="205"/>
      <c r="AK414" s="205"/>
      <c r="AL414" s="205"/>
      <c r="AM414" s="205"/>
    </row>
    <row r="415" spans="24:39" x14ac:dyDescent="0.3">
      <c r="X415" s="17"/>
      <c r="AI415" s="17"/>
      <c r="AJ415" s="205"/>
      <c r="AK415" s="205"/>
      <c r="AL415" s="205"/>
      <c r="AM415" s="205"/>
    </row>
    <row r="416" spans="24:39" x14ac:dyDescent="0.3">
      <c r="X416" s="17"/>
      <c r="AI416" s="17"/>
      <c r="AJ416" s="205"/>
      <c r="AK416" s="205"/>
      <c r="AL416" s="205"/>
      <c r="AM416" s="205"/>
    </row>
    <row r="417" spans="24:39" x14ac:dyDescent="0.3">
      <c r="X417" s="17"/>
      <c r="AI417" s="17"/>
      <c r="AJ417" s="205"/>
      <c r="AK417" s="205"/>
      <c r="AL417" s="205"/>
      <c r="AM417" s="205"/>
    </row>
    <row r="418" spans="24:39" x14ac:dyDescent="0.3">
      <c r="X418" s="17"/>
      <c r="AI418" s="17"/>
      <c r="AJ418" s="205"/>
      <c r="AK418" s="205"/>
      <c r="AL418" s="205"/>
      <c r="AM418" s="205"/>
    </row>
    <row r="419" spans="24:39" x14ac:dyDescent="0.3">
      <c r="X419" s="17"/>
      <c r="AI419" s="17"/>
      <c r="AJ419" s="205"/>
      <c r="AK419" s="205"/>
      <c r="AL419" s="205"/>
      <c r="AM419" s="205"/>
    </row>
    <row r="420" spans="24:39" x14ac:dyDescent="0.3">
      <c r="X420" s="17"/>
      <c r="AI420" s="17"/>
      <c r="AJ420" s="205"/>
      <c r="AK420" s="205"/>
      <c r="AL420" s="205"/>
      <c r="AM420" s="205"/>
    </row>
    <row r="421" spans="24:39" x14ac:dyDescent="0.3">
      <c r="X421" s="17"/>
      <c r="AI421" s="17"/>
      <c r="AJ421" s="205"/>
      <c r="AK421" s="205"/>
      <c r="AL421" s="205"/>
      <c r="AM421" s="205"/>
    </row>
    <row r="422" spans="24:39" x14ac:dyDescent="0.3">
      <c r="X422" s="17"/>
      <c r="AI422" s="17"/>
      <c r="AJ422" s="205"/>
      <c r="AK422" s="205"/>
      <c r="AL422" s="205"/>
      <c r="AM422" s="205"/>
    </row>
    <row r="423" spans="24:39" x14ac:dyDescent="0.3">
      <c r="X423" s="17"/>
      <c r="AI423" s="17"/>
      <c r="AJ423" s="205"/>
      <c r="AK423" s="205"/>
      <c r="AL423" s="205"/>
      <c r="AM423" s="205"/>
    </row>
    <row r="424" spans="24:39" x14ac:dyDescent="0.3">
      <c r="X424" s="17"/>
      <c r="AI424" s="17"/>
      <c r="AJ424" s="205"/>
      <c r="AK424" s="205"/>
      <c r="AL424" s="205"/>
      <c r="AM424" s="205"/>
    </row>
    <row r="425" spans="24:39" x14ac:dyDescent="0.3">
      <c r="X425" s="17"/>
      <c r="AI425" s="17"/>
      <c r="AJ425" s="205"/>
      <c r="AK425" s="205"/>
      <c r="AL425" s="205"/>
      <c r="AM425" s="205"/>
    </row>
    <row r="426" spans="24:39" x14ac:dyDescent="0.3">
      <c r="X426" s="17"/>
      <c r="AI426" s="17"/>
      <c r="AJ426" s="205"/>
      <c r="AK426" s="205"/>
      <c r="AL426" s="205"/>
      <c r="AM426" s="205"/>
    </row>
    <row r="427" spans="24:39" x14ac:dyDescent="0.3">
      <c r="X427" s="17"/>
      <c r="AI427" s="17"/>
      <c r="AJ427" s="205"/>
      <c r="AK427" s="205"/>
      <c r="AL427" s="205"/>
      <c r="AM427" s="205"/>
    </row>
    <row r="428" spans="24:39" x14ac:dyDescent="0.3">
      <c r="X428" s="17"/>
      <c r="AI428" s="17"/>
      <c r="AJ428" s="205"/>
      <c r="AK428" s="205"/>
      <c r="AL428" s="205"/>
      <c r="AM428" s="205"/>
    </row>
    <row r="429" spans="24:39" x14ac:dyDescent="0.3">
      <c r="X429" s="17"/>
      <c r="AI429" s="17"/>
      <c r="AJ429" s="205"/>
      <c r="AK429" s="205"/>
      <c r="AL429" s="205"/>
      <c r="AM429" s="205"/>
    </row>
    <row r="430" spans="24:39" x14ac:dyDescent="0.3">
      <c r="X430" s="17"/>
      <c r="AI430" s="17"/>
      <c r="AJ430" s="205"/>
      <c r="AK430" s="205"/>
      <c r="AL430" s="205"/>
      <c r="AM430" s="205"/>
    </row>
    <row r="431" spans="24:39" x14ac:dyDescent="0.3">
      <c r="X431" s="17"/>
      <c r="AI431" s="17"/>
      <c r="AJ431" s="205"/>
      <c r="AK431" s="205"/>
      <c r="AL431" s="205"/>
      <c r="AM431" s="205"/>
    </row>
    <row r="432" spans="24:39" x14ac:dyDescent="0.3">
      <c r="X432" s="17"/>
      <c r="AI432" s="17"/>
      <c r="AJ432" s="205"/>
      <c r="AK432" s="205"/>
      <c r="AL432" s="205"/>
      <c r="AM432" s="205"/>
    </row>
    <row r="433" spans="24:39" x14ac:dyDescent="0.3">
      <c r="X433" s="17"/>
      <c r="AI433" s="17"/>
      <c r="AJ433" s="205"/>
      <c r="AK433" s="205"/>
      <c r="AL433" s="205"/>
      <c r="AM433" s="205"/>
    </row>
    <row r="434" spans="24:39" x14ac:dyDescent="0.3">
      <c r="X434" s="17"/>
      <c r="AI434" s="17"/>
      <c r="AJ434" s="205"/>
      <c r="AK434" s="205"/>
      <c r="AL434" s="205"/>
      <c r="AM434" s="205"/>
    </row>
    <row r="435" spans="24:39" x14ac:dyDescent="0.3">
      <c r="X435" s="17"/>
      <c r="AI435" s="17"/>
      <c r="AJ435" s="205"/>
      <c r="AK435" s="205"/>
      <c r="AL435" s="205"/>
      <c r="AM435" s="205"/>
    </row>
    <row r="436" spans="24:39" x14ac:dyDescent="0.3">
      <c r="X436" s="17"/>
      <c r="AI436" s="17"/>
      <c r="AJ436" s="205"/>
      <c r="AK436" s="205"/>
      <c r="AL436" s="205"/>
      <c r="AM436" s="205"/>
    </row>
    <row r="437" spans="24:39" x14ac:dyDescent="0.3">
      <c r="X437" s="17"/>
      <c r="AI437" s="17"/>
      <c r="AJ437" s="205"/>
      <c r="AK437" s="205"/>
      <c r="AL437" s="205"/>
      <c r="AM437" s="205"/>
    </row>
    <row r="438" spans="24:39" x14ac:dyDescent="0.3">
      <c r="X438" s="17"/>
      <c r="AI438" s="17"/>
      <c r="AJ438" s="205"/>
      <c r="AK438" s="205"/>
      <c r="AL438" s="205"/>
      <c r="AM438" s="205"/>
    </row>
    <row r="439" spans="24:39" x14ac:dyDescent="0.3">
      <c r="X439" s="17"/>
      <c r="AI439" s="17"/>
      <c r="AJ439" s="205"/>
      <c r="AK439" s="205"/>
      <c r="AL439" s="205"/>
      <c r="AM439" s="205"/>
    </row>
    <row r="440" spans="24:39" x14ac:dyDescent="0.3">
      <c r="X440" s="17"/>
      <c r="AI440" s="17"/>
      <c r="AJ440" s="205"/>
      <c r="AK440" s="205"/>
      <c r="AL440" s="205"/>
      <c r="AM440" s="205"/>
    </row>
    <row r="441" spans="24:39" x14ac:dyDescent="0.3">
      <c r="X441" s="17"/>
      <c r="AI441" s="17"/>
      <c r="AJ441" s="205"/>
      <c r="AK441" s="205"/>
      <c r="AL441" s="205"/>
      <c r="AM441" s="205"/>
    </row>
    <row r="442" spans="24:39" x14ac:dyDescent="0.3">
      <c r="X442" s="17"/>
      <c r="AI442" s="17"/>
      <c r="AJ442" s="205"/>
      <c r="AK442" s="205"/>
      <c r="AL442" s="205"/>
      <c r="AM442" s="205"/>
    </row>
    <row r="443" spans="24:39" x14ac:dyDescent="0.3">
      <c r="X443" s="17"/>
      <c r="AI443" s="17"/>
      <c r="AJ443" s="205"/>
      <c r="AK443" s="205"/>
      <c r="AL443" s="205"/>
      <c r="AM443" s="205"/>
    </row>
    <row r="444" spans="24:39" x14ac:dyDescent="0.3">
      <c r="X444" s="17"/>
      <c r="AI444" s="17"/>
      <c r="AJ444" s="205"/>
      <c r="AK444" s="205"/>
      <c r="AL444" s="205"/>
      <c r="AM444" s="205"/>
    </row>
    <row r="445" spans="24:39" x14ac:dyDescent="0.3">
      <c r="X445" s="17"/>
      <c r="AI445" s="17"/>
      <c r="AJ445" s="205"/>
      <c r="AK445" s="205"/>
      <c r="AL445" s="205"/>
      <c r="AM445" s="205"/>
    </row>
    <row r="446" spans="24:39" x14ac:dyDescent="0.3">
      <c r="X446" s="17"/>
      <c r="AI446" s="17"/>
      <c r="AJ446" s="205"/>
      <c r="AK446" s="205"/>
      <c r="AL446" s="205"/>
      <c r="AM446" s="205"/>
    </row>
    <row r="447" spans="24:39" x14ac:dyDescent="0.3">
      <c r="X447" s="17"/>
      <c r="AI447" s="17"/>
      <c r="AJ447" s="205"/>
      <c r="AK447" s="205"/>
      <c r="AL447" s="205"/>
      <c r="AM447" s="205"/>
    </row>
    <row r="448" spans="24:39" x14ac:dyDescent="0.3">
      <c r="X448" s="17"/>
      <c r="AI448" s="17"/>
      <c r="AJ448" s="205"/>
      <c r="AK448" s="205"/>
      <c r="AL448" s="205"/>
      <c r="AM448" s="205"/>
    </row>
    <row r="449" spans="24:39" x14ac:dyDescent="0.3">
      <c r="X449" s="17"/>
      <c r="AI449" s="17"/>
      <c r="AJ449" s="205"/>
      <c r="AK449" s="205"/>
      <c r="AL449" s="205"/>
      <c r="AM449" s="205"/>
    </row>
    <row r="450" spans="24:39" x14ac:dyDescent="0.3">
      <c r="X450" s="17"/>
      <c r="AI450" s="17"/>
      <c r="AJ450" s="205"/>
      <c r="AK450" s="205"/>
      <c r="AL450" s="205"/>
      <c r="AM450" s="205"/>
    </row>
    <row r="451" spans="24:39" x14ac:dyDescent="0.3">
      <c r="X451" s="17"/>
      <c r="AI451" s="17"/>
      <c r="AJ451" s="205"/>
      <c r="AK451" s="205"/>
      <c r="AL451" s="205"/>
      <c r="AM451" s="205"/>
    </row>
    <row r="452" spans="24:39" x14ac:dyDescent="0.3">
      <c r="X452" s="17"/>
      <c r="AI452" s="17"/>
      <c r="AJ452" s="205"/>
      <c r="AK452" s="205"/>
      <c r="AL452" s="205"/>
      <c r="AM452" s="205"/>
    </row>
    <row r="453" spans="24:39" x14ac:dyDescent="0.3">
      <c r="X453" s="17"/>
      <c r="AI453" s="17"/>
      <c r="AJ453" s="205"/>
      <c r="AK453" s="205"/>
      <c r="AL453" s="205"/>
      <c r="AM453" s="205"/>
    </row>
    <row r="454" spans="24:39" x14ac:dyDescent="0.3">
      <c r="X454" s="17"/>
      <c r="AI454" s="17"/>
      <c r="AJ454" s="205"/>
      <c r="AK454" s="205"/>
      <c r="AL454" s="205"/>
      <c r="AM454" s="205"/>
    </row>
    <row r="455" spans="24:39" x14ac:dyDescent="0.3">
      <c r="X455" s="17"/>
      <c r="AI455" s="17"/>
      <c r="AJ455" s="205"/>
      <c r="AK455" s="205"/>
      <c r="AL455" s="205"/>
      <c r="AM455" s="205"/>
    </row>
    <row r="456" spans="24:39" x14ac:dyDescent="0.3">
      <c r="X456" s="17"/>
      <c r="AI456" s="17"/>
      <c r="AJ456" s="205"/>
      <c r="AK456" s="205"/>
      <c r="AL456" s="205"/>
      <c r="AM456" s="205"/>
    </row>
    <row r="457" spans="24:39" x14ac:dyDescent="0.3">
      <c r="X457" s="17"/>
      <c r="AI457" s="17"/>
      <c r="AJ457" s="205"/>
      <c r="AK457" s="205"/>
      <c r="AL457" s="205"/>
      <c r="AM457" s="205"/>
    </row>
    <row r="458" spans="24:39" x14ac:dyDescent="0.3">
      <c r="X458" s="17"/>
      <c r="AI458" s="17"/>
      <c r="AJ458" s="205"/>
      <c r="AK458" s="205"/>
      <c r="AL458" s="205"/>
      <c r="AM458" s="205"/>
    </row>
    <row r="459" spans="24:39" x14ac:dyDescent="0.3">
      <c r="X459" s="17"/>
      <c r="AI459" s="17"/>
      <c r="AJ459" s="205"/>
      <c r="AK459" s="205"/>
      <c r="AL459" s="205"/>
      <c r="AM459" s="205"/>
    </row>
    <row r="460" spans="24:39" x14ac:dyDescent="0.3">
      <c r="X460" s="17"/>
      <c r="AI460" s="17"/>
      <c r="AJ460" s="205"/>
      <c r="AK460" s="205"/>
      <c r="AL460" s="205"/>
      <c r="AM460" s="205"/>
    </row>
    <row r="461" spans="24:39" x14ac:dyDescent="0.3">
      <c r="X461" s="17"/>
      <c r="AI461" s="17"/>
      <c r="AJ461" s="205"/>
      <c r="AK461" s="205"/>
      <c r="AL461" s="205"/>
      <c r="AM461" s="205"/>
    </row>
    <row r="462" spans="24:39" x14ac:dyDescent="0.3">
      <c r="X462" s="17"/>
      <c r="AI462" s="17"/>
      <c r="AJ462" s="205"/>
      <c r="AK462" s="205"/>
      <c r="AL462" s="205"/>
      <c r="AM462" s="205"/>
    </row>
    <row r="463" spans="24:39" x14ac:dyDescent="0.3">
      <c r="X463" s="17"/>
      <c r="AI463" s="17"/>
      <c r="AJ463" s="205"/>
      <c r="AK463" s="205"/>
      <c r="AL463" s="205"/>
      <c r="AM463" s="205"/>
    </row>
    <row r="464" spans="24:39" x14ac:dyDescent="0.3">
      <c r="X464" s="17"/>
      <c r="AI464" s="17"/>
      <c r="AJ464" s="205"/>
      <c r="AK464" s="205"/>
      <c r="AL464" s="205"/>
      <c r="AM464" s="205"/>
    </row>
    <row r="465" spans="24:39" x14ac:dyDescent="0.3">
      <c r="X465" s="17"/>
      <c r="AI465" s="17"/>
      <c r="AJ465" s="205"/>
      <c r="AK465" s="205"/>
      <c r="AL465" s="205"/>
      <c r="AM465" s="205"/>
    </row>
    <row r="466" spans="24:39" x14ac:dyDescent="0.3">
      <c r="X466" s="17"/>
      <c r="AI466" s="17"/>
      <c r="AJ466" s="205"/>
      <c r="AK466" s="205"/>
      <c r="AL466" s="205"/>
      <c r="AM466" s="205"/>
    </row>
    <row r="467" spans="24:39" x14ac:dyDescent="0.3">
      <c r="X467" s="17"/>
      <c r="AI467" s="17"/>
      <c r="AJ467" s="205"/>
      <c r="AK467" s="205"/>
      <c r="AL467" s="205"/>
      <c r="AM467" s="205"/>
    </row>
    <row r="468" spans="24:39" x14ac:dyDescent="0.3">
      <c r="X468" s="17"/>
      <c r="AI468" s="17"/>
      <c r="AJ468" s="205"/>
      <c r="AK468" s="205"/>
      <c r="AL468" s="205"/>
      <c r="AM468" s="205"/>
    </row>
    <row r="469" spans="24:39" x14ac:dyDescent="0.3">
      <c r="X469" s="17"/>
      <c r="AI469" s="17"/>
      <c r="AJ469" s="205"/>
      <c r="AK469" s="205"/>
      <c r="AL469" s="205"/>
      <c r="AM469" s="205"/>
    </row>
    <row r="470" spans="24:39" x14ac:dyDescent="0.3">
      <c r="X470" s="17"/>
      <c r="AI470" s="17"/>
      <c r="AJ470" s="205"/>
      <c r="AK470" s="205"/>
      <c r="AL470" s="205"/>
      <c r="AM470" s="205"/>
    </row>
    <row r="471" spans="24:39" x14ac:dyDescent="0.3">
      <c r="X471" s="17"/>
      <c r="AI471" s="17"/>
      <c r="AJ471" s="205"/>
      <c r="AK471" s="205"/>
      <c r="AL471" s="205"/>
      <c r="AM471" s="205"/>
    </row>
    <row r="472" spans="24:39" x14ac:dyDescent="0.3">
      <c r="X472" s="17"/>
      <c r="AI472" s="17"/>
      <c r="AJ472" s="205"/>
      <c r="AK472" s="205"/>
      <c r="AL472" s="205"/>
      <c r="AM472" s="205"/>
    </row>
    <row r="473" spans="24:39" x14ac:dyDescent="0.3">
      <c r="X473" s="17"/>
      <c r="AI473" s="17"/>
      <c r="AJ473" s="205"/>
      <c r="AK473" s="205"/>
      <c r="AL473" s="205"/>
      <c r="AM473" s="205"/>
    </row>
    <row r="474" spans="24:39" x14ac:dyDescent="0.3">
      <c r="X474" s="17"/>
      <c r="AI474" s="17"/>
      <c r="AJ474" s="205"/>
      <c r="AK474" s="205"/>
      <c r="AL474" s="205"/>
      <c r="AM474" s="205"/>
    </row>
    <row r="475" spans="24:39" x14ac:dyDescent="0.3">
      <c r="X475" s="17"/>
      <c r="AI475" s="17"/>
      <c r="AJ475" s="205"/>
      <c r="AK475" s="205"/>
      <c r="AL475" s="205"/>
      <c r="AM475" s="205"/>
    </row>
    <row r="476" spans="24:39" x14ac:dyDescent="0.3">
      <c r="X476" s="17"/>
      <c r="AI476" s="17"/>
      <c r="AJ476" s="205"/>
      <c r="AK476" s="205"/>
      <c r="AL476" s="205"/>
      <c r="AM476" s="205"/>
    </row>
    <row r="477" spans="24:39" x14ac:dyDescent="0.3">
      <c r="X477" s="17"/>
      <c r="AI477" s="17"/>
      <c r="AJ477" s="205"/>
      <c r="AK477" s="205"/>
      <c r="AL477" s="205"/>
      <c r="AM477" s="205"/>
    </row>
    <row r="478" spans="24:39" x14ac:dyDescent="0.3">
      <c r="X478" s="17"/>
      <c r="AI478" s="17"/>
      <c r="AJ478" s="205"/>
      <c r="AK478" s="205"/>
      <c r="AL478" s="205"/>
      <c r="AM478" s="205"/>
    </row>
    <row r="479" spans="24:39" x14ac:dyDescent="0.3">
      <c r="X479" s="17"/>
      <c r="AI479" s="17"/>
      <c r="AJ479" s="205"/>
      <c r="AK479" s="205"/>
      <c r="AL479" s="205"/>
      <c r="AM479" s="205"/>
    </row>
    <row r="480" spans="24:39" x14ac:dyDescent="0.3">
      <c r="X480" s="17"/>
      <c r="AI480" s="17"/>
      <c r="AJ480" s="205"/>
      <c r="AK480" s="205"/>
      <c r="AL480" s="205"/>
      <c r="AM480" s="205"/>
    </row>
    <row r="481" spans="24:39" x14ac:dyDescent="0.3">
      <c r="X481" s="17"/>
      <c r="AI481" s="17"/>
      <c r="AJ481" s="205"/>
      <c r="AK481" s="205"/>
      <c r="AL481" s="205"/>
      <c r="AM481" s="205"/>
    </row>
    <row r="482" spans="24:39" x14ac:dyDescent="0.3">
      <c r="X482" s="17"/>
      <c r="AI482" s="17"/>
      <c r="AJ482" s="205"/>
      <c r="AK482" s="205"/>
      <c r="AL482" s="205"/>
      <c r="AM482" s="205"/>
    </row>
    <row r="483" spans="24:39" x14ac:dyDescent="0.3">
      <c r="X483" s="17"/>
      <c r="AI483" s="17"/>
      <c r="AJ483" s="205"/>
      <c r="AK483" s="205"/>
      <c r="AL483" s="205"/>
      <c r="AM483" s="205"/>
    </row>
    <row r="484" spans="24:39" x14ac:dyDescent="0.3">
      <c r="X484" s="17"/>
      <c r="AI484" s="17"/>
      <c r="AJ484" s="205"/>
      <c r="AK484" s="205"/>
      <c r="AL484" s="205"/>
      <c r="AM484" s="205"/>
    </row>
    <row r="485" spans="24:39" x14ac:dyDescent="0.3">
      <c r="X485" s="17"/>
      <c r="AI485" s="17"/>
      <c r="AJ485" s="205"/>
      <c r="AK485" s="205"/>
      <c r="AL485" s="205"/>
      <c r="AM485" s="205"/>
    </row>
    <row r="486" spans="24:39" x14ac:dyDescent="0.3">
      <c r="X486" s="17"/>
      <c r="AI486" s="17"/>
      <c r="AJ486" s="205"/>
      <c r="AK486" s="205"/>
      <c r="AL486" s="205"/>
      <c r="AM486" s="205"/>
    </row>
    <row r="487" spans="24:39" x14ac:dyDescent="0.3">
      <c r="X487" s="17"/>
      <c r="AI487" s="17"/>
      <c r="AJ487" s="205"/>
      <c r="AK487" s="205"/>
      <c r="AL487" s="205"/>
      <c r="AM487" s="205"/>
    </row>
    <row r="488" spans="24:39" x14ac:dyDescent="0.3">
      <c r="X488" s="17"/>
      <c r="AI488" s="17"/>
      <c r="AJ488" s="205"/>
      <c r="AK488" s="205"/>
      <c r="AL488" s="205"/>
      <c r="AM488" s="205"/>
    </row>
    <row r="489" spans="24:39" x14ac:dyDescent="0.3">
      <c r="X489" s="17"/>
      <c r="AI489" s="17"/>
      <c r="AJ489" s="205"/>
      <c r="AK489" s="205"/>
      <c r="AL489" s="205"/>
      <c r="AM489" s="205"/>
    </row>
    <row r="490" spans="24:39" x14ac:dyDescent="0.3">
      <c r="X490" s="17"/>
      <c r="AI490" s="17"/>
      <c r="AJ490" s="205"/>
      <c r="AK490" s="205"/>
      <c r="AL490" s="205"/>
      <c r="AM490" s="205"/>
    </row>
    <row r="491" spans="24:39" x14ac:dyDescent="0.3">
      <c r="X491" s="17"/>
      <c r="AI491" s="17"/>
      <c r="AJ491" s="205"/>
      <c r="AK491" s="205"/>
      <c r="AL491" s="205"/>
      <c r="AM491" s="205"/>
    </row>
    <row r="492" spans="24:39" x14ac:dyDescent="0.3">
      <c r="X492" s="17"/>
      <c r="AI492" s="17"/>
      <c r="AJ492" s="205"/>
      <c r="AK492" s="205"/>
      <c r="AL492" s="205"/>
      <c r="AM492" s="205"/>
    </row>
    <row r="493" spans="24:39" x14ac:dyDescent="0.3">
      <c r="X493" s="17"/>
      <c r="AI493" s="17"/>
      <c r="AJ493" s="205"/>
      <c r="AK493" s="205"/>
      <c r="AL493" s="205"/>
      <c r="AM493" s="205"/>
    </row>
    <row r="494" spans="24:39" x14ac:dyDescent="0.3">
      <c r="X494" s="17"/>
      <c r="AI494" s="17"/>
      <c r="AJ494" s="205"/>
      <c r="AK494" s="205"/>
      <c r="AL494" s="205"/>
      <c r="AM494" s="205"/>
    </row>
    <row r="495" spans="24:39" x14ac:dyDescent="0.3">
      <c r="X495" s="17"/>
      <c r="AI495" s="17"/>
      <c r="AJ495" s="205"/>
      <c r="AK495" s="205"/>
      <c r="AL495" s="205"/>
      <c r="AM495" s="205"/>
    </row>
    <row r="496" spans="24:39" x14ac:dyDescent="0.3">
      <c r="X496" s="17"/>
      <c r="AI496" s="17"/>
      <c r="AJ496" s="205"/>
      <c r="AK496" s="205"/>
      <c r="AL496" s="205"/>
      <c r="AM496" s="205"/>
    </row>
    <row r="497" spans="24:39" x14ac:dyDescent="0.3">
      <c r="X497" s="17"/>
      <c r="AI497" s="17"/>
      <c r="AJ497" s="205"/>
      <c r="AK497" s="205"/>
      <c r="AL497" s="205"/>
      <c r="AM497" s="205"/>
    </row>
    <row r="498" spans="24:39" x14ac:dyDescent="0.3">
      <c r="X498" s="17"/>
      <c r="AI498" s="17"/>
      <c r="AJ498" s="205"/>
      <c r="AK498" s="205"/>
      <c r="AL498" s="205"/>
      <c r="AM498" s="205"/>
    </row>
    <row r="499" spans="24:39" x14ac:dyDescent="0.3">
      <c r="X499" s="17"/>
      <c r="AI499" s="17"/>
      <c r="AJ499" s="205"/>
      <c r="AK499" s="205"/>
      <c r="AL499" s="205"/>
      <c r="AM499" s="205"/>
    </row>
    <row r="500" spans="24:39" x14ac:dyDescent="0.3">
      <c r="X500" s="17"/>
      <c r="AI500" s="17"/>
      <c r="AJ500" s="205"/>
      <c r="AK500" s="205"/>
      <c r="AL500" s="205"/>
      <c r="AM500" s="205"/>
    </row>
    <row r="501" spans="24:39" x14ac:dyDescent="0.3">
      <c r="X501" s="17"/>
      <c r="AI501" s="17"/>
      <c r="AJ501" s="205"/>
      <c r="AK501" s="205"/>
      <c r="AL501" s="205"/>
      <c r="AM501" s="205"/>
    </row>
    <row r="502" spans="24:39" x14ac:dyDescent="0.3">
      <c r="X502" s="17"/>
      <c r="AI502" s="17"/>
      <c r="AJ502" s="205"/>
      <c r="AK502" s="205"/>
      <c r="AL502" s="205"/>
      <c r="AM502" s="205"/>
    </row>
    <row r="503" spans="24:39" x14ac:dyDescent="0.3">
      <c r="X503" s="17"/>
      <c r="AI503" s="17"/>
      <c r="AJ503" s="205"/>
      <c r="AK503" s="205"/>
      <c r="AL503" s="205"/>
      <c r="AM503" s="205"/>
    </row>
    <row r="504" spans="24:39" x14ac:dyDescent="0.3">
      <c r="X504" s="17"/>
      <c r="AI504" s="17"/>
      <c r="AJ504" s="205"/>
      <c r="AK504" s="205"/>
      <c r="AL504" s="205"/>
      <c r="AM504" s="205"/>
    </row>
    <row r="505" spans="24:39" x14ac:dyDescent="0.3">
      <c r="X505" s="17"/>
      <c r="AI505" s="17"/>
      <c r="AJ505" s="205"/>
      <c r="AK505" s="205"/>
      <c r="AL505" s="205"/>
      <c r="AM505" s="205"/>
    </row>
    <row r="506" spans="24:39" x14ac:dyDescent="0.3">
      <c r="X506" s="17"/>
      <c r="AI506" s="17"/>
      <c r="AJ506" s="205"/>
      <c r="AK506" s="205"/>
      <c r="AL506" s="205"/>
      <c r="AM506" s="205"/>
    </row>
    <row r="507" spans="24:39" x14ac:dyDescent="0.3">
      <c r="X507" s="17"/>
      <c r="AI507" s="17"/>
      <c r="AJ507" s="205"/>
      <c r="AK507" s="205"/>
      <c r="AL507" s="205"/>
      <c r="AM507" s="205"/>
    </row>
    <row r="508" spans="24:39" x14ac:dyDescent="0.3">
      <c r="X508" s="17"/>
      <c r="AI508" s="17"/>
      <c r="AJ508" s="205"/>
      <c r="AK508" s="205"/>
      <c r="AL508" s="205"/>
      <c r="AM508" s="205"/>
    </row>
    <row r="509" spans="24:39" x14ac:dyDescent="0.3">
      <c r="X509" s="17"/>
      <c r="AI509" s="17"/>
      <c r="AJ509" s="205"/>
      <c r="AK509" s="205"/>
      <c r="AL509" s="205"/>
      <c r="AM509" s="205"/>
    </row>
    <row r="510" spans="24:39" x14ac:dyDescent="0.3">
      <c r="X510" s="17"/>
      <c r="AI510" s="17"/>
      <c r="AJ510" s="205"/>
      <c r="AK510" s="205"/>
      <c r="AL510" s="205"/>
      <c r="AM510" s="205"/>
    </row>
    <row r="511" spans="24:39" x14ac:dyDescent="0.3">
      <c r="X511" s="17"/>
      <c r="AI511" s="17"/>
      <c r="AJ511" s="205"/>
      <c r="AK511" s="205"/>
      <c r="AL511" s="205"/>
      <c r="AM511" s="205"/>
    </row>
    <row r="512" spans="24:39" x14ac:dyDescent="0.3">
      <c r="X512" s="17"/>
      <c r="AI512" s="17"/>
      <c r="AJ512" s="205"/>
      <c r="AK512" s="205"/>
      <c r="AL512" s="205"/>
      <c r="AM512" s="205"/>
    </row>
    <row r="513" spans="24:39" x14ac:dyDescent="0.3">
      <c r="X513" s="17"/>
      <c r="AI513" s="17"/>
      <c r="AJ513" s="205"/>
      <c r="AK513" s="205"/>
      <c r="AL513" s="205"/>
      <c r="AM513" s="205"/>
    </row>
    <row r="514" spans="24:39" x14ac:dyDescent="0.3">
      <c r="X514" s="17"/>
      <c r="AI514" s="17"/>
      <c r="AJ514" s="205"/>
      <c r="AK514" s="205"/>
      <c r="AL514" s="205"/>
      <c r="AM514" s="205"/>
    </row>
    <row r="515" spans="24:39" x14ac:dyDescent="0.3">
      <c r="X515" s="17"/>
      <c r="AI515" s="17"/>
      <c r="AJ515" s="205"/>
      <c r="AK515" s="205"/>
      <c r="AL515" s="205"/>
      <c r="AM515" s="205"/>
    </row>
    <row r="516" spans="24:39" x14ac:dyDescent="0.3">
      <c r="X516" s="17"/>
      <c r="AI516" s="17"/>
      <c r="AJ516" s="205"/>
      <c r="AK516" s="205"/>
      <c r="AL516" s="205"/>
      <c r="AM516" s="205"/>
    </row>
    <row r="517" spans="24:39" x14ac:dyDescent="0.3">
      <c r="X517" s="17"/>
      <c r="AI517" s="17"/>
      <c r="AJ517" s="205"/>
      <c r="AK517" s="205"/>
      <c r="AL517" s="205"/>
      <c r="AM517" s="205"/>
    </row>
    <row r="518" spans="24:39" x14ac:dyDescent="0.3">
      <c r="X518" s="17"/>
      <c r="AI518" s="17"/>
      <c r="AJ518" s="205"/>
      <c r="AK518" s="205"/>
      <c r="AL518" s="205"/>
      <c r="AM518" s="205"/>
    </row>
    <row r="519" spans="24:39" x14ac:dyDescent="0.3">
      <c r="X519" s="17"/>
      <c r="AI519" s="17"/>
      <c r="AJ519" s="205"/>
      <c r="AK519" s="205"/>
      <c r="AL519" s="205"/>
      <c r="AM519" s="205"/>
    </row>
    <row r="520" spans="24:39" x14ac:dyDescent="0.3">
      <c r="X520" s="17"/>
      <c r="AI520" s="17"/>
      <c r="AJ520" s="205"/>
      <c r="AK520" s="205"/>
      <c r="AL520" s="205"/>
      <c r="AM520" s="205"/>
    </row>
    <row r="521" spans="24:39" x14ac:dyDescent="0.3">
      <c r="X521" s="17"/>
      <c r="AI521" s="17"/>
      <c r="AJ521" s="205"/>
      <c r="AK521" s="205"/>
      <c r="AL521" s="205"/>
      <c r="AM521" s="205"/>
    </row>
    <row r="522" spans="24:39" x14ac:dyDescent="0.3">
      <c r="X522" s="17"/>
      <c r="AI522" s="17"/>
      <c r="AJ522" s="205"/>
      <c r="AK522" s="205"/>
      <c r="AL522" s="205"/>
      <c r="AM522" s="205"/>
    </row>
    <row r="523" spans="24:39" x14ac:dyDescent="0.3">
      <c r="X523" s="17"/>
      <c r="AI523" s="17"/>
      <c r="AJ523" s="205"/>
      <c r="AK523" s="205"/>
      <c r="AL523" s="205"/>
      <c r="AM523" s="205"/>
    </row>
    <row r="524" spans="24:39" x14ac:dyDescent="0.3">
      <c r="X524" s="17"/>
      <c r="AI524" s="17"/>
      <c r="AJ524" s="205"/>
      <c r="AK524" s="205"/>
      <c r="AL524" s="205"/>
      <c r="AM524" s="205"/>
    </row>
    <row r="525" spans="24:39" x14ac:dyDescent="0.3">
      <c r="X525" s="17"/>
      <c r="AI525" s="17"/>
      <c r="AJ525" s="205"/>
      <c r="AK525" s="205"/>
      <c r="AL525" s="205"/>
      <c r="AM525" s="205"/>
    </row>
    <row r="526" spans="24:39" x14ac:dyDescent="0.3">
      <c r="X526" s="17"/>
      <c r="AI526" s="17"/>
      <c r="AJ526" s="205"/>
      <c r="AK526" s="205"/>
      <c r="AL526" s="205"/>
      <c r="AM526" s="205"/>
    </row>
    <row r="527" spans="24:39" x14ac:dyDescent="0.3">
      <c r="X527" s="17"/>
      <c r="AI527" s="17"/>
      <c r="AJ527" s="205"/>
      <c r="AK527" s="205"/>
      <c r="AL527" s="205"/>
      <c r="AM527" s="205"/>
    </row>
    <row r="528" spans="24:39" x14ac:dyDescent="0.3">
      <c r="X528" s="17"/>
      <c r="AI528" s="17"/>
      <c r="AJ528" s="205"/>
      <c r="AK528" s="205"/>
      <c r="AL528" s="205"/>
      <c r="AM528" s="205"/>
    </row>
    <row r="529" spans="24:39" x14ac:dyDescent="0.3">
      <c r="X529" s="17"/>
      <c r="AI529" s="17"/>
      <c r="AJ529" s="205"/>
      <c r="AK529" s="205"/>
      <c r="AL529" s="205"/>
      <c r="AM529" s="205"/>
    </row>
    <row r="530" spans="24:39" x14ac:dyDescent="0.3">
      <c r="X530" s="17"/>
      <c r="AI530" s="17"/>
      <c r="AJ530" s="205"/>
      <c r="AK530" s="205"/>
      <c r="AL530" s="205"/>
      <c r="AM530" s="205"/>
    </row>
    <row r="531" spans="24:39" x14ac:dyDescent="0.3">
      <c r="X531" s="17"/>
      <c r="AI531" s="17"/>
      <c r="AJ531" s="205"/>
      <c r="AK531" s="205"/>
      <c r="AL531" s="205"/>
      <c r="AM531" s="205"/>
    </row>
    <row r="532" spans="24:39" x14ac:dyDescent="0.3">
      <c r="X532" s="17"/>
      <c r="AI532" s="17"/>
      <c r="AJ532" s="205"/>
      <c r="AK532" s="205"/>
      <c r="AL532" s="205"/>
      <c r="AM532" s="205"/>
    </row>
    <row r="533" spans="24:39" x14ac:dyDescent="0.3">
      <c r="X533" s="17"/>
      <c r="AI533" s="17"/>
      <c r="AJ533" s="205"/>
      <c r="AK533" s="205"/>
      <c r="AL533" s="205"/>
      <c r="AM533" s="205"/>
    </row>
    <row r="534" spans="24:39" x14ac:dyDescent="0.3">
      <c r="X534" s="17"/>
      <c r="AI534" s="17"/>
      <c r="AJ534" s="205"/>
      <c r="AK534" s="205"/>
      <c r="AL534" s="205"/>
      <c r="AM534" s="205"/>
    </row>
    <row r="535" spans="24:39" x14ac:dyDescent="0.3">
      <c r="X535" s="17"/>
      <c r="AI535" s="17"/>
      <c r="AJ535" s="205"/>
      <c r="AK535" s="205"/>
      <c r="AL535" s="205"/>
      <c r="AM535" s="205"/>
    </row>
    <row r="536" spans="24:39" x14ac:dyDescent="0.3">
      <c r="X536" s="17"/>
      <c r="AI536" s="17"/>
      <c r="AJ536" s="205"/>
      <c r="AK536" s="205"/>
      <c r="AL536" s="205"/>
      <c r="AM536" s="205"/>
    </row>
    <row r="537" spans="24:39" x14ac:dyDescent="0.3">
      <c r="X537" s="17"/>
      <c r="AI537" s="17"/>
      <c r="AJ537" s="205"/>
      <c r="AK537" s="205"/>
      <c r="AL537" s="205"/>
      <c r="AM537" s="205"/>
    </row>
    <row r="538" spans="24:39" x14ac:dyDescent="0.3">
      <c r="X538" s="17"/>
      <c r="AI538" s="17"/>
      <c r="AJ538" s="205"/>
      <c r="AK538" s="205"/>
      <c r="AL538" s="205"/>
      <c r="AM538" s="205"/>
    </row>
    <row r="539" spans="24:39" x14ac:dyDescent="0.3">
      <c r="X539" s="17"/>
      <c r="AI539" s="17"/>
      <c r="AJ539" s="205"/>
      <c r="AK539" s="205"/>
      <c r="AL539" s="205"/>
      <c r="AM539" s="205"/>
    </row>
    <row r="540" spans="24:39" x14ac:dyDescent="0.3">
      <c r="X540" s="17"/>
      <c r="AI540" s="17"/>
      <c r="AJ540" s="205"/>
      <c r="AK540" s="205"/>
      <c r="AL540" s="205"/>
      <c r="AM540" s="205"/>
    </row>
    <row r="541" spans="24:39" x14ac:dyDescent="0.3">
      <c r="X541" s="17"/>
      <c r="AI541" s="17"/>
      <c r="AJ541" s="205"/>
      <c r="AK541" s="205"/>
      <c r="AL541" s="205"/>
      <c r="AM541" s="205"/>
    </row>
    <row r="542" spans="24:39" x14ac:dyDescent="0.3">
      <c r="X542" s="17"/>
      <c r="AI542" s="17"/>
      <c r="AJ542" s="205"/>
      <c r="AK542" s="205"/>
      <c r="AL542" s="205"/>
      <c r="AM542" s="205"/>
    </row>
    <row r="543" spans="24:39" x14ac:dyDescent="0.3">
      <c r="X543" s="17"/>
      <c r="AI543" s="17"/>
      <c r="AJ543" s="205"/>
      <c r="AK543" s="205"/>
      <c r="AL543" s="205"/>
      <c r="AM543" s="205"/>
    </row>
    <row r="544" spans="24:39" x14ac:dyDescent="0.3">
      <c r="X544" s="17"/>
      <c r="AI544" s="17"/>
      <c r="AJ544" s="205"/>
      <c r="AK544" s="205"/>
      <c r="AL544" s="205"/>
      <c r="AM544" s="205"/>
    </row>
    <row r="545" spans="24:39" x14ac:dyDescent="0.3">
      <c r="X545" s="17"/>
      <c r="AI545" s="17"/>
      <c r="AJ545" s="205"/>
      <c r="AK545" s="205"/>
      <c r="AL545" s="205"/>
      <c r="AM545" s="205"/>
    </row>
    <row r="546" spans="24:39" x14ac:dyDescent="0.3">
      <c r="X546" s="17"/>
      <c r="AI546" s="17"/>
      <c r="AJ546" s="205"/>
      <c r="AK546" s="205"/>
      <c r="AL546" s="205"/>
      <c r="AM546" s="205"/>
    </row>
    <row r="547" spans="24:39" x14ac:dyDescent="0.3">
      <c r="X547" s="17"/>
      <c r="AI547" s="17"/>
      <c r="AJ547" s="205"/>
      <c r="AK547" s="205"/>
      <c r="AL547" s="205"/>
      <c r="AM547" s="205"/>
    </row>
    <row r="548" spans="24:39" x14ac:dyDescent="0.3">
      <c r="X548" s="17"/>
      <c r="AI548" s="17"/>
      <c r="AJ548" s="205"/>
      <c r="AK548" s="205"/>
      <c r="AL548" s="205"/>
      <c r="AM548" s="205"/>
    </row>
    <row r="549" spans="24:39" x14ac:dyDescent="0.3">
      <c r="X549" s="17"/>
      <c r="AI549" s="17"/>
      <c r="AJ549" s="205"/>
      <c r="AK549" s="205"/>
      <c r="AL549" s="205"/>
      <c r="AM549" s="205"/>
    </row>
    <row r="550" spans="24:39" x14ac:dyDescent="0.3">
      <c r="X550" s="17"/>
      <c r="AI550" s="17"/>
      <c r="AJ550" s="205"/>
      <c r="AK550" s="205"/>
      <c r="AL550" s="205"/>
      <c r="AM550" s="205"/>
    </row>
    <row r="551" spans="24:39" x14ac:dyDescent="0.3">
      <c r="X551" s="17"/>
      <c r="AI551" s="17"/>
      <c r="AJ551" s="205"/>
      <c r="AK551" s="205"/>
      <c r="AL551" s="205"/>
      <c r="AM551" s="205"/>
    </row>
    <row r="552" spans="24:39" x14ac:dyDescent="0.3">
      <c r="X552" s="17"/>
      <c r="AI552" s="17"/>
      <c r="AJ552" s="205"/>
      <c r="AK552" s="205"/>
      <c r="AL552" s="205"/>
      <c r="AM552" s="205"/>
    </row>
    <row r="553" spans="24:39" x14ac:dyDescent="0.3">
      <c r="X553" s="17"/>
      <c r="AI553" s="17"/>
      <c r="AJ553" s="205"/>
      <c r="AK553" s="205"/>
      <c r="AL553" s="205"/>
      <c r="AM553" s="205"/>
    </row>
    <row r="554" spans="24:39" x14ac:dyDescent="0.3">
      <c r="X554" s="17"/>
      <c r="AI554" s="17"/>
      <c r="AJ554" s="205"/>
      <c r="AK554" s="205"/>
      <c r="AL554" s="205"/>
      <c r="AM554" s="205"/>
    </row>
    <row r="555" spans="24:39" x14ac:dyDescent="0.3">
      <c r="X555" s="17"/>
      <c r="AI555" s="17"/>
      <c r="AJ555" s="205"/>
      <c r="AK555" s="205"/>
      <c r="AL555" s="205"/>
      <c r="AM555" s="205"/>
    </row>
    <row r="556" spans="24:39" x14ac:dyDescent="0.3">
      <c r="X556" s="17"/>
      <c r="AI556" s="17"/>
      <c r="AJ556" s="205"/>
      <c r="AK556" s="205"/>
      <c r="AL556" s="205"/>
      <c r="AM556" s="205"/>
    </row>
    <row r="557" spans="24:39" x14ac:dyDescent="0.3">
      <c r="X557" s="17"/>
      <c r="AI557" s="17"/>
      <c r="AJ557" s="205"/>
      <c r="AK557" s="205"/>
      <c r="AL557" s="205"/>
      <c r="AM557" s="205"/>
    </row>
    <row r="558" spans="24:39" x14ac:dyDescent="0.3">
      <c r="X558" s="17"/>
      <c r="AI558" s="17"/>
      <c r="AJ558" s="205"/>
      <c r="AK558" s="205"/>
      <c r="AL558" s="205"/>
      <c r="AM558" s="205"/>
    </row>
    <row r="559" spans="24:39" x14ac:dyDescent="0.3">
      <c r="X559" s="17"/>
      <c r="AI559" s="17"/>
      <c r="AJ559" s="205"/>
      <c r="AK559" s="205"/>
      <c r="AL559" s="205"/>
      <c r="AM559" s="205"/>
    </row>
    <row r="560" spans="24:39" x14ac:dyDescent="0.3">
      <c r="X560" s="17"/>
      <c r="AI560" s="17"/>
      <c r="AJ560" s="205"/>
      <c r="AK560" s="205"/>
      <c r="AL560" s="205"/>
      <c r="AM560" s="205"/>
    </row>
    <row r="561" spans="24:39" x14ac:dyDescent="0.3">
      <c r="X561" s="17"/>
      <c r="AI561" s="17"/>
      <c r="AJ561" s="205"/>
      <c r="AK561" s="205"/>
      <c r="AL561" s="205"/>
      <c r="AM561" s="205"/>
    </row>
    <row r="562" spans="24:39" x14ac:dyDescent="0.3">
      <c r="X562" s="17"/>
      <c r="AI562" s="17"/>
      <c r="AJ562" s="205"/>
      <c r="AK562" s="205"/>
      <c r="AL562" s="205"/>
      <c r="AM562" s="205"/>
    </row>
    <row r="563" spans="24:39" x14ac:dyDescent="0.3">
      <c r="X563" s="17"/>
      <c r="AI563" s="17"/>
      <c r="AJ563" s="205"/>
      <c r="AK563" s="205"/>
      <c r="AL563" s="205"/>
      <c r="AM563" s="205"/>
    </row>
    <row r="564" spans="24:39" x14ac:dyDescent="0.3">
      <c r="X564" s="17"/>
      <c r="AI564" s="17"/>
      <c r="AJ564" s="205"/>
      <c r="AK564" s="205"/>
      <c r="AL564" s="205"/>
      <c r="AM564" s="205"/>
    </row>
    <row r="565" spans="24:39" x14ac:dyDescent="0.3">
      <c r="X565" s="17"/>
      <c r="AI565" s="17"/>
      <c r="AJ565" s="205"/>
      <c r="AK565" s="205"/>
      <c r="AL565" s="205"/>
      <c r="AM565" s="205"/>
    </row>
    <row r="566" spans="24:39" x14ac:dyDescent="0.3">
      <c r="X566" s="17"/>
      <c r="AI566" s="17"/>
      <c r="AJ566" s="205"/>
      <c r="AK566" s="205"/>
      <c r="AL566" s="205"/>
      <c r="AM566" s="205"/>
    </row>
    <row r="567" spans="24:39" x14ac:dyDescent="0.3">
      <c r="X567" s="17"/>
      <c r="AI567" s="17"/>
      <c r="AJ567" s="205"/>
      <c r="AK567" s="205"/>
      <c r="AL567" s="205"/>
      <c r="AM567" s="205"/>
    </row>
    <row r="568" spans="24:39" x14ac:dyDescent="0.3">
      <c r="X568" s="17"/>
      <c r="AI568" s="17"/>
      <c r="AJ568" s="205"/>
      <c r="AK568" s="205"/>
      <c r="AL568" s="205"/>
      <c r="AM568" s="205"/>
    </row>
    <row r="569" spans="24:39" x14ac:dyDescent="0.3">
      <c r="X569" s="17"/>
      <c r="AI569" s="17"/>
      <c r="AJ569" s="205"/>
      <c r="AK569" s="205"/>
      <c r="AL569" s="205"/>
      <c r="AM569" s="205"/>
    </row>
    <row r="570" spans="24:39" x14ac:dyDescent="0.3">
      <c r="X570" s="17"/>
      <c r="AI570" s="17"/>
      <c r="AJ570" s="205"/>
      <c r="AK570" s="205"/>
      <c r="AL570" s="205"/>
      <c r="AM570" s="205"/>
    </row>
    <row r="571" spans="24:39" x14ac:dyDescent="0.3">
      <c r="X571" s="17"/>
      <c r="AI571" s="17"/>
      <c r="AJ571" s="205"/>
      <c r="AK571" s="205"/>
      <c r="AL571" s="205"/>
      <c r="AM571" s="205"/>
    </row>
    <row r="572" spans="24:39" x14ac:dyDescent="0.3">
      <c r="X572" s="17"/>
      <c r="AI572" s="17"/>
      <c r="AJ572" s="205"/>
      <c r="AK572" s="205"/>
      <c r="AL572" s="205"/>
      <c r="AM572" s="205"/>
    </row>
    <row r="573" spans="24:39" x14ac:dyDescent="0.3">
      <c r="X573" s="17"/>
      <c r="AI573" s="17"/>
      <c r="AJ573" s="205"/>
      <c r="AK573" s="205"/>
      <c r="AL573" s="205"/>
      <c r="AM573" s="205"/>
    </row>
    <row r="574" spans="24:39" x14ac:dyDescent="0.3">
      <c r="X574" s="17"/>
      <c r="AI574" s="17"/>
      <c r="AJ574" s="205"/>
      <c r="AK574" s="205"/>
      <c r="AL574" s="205"/>
      <c r="AM574" s="205"/>
    </row>
    <row r="575" spans="24:39" x14ac:dyDescent="0.3">
      <c r="X575" s="17"/>
      <c r="AI575" s="17"/>
      <c r="AJ575" s="205"/>
      <c r="AK575" s="205"/>
      <c r="AL575" s="205"/>
      <c r="AM575" s="205"/>
    </row>
    <row r="576" spans="24:39" x14ac:dyDescent="0.3">
      <c r="X576" s="17"/>
      <c r="AI576" s="17"/>
      <c r="AJ576" s="205"/>
      <c r="AK576" s="205"/>
      <c r="AL576" s="205"/>
      <c r="AM576" s="205"/>
    </row>
    <row r="577" spans="24:39" x14ac:dyDescent="0.3">
      <c r="X577" s="17"/>
      <c r="AI577" s="17"/>
      <c r="AJ577" s="205"/>
      <c r="AK577" s="205"/>
      <c r="AL577" s="205"/>
      <c r="AM577" s="205"/>
    </row>
    <row r="578" spans="24:39" x14ac:dyDescent="0.3">
      <c r="X578" s="17"/>
      <c r="AI578" s="17"/>
      <c r="AJ578" s="205"/>
      <c r="AK578" s="205"/>
      <c r="AL578" s="205"/>
      <c r="AM578" s="205"/>
    </row>
    <row r="579" spans="24:39" x14ac:dyDescent="0.3">
      <c r="X579" s="17"/>
      <c r="AI579" s="17"/>
      <c r="AJ579" s="205"/>
      <c r="AK579" s="205"/>
      <c r="AL579" s="205"/>
      <c r="AM579" s="205"/>
    </row>
    <row r="580" spans="24:39" x14ac:dyDescent="0.3">
      <c r="X580" s="17"/>
      <c r="AI580" s="17"/>
      <c r="AJ580" s="205"/>
      <c r="AK580" s="205"/>
      <c r="AL580" s="205"/>
      <c r="AM580" s="205"/>
    </row>
    <row r="581" spans="24:39" x14ac:dyDescent="0.3">
      <c r="X581" s="17"/>
      <c r="AI581" s="17"/>
      <c r="AJ581" s="205"/>
      <c r="AK581" s="205"/>
      <c r="AL581" s="205"/>
      <c r="AM581" s="205"/>
    </row>
    <row r="582" spans="24:39" x14ac:dyDescent="0.3">
      <c r="X582" s="17"/>
      <c r="AI582" s="17"/>
      <c r="AJ582" s="205"/>
      <c r="AK582" s="205"/>
      <c r="AL582" s="205"/>
      <c r="AM582" s="205"/>
    </row>
    <row r="583" spans="24:39" x14ac:dyDescent="0.3">
      <c r="X583" s="17"/>
      <c r="AI583" s="17"/>
      <c r="AJ583" s="205"/>
      <c r="AK583" s="205"/>
      <c r="AL583" s="205"/>
      <c r="AM583" s="205"/>
    </row>
    <row r="584" spans="24:39" x14ac:dyDescent="0.3">
      <c r="X584" s="17"/>
      <c r="AI584" s="17"/>
      <c r="AJ584" s="205"/>
      <c r="AK584" s="205"/>
      <c r="AL584" s="205"/>
      <c r="AM584" s="205"/>
    </row>
    <row r="585" spans="24:39" x14ac:dyDescent="0.3">
      <c r="X585" s="17"/>
      <c r="AI585" s="17"/>
      <c r="AJ585" s="205"/>
      <c r="AK585" s="205"/>
      <c r="AL585" s="205"/>
      <c r="AM585" s="205"/>
    </row>
    <row r="586" spans="24:39" x14ac:dyDescent="0.3">
      <c r="X586" s="17"/>
      <c r="AI586" s="17"/>
      <c r="AJ586" s="205"/>
      <c r="AK586" s="205"/>
      <c r="AL586" s="205"/>
      <c r="AM586" s="205"/>
    </row>
    <row r="587" spans="24:39" x14ac:dyDescent="0.3">
      <c r="X587" s="17"/>
      <c r="AI587" s="17"/>
      <c r="AJ587" s="205"/>
      <c r="AK587" s="205"/>
      <c r="AL587" s="205"/>
      <c r="AM587" s="205"/>
    </row>
    <row r="588" spans="24:39" x14ac:dyDescent="0.3">
      <c r="X588" s="17"/>
      <c r="AI588" s="17"/>
      <c r="AJ588" s="205"/>
      <c r="AK588" s="205"/>
      <c r="AL588" s="205"/>
      <c r="AM588" s="205"/>
    </row>
    <row r="589" spans="24:39" x14ac:dyDescent="0.3">
      <c r="X589" s="17"/>
      <c r="AI589" s="17"/>
      <c r="AJ589" s="205"/>
      <c r="AK589" s="205"/>
      <c r="AL589" s="205"/>
      <c r="AM589" s="205"/>
    </row>
    <row r="590" spans="24:39" x14ac:dyDescent="0.3">
      <c r="X590" s="17"/>
      <c r="AI590" s="17"/>
      <c r="AJ590" s="205"/>
      <c r="AK590" s="205"/>
      <c r="AL590" s="205"/>
      <c r="AM590" s="205"/>
    </row>
    <row r="591" spans="24:39" x14ac:dyDescent="0.3">
      <c r="X591" s="17"/>
      <c r="AI591" s="17"/>
      <c r="AJ591" s="205"/>
      <c r="AK591" s="205"/>
      <c r="AL591" s="205"/>
      <c r="AM591" s="205"/>
    </row>
    <row r="592" spans="24:39" x14ac:dyDescent="0.3">
      <c r="X592" s="17"/>
      <c r="AI592" s="17"/>
      <c r="AJ592" s="205"/>
      <c r="AK592" s="205"/>
      <c r="AL592" s="205"/>
      <c r="AM592" s="205"/>
    </row>
    <row r="593" spans="24:39" x14ac:dyDescent="0.3">
      <c r="X593" s="17"/>
      <c r="AI593" s="17"/>
      <c r="AJ593" s="205"/>
      <c r="AK593" s="205"/>
      <c r="AL593" s="205"/>
      <c r="AM593" s="205"/>
    </row>
    <row r="594" spans="24:39" x14ac:dyDescent="0.3">
      <c r="X594" s="17"/>
      <c r="AI594" s="17"/>
      <c r="AJ594" s="205"/>
      <c r="AK594" s="205"/>
      <c r="AL594" s="205"/>
      <c r="AM594" s="205"/>
    </row>
    <row r="595" spans="24:39" x14ac:dyDescent="0.3">
      <c r="X595" s="17"/>
      <c r="AI595" s="17"/>
      <c r="AJ595" s="205"/>
      <c r="AK595" s="205"/>
      <c r="AL595" s="205"/>
      <c r="AM595" s="205"/>
    </row>
    <row r="596" spans="24:39" x14ac:dyDescent="0.3">
      <c r="X596" s="17"/>
      <c r="AI596" s="17"/>
      <c r="AJ596" s="205"/>
      <c r="AK596" s="205"/>
      <c r="AL596" s="205"/>
      <c r="AM596" s="205"/>
    </row>
    <row r="597" spans="24:39" x14ac:dyDescent="0.3">
      <c r="X597" s="17"/>
      <c r="AI597" s="17"/>
      <c r="AJ597" s="205"/>
      <c r="AK597" s="205"/>
      <c r="AL597" s="205"/>
      <c r="AM597" s="205"/>
    </row>
    <row r="598" spans="24:39" x14ac:dyDescent="0.3">
      <c r="X598" s="17"/>
      <c r="AI598" s="17"/>
      <c r="AJ598" s="205"/>
      <c r="AK598" s="205"/>
      <c r="AL598" s="205"/>
      <c r="AM598" s="205"/>
    </row>
    <row r="599" spans="24:39" x14ac:dyDescent="0.3">
      <c r="X599" s="17"/>
      <c r="AI599" s="17"/>
      <c r="AJ599" s="205"/>
      <c r="AK599" s="205"/>
      <c r="AL599" s="205"/>
      <c r="AM599" s="205"/>
    </row>
    <row r="600" spans="24:39" x14ac:dyDescent="0.3">
      <c r="X600" s="17"/>
      <c r="AI600" s="17"/>
      <c r="AJ600" s="205"/>
      <c r="AK600" s="205"/>
      <c r="AL600" s="205"/>
      <c r="AM600" s="205"/>
    </row>
    <row r="601" spans="24:39" x14ac:dyDescent="0.3">
      <c r="X601" s="17"/>
      <c r="AI601" s="17"/>
      <c r="AJ601" s="205"/>
      <c r="AK601" s="205"/>
      <c r="AL601" s="205"/>
      <c r="AM601" s="205"/>
    </row>
    <row r="602" spans="24:39" x14ac:dyDescent="0.3">
      <c r="X602" s="17"/>
      <c r="AI602" s="17"/>
      <c r="AJ602" s="205"/>
      <c r="AK602" s="205"/>
      <c r="AL602" s="205"/>
      <c r="AM602" s="205"/>
    </row>
    <row r="603" spans="24:39" x14ac:dyDescent="0.3">
      <c r="X603" s="17"/>
      <c r="AI603" s="17"/>
      <c r="AJ603" s="205"/>
      <c r="AK603" s="205"/>
      <c r="AL603" s="205"/>
      <c r="AM603" s="205"/>
    </row>
    <row r="604" spans="24:39" x14ac:dyDescent="0.3">
      <c r="X604" s="17"/>
      <c r="AI604" s="17"/>
      <c r="AJ604" s="205"/>
      <c r="AK604" s="205"/>
      <c r="AL604" s="205"/>
      <c r="AM604" s="205"/>
    </row>
    <row r="605" spans="24:39" x14ac:dyDescent="0.3">
      <c r="X605" s="17"/>
      <c r="AI605" s="17"/>
      <c r="AJ605" s="205"/>
      <c r="AK605" s="205"/>
      <c r="AL605" s="205"/>
      <c r="AM605" s="205"/>
    </row>
    <row r="606" spans="24:39" x14ac:dyDescent="0.3">
      <c r="X606" s="17"/>
      <c r="AI606" s="17"/>
      <c r="AJ606" s="205"/>
      <c r="AK606" s="205"/>
      <c r="AL606" s="205"/>
      <c r="AM606" s="205"/>
    </row>
    <row r="607" spans="24:39" x14ac:dyDescent="0.3">
      <c r="X607" s="17"/>
      <c r="AI607" s="17"/>
      <c r="AJ607" s="205"/>
      <c r="AK607" s="205"/>
      <c r="AL607" s="205"/>
      <c r="AM607" s="205"/>
    </row>
    <row r="608" spans="24:39" x14ac:dyDescent="0.3">
      <c r="X608" s="17"/>
      <c r="AI608" s="17"/>
      <c r="AJ608" s="205"/>
      <c r="AK608" s="205"/>
      <c r="AL608" s="205"/>
      <c r="AM608" s="205"/>
    </row>
    <row r="609" spans="24:39" x14ac:dyDescent="0.3">
      <c r="X609" s="17"/>
      <c r="AI609" s="17"/>
      <c r="AJ609" s="205"/>
      <c r="AK609" s="205"/>
      <c r="AL609" s="205"/>
      <c r="AM609" s="205"/>
    </row>
    <row r="610" spans="24:39" x14ac:dyDescent="0.3">
      <c r="X610" s="17"/>
      <c r="AI610" s="17"/>
      <c r="AJ610" s="205"/>
      <c r="AK610" s="205"/>
      <c r="AL610" s="205"/>
      <c r="AM610" s="205"/>
    </row>
    <row r="611" spans="24:39" x14ac:dyDescent="0.3">
      <c r="X611" s="17"/>
      <c r="AI611" s="17"/>
      <c r="AJ611" s="205"/>
      <c r="AK611" s="205"/>
      <c r="AL611" s="205"/>
      <c r="AM611" s="205"/>
    </row>
    <row r="612" spans="24:39" x14ac:dyDescent="0.3">
      <c r="X612" s="17"/>
      <c r="AI612" s="17"/>
      <c r="AJ612" s="205"/>
      <c r="AK612" s="205"/>
      <c r="AL612" s="205"/>
      <c r="AM612" s="205"/>
    </row>
    <row r="613" spans="24:39" x14ac:dyDescent="0.3">
      <c r="X613" s="17"/>
      <c r="AI613" s="17"/>
      <c r="AJ613" s="205"/>
      <c r="AK613" s="205"/>
      <c r="AL613" s="205"/>
      <c r="AM613" s="205"/>
    </row>
    <row r="614" spans="24:39" x14ac:dyDescent="0.3">
      <c r="X614" s="17"/>
      <c r="AI614" s="17"/>
      <c r="AJ614" s="205"/>
      <c r="AK614" s="205"/>
      <c r="AL614" s="205"/>
      <c r="AM614" s="205"/>
    </row>
    <row r="615" spans="24:39" x14ac:dyDescent="0.3">
      <c r="X615" s="17"/>
      <c r="AI615" s="17"/>
      <c r="AJ615" s="205"/>
      <c r="AK615" s="205"/>
      <c r="AL615" s="205"/>
      <c r="AM615" s="205"/>
    </row>
    <row r="616" spans="24:39" x14ac:dyDescent="0.3">
      <c r="X616" s="17"/>
      <c r="AI616" s="17"/>
      <c r="AJ616" s="205"/>
      <c r="AK616" s="205"/>
      <c r="AL616" s="205"/>
      <c r="AM616" s="205"/>
    </row>
    <row r="617" spans="24:39" x14ac:dyDescent="0.3">
      <c r="X617" s="17"/>
      <c r="AI617" s="17"/>
      <c r="AJ617" s="205"/>
      <c r="AK617" s="205"/>
      <c r="AL617" s="205"/>
      <c r="AM617" s="205"/>
    </row>
    <row r="618" spans="24:39" x14ac:dyDescent="0.3">
      <c r="X618" s="17"/>
      <c r="AI618" s="17"/>
      <c r="AJ618" s="205"/>
      <c r="AK618" s="205"/>
      <c r="AL618" s="205"/>
      <c r="AM618" s="205"/>
    </row>
    <row r="619" spans="24:39" x14ac:dyDescent="0.3">
      <c r="X619" s="17"/>
      <c r="AI619" s="17"/>
      <c r="AJ619" s="205"/>
      <c r="AK619" s="205"/>
      <c r="AL619" s="205"/>
      <c r="AM619" s="205"/>
    </row>
    <row r="620" spans="24:39" x14ac:dyDescent="0.3">
      <c r="X620" s="17"/>
      <c r="AI620" s="17"/>
      <c r="AJ620" s="205"/>
      <c r="AK620" s="205"/>
      <c r="AL620" s="205"/>
      <c r="AM620" s="205"/>
    </row>
    <row r="621" spans="24:39" x14ac:dyDescent="0.3">
      <c r="X621" s="17"/>
      <c r="AI621" s="17"/>
      <c r="AJ621" s="205"/>
      <c r="AK621" s="205"/>
      <c r="AL621" s="205"/>
      <c r="AM621" s="205"/>
    </row>
    <row r="622" spans="24:39" x14ac:dyDescent="0.3">
      <c r="X622" s="17"/>
      <c r="AI622" s="17"/>
      <c r="AJ622" s="205"/>
      <c r="AK622" s="205"/>
      <c r="AL622" s="205"/>
      <c r="AM622" s="205"/>
    </row>
    <row r="623" spans="24:39" x14ac:dyDescent="0.3">
      <c r="X623" s="17"/>
      <c r="AI623" s="17"/>
      <c r="AJ623" s="205"/>
      <c r="AK623" s="205"/>
      <c r="AL623" s="205"/>
      <c r="AM623" s="205"/>
    </row>
    <row r="624" spans="24:39" x14ac:dyDescent="0.3">
      <c r="X624" s="17"/>
      <c r="AI624" s="17"/>
      <c r="AJ624" s="205"/>
      <c r="AK624" s="205"/>
      <c r="AL624" s="205"/>
      <c r="AM624" s="205"/>
    </row>
    <row r="625" spans="24:39" x14ac:dyDescent="0.3">
      <c r="X625" s="17"/>
      <c r="AI625" s="17"/>
      <c r="AJ625" s="205"/>
      <c r="AK625" s="205"/>
      <c r="AL625" s="205"/>
      <c r="AM625" s="205"/>
    </row>
    <row r="626" spans="24:39" x14ac:dyDescent="0.3">
      <c r="X626" s="17"/>
      <c r="AI626" s="17"/>
      <c r="AJ626" s="205"/>
      <c r="AK626" s="205"/>
      <c r="AL626" s="205"/>
      <c r="AM626" s="205"/>
    </row>
    <row r="627" spans="24:39" x14ac:dyDescent="0.3">
      <c r="X627" s="17"/>
      <c r="AI627" s="17"/>
      <c r="AJ627" s="205"/>
      <c r="AK627" s="205"/>
      <c r="AL627" s="205"/>
      <c r="AM627" s="205"/>
    </row>
    <row r="628" spans="24:39" x14ac:dyDescent="0.3">
      <c r="X628" s="17"/>
      <c r="AI628" s="17"/>
      <c r="AJ628" s="205"/>
      <c r="AK628" s="205"/>
      <c r="AL628" s="205"/>
      <c r="AM628" s="205"/>
    </row>
    <row r="629" spans="24:39" x14ac:dyDescent="0.3">
      <c r="X629" s="17"/>
      <c r="AI629" s="17"/>
      <c r="AJ629" s="205"/>
      <c r="AK629" s="205"/>
      <c r="AL629" s="205"/>
      <c r="AM629" s="205"/>
    </row>
    <row r="630" spans="24:39" x14ac:dyDescent="0.3">
      <c r="X630" s="17"/>
      <c r="AI630" s="17"/>
      <c r="AJ630" s="205"/>
      <c r="AK630" s="205"/>
      <c r="AL630" s="205"/>
      <c r="AM630" s="205"/>
    </row>
    <row r="631" spans="24:39" x14ac:dyDescent="0.3">
      <c r="X631" s="17"/>
      <c r="AI631" s="17"/>
      <c r="AJ631" s="205"/>
      <c r="AK631" s="205"/>
      <c r="AL631" s="205"/>
      <c r="AM631" s="205"/>
    </row>
    <row r="632" spans="24:39" x14ac:dyDescent="0.3">
      <c r="X632" s="17"/>
      <c r="AI632" s="17"/>
      <c r="AJ632" s="205"/>
      <c r="AK632" s="205"/>
      <c r="AL632" s="205"/>
      <c r="AM632" s="205"/>
    </row>
    <row r="633" spans="24:39" x14ac:dyDescent="0.3">
      <c r="X633" s="17"/>
      <c r="AI633" s="17"/>
      <c r="AJ633" s="205"/>
      <c r="AK633" s="205"/>
      <c r="AL633" s="205"/>
      <c r="AM633" s="205"/>
    </row>
    <row r="634" spans="24:39" x14ac:dyDescent="0.3">
      <c r="X634" s="17"/>
      <c r="AI634" s="17"/>
      <c r="AJ634" s="205"/>
      <c r="AK634" s="205"/>
      <c r="AL634" s="205"/>
      <c r="AM634" s="205"/>
    </row>
    <row r="635" spans="24:39" x14ac:dyDescent="0.3">
      <c r="X635" s="17"/>
      <c r="AI635" s="17"/>
      <c r="AJ635" s="205"/>
      <c r="AK635" s="205"/>
      <c r="AL635" s="205"/>
      <c r="AM635" s="205"/>
    </row>
    <row r="636" spans="24:39" x14ac:dyDescent="0.3">
      <c r="X636" s="17"/>
      <c r="AI636" s="17"/>
      <c r="AJ636" s="205"/>
      <c r="AK636" s="205"/>
      <c r="AL636" s="205"/>
      <c r="AM636" s="205"/>
    </row>
    <row r="637" spans="24:39" x14ac:dyDescent="0.3">
      <c r="X637" s="17"/>
      <c r="AI637" s="17"/>
      <c r="AJ637" s="205"/>
      <c r="AK637" s="205"/>
      <c r="AL637" s="205"/>
      <c r="AM637" s="205"/>
    </row>
    <row r="638" spans="24:39" x14ac:dyDescent="0.3">
      <c r="X638" s="17"/>
      <c r="AI638" s="17"/>
      <c r="AJ638" s="205"/>
      <c r="AK638" s="205"/>
      <c r="AL638" s="205"/>
      <c r="AM638" s="205"/>
    </row>
    <row r="639" spans="24:39" x14ac:dyDescent="0.3">
      <c r="X639" s="17"/>
      <c r="AI639" s="17"/>
      <c r="AJ639" s="205"/>
      <c r="AK639" s="205"/>
      <c r="AL639" s="205"/>
      <c r="AM639" s="205"/>
    </row>
    <row r="640" spans="24:39" x14ac:dyDescent="0.3">
      <c r="X640" s="17"/>
      <c r="AI640" s="17"/>
      <c r="AJ640" s="205"/>
      <c r="AK640" s="205"/>
      <c r="AL640" s="205"/>
      <c r="AM640" s="205"/>
    </row>
    <row r="641" spans="24:39" x14ac:dyDescent="0.3">
      <c r="X641" s="17"/>
      <c r="AI641" s="17"/>
      <c r="AJ641" s="205"/>
      <c r="AK641" s="205"/>
      <c r="AL641" s="205"/>
      <c r="AM641" s="205"/>
    </row>
    <row r="642" spans="24:39" x14ac:dyDescent="0.3">
      <c r="X642" s="17"/>
      <c r="AI642" s="17"/>
      <c r="AJ642" s="205"/>
      <c r="AK642" s="205"/>
      <c r="AL642" s="205"/>
      <c r="AM642" s="205"/>
    </row>
    <row r="643" spans="24:39" x14ac:dyDescent="0.3">
      <c r="X643" s="17"/>
      <c r="AI643" s="17"/>
      <c r="AJ643" s="205"/>
      <c r="AK643" s="205"/>
      <c r="AL643" s="205"/>
      <c r="AM643" s="205"/>
    </row>
    <row r="644" spans="24:39" x14ac:dyDescent="0.3">
      <c r="X644" s="17"/>
      <c r="AI644" s="17"/>
      <c r="AJ644" s="205"/>
      <c r="AK644" s="205"/>
      <c r="AL644" s="205"/>
      <c r="AM644" s="205"/>
    </row>
    <row r="645" spans="24:39" x14ac:dyDescent="0.3">
      <c r="X645" s="17"/>
      <c r="AI645" s="17"/>
      <c r="AJ645" s="205"/>
      <c r="AK645" s="205"/>
      <c r="AL645" s="205"/>
      <c r="AM645" s="205"/>
    </row>
    <row r="646" spans="24:39" x14ac:dyDescent="0.3">
      <c r="X646" s="17"/>
      <c r="AI646" s="17"/>
      <c r="AJ646" s="205"/>
      <c r="AK646" s="205"/>
      <c r="AL646" s="205"/>
      <c r="AM646" s="205"/>
    </row>
    <row r="647" spans="24:39" x14ac:dyDescent="0.3">
      <c r="X647" s="17"/>
      <c r="AI647" s="17"/>
      <c r="AJ647" s="205"/>
      <c r="AK647" s="205"/>
      <c r="AL647" s="205"/>
      <c r="AM647" s="205"/>
    </row>
    <row r="648" spans="24:39" x14ac:dyDescent="0.3">
      <c r="X648" s="17"/>
      <c r="AI648" s="17"/>
      <c r="AJ648" s="205"/>
      <c r="AK648" s="205"/>
      <c r="AL648" s="205"/>
      <c r="AM648" s="205"/>
    </row>
    <row r="649" spans="24:39" x14ac:dyDescent="0.3">
      <c r="X649" s="17"/>
      <c r="AI649" s="17"/>
      <c r="AJ649" s="205"/>
      <c r="AK649" s="205"/>
      <c r="AL649" s="205"/>
      <c r="AM649" s="205"/>
    </row>
    <row r="650" spans="24:39" x14ac:dyDescent="0.3">
      <c r="X650" s="17"/>
      <c r="AI650" s="17"/>
      <c r="AJ650" s="205"/>
      <c r="AK650" s="205"/>
      <c r="AL650" s="205"/>
      <c r="AM650" s="205"/>
    </row>
    <row r="651" spans="24:39" x14ac:dyDescent="0.3">
      <c r="X651" s="17"/>
      <c r="AI651" s="17"/>
      <c r="AJ651" s="205"/>
      <c r="AK651" s="205"/>
      <c r="AL651" s="205"/>
      <c r="AM651" s="205"/>
    </row>
    <row r="652" spans="24:39" x14ac:dyDescent="0.3">
      <c r="X652" s="17"/>
      <c r="AI652" s="17"/>
      <c r="AJ652" s="205"/>
      <c r="AK652" s="205"/>
      <c r="AL652" s="205"/>
      <c r="AM652" s="205"/>
    </row>
    <row r="653" spans="24:39" x14ac:dyDescent="0.3">
      <c r="X653" s="17"/>
      <c r="AI653" s="17"/>
      <c r="AJ653" s="205"/>
      <c r="AK653" s="205"/>
      <c r="AL653" s="205"/>
      <c r="AM653" s="205"/>
    </row>
    <row r="654" spans="24:39" x14ac:dyDescent="0.3">
      <c r="X654" s="17"/>
      <c r="AI654" s="17"/>
      <c r="AJ654" s="205"/>
      <c r="AK654" s="205"/>
      <c r="AL654" s="205"/>
      <c r="AM654" s="205"/>
    </row>
    <row r="655" spans="24:39" x14ac:dyDescent="0.3">
      <c r="X655" s="17"/>
      <c r="AI655" s="17"/>
      <c r="AJ655" s="205"/>
      <c r="AK655" s="205"/>
      <c r="AL655" s="205"/>
      <c r="AM655" s="205"/>
    </row>
    <row r="656" spans="24:39" x14ac:dyDescent="0.3">
      <c r="X656" s="17"/>
      <c r="AI656" s="17"/>
      <c r="AJ656" s="205"/>
      <c r="AK656" s="205"/>
      <c r="AL656" s="205"/>
      <c r="AM656" s="205"/>
    </row>
    <row r="657" spans="24:39" x14ac:dyDescent="0.3">
      <c r="X657" s="17"/>
      <c r="AI657" s="17"/>
      <c r="AJ657" s="205"/>
      <c r="AK657" s="205"/>
      <c r="AL657" s="205"/>
      <c r="AM657" s="205"/>
    </row>
    <row r="658" spans="24:39" x14ac:dyDescent="0.3">
      <c r="X658" s="17"/>
      <c r="AI658" s="17"/>
      <c r="AJ658" s="205"/>
      <c r="AK658" s="205"/>
      <c r="AL658" s="205"/>
      <c r="AM658" s="205"/>
    </row>
    <row r="659" spans="24:39" x14ac:dyDescent="0.3">
      <c r="X659" s="17"/>
      <c r="AI659" s="17"/>
      <c r="AJ659" s="205"/>
      <c r="AK659" s="205"/>
      <c r="AL659" s="205"/>
      <c r="AM659" s="205"/>
    </row>
    <row r="660" spans="24:39" x14ac:dyDescent="0.3">
      <c r="X660" s="17"/>
      <c r="AI660" s="17"/>
      <c r="AJ660" s="205"/>
      <c r="AK660" s="205"/>
      <c r="AL660" s="205"/>
      <c r="AM660" s="205"/>
    </row>
    <row r="661" spans="24:39" x14ac:dyDescent="0.3">
      <c r="X661" s="17"/>
      <c r="AI661" s="17"/>
      <c r="AJ661" s="205"/>
      <c r="AK661" s="205"/>
      <c r="AL661" s="205"/>
      <c r="AM661" s="205"/>
    </row>
    <row r="662" spans="24:39" x14ac:dyDescent="0.3">
      <c r="X662" s="17"/>
      <c r="AI662" s="17"/>
      <c r="AJ662" s="205"/>
      <c r="AK662" s="205"/>
      <c r="AL662" s="205"/>
      <c r="AM662" s="205"/>
    </row>
    <row r="663" spans="24:39" x14ac:dyDescent="0.3">
      <c r="X663" s="17"/>
      <c r="AI663" s="17"/>
      <c r="AJ663" s="205"/>
      <c r="AK663" s="205"/>
      <c r="AL663" s="205"/>
      <c r="AM663" s="205"/>
    </row>
    <row r="664" spans="24:39" x14ac:dyDescent="0.3">
      <c r="X664" s="17"/>
      <c r="AI664" s="17"/>
      <c r="AJ664" s="205"/>
      <c r="AK664" s="205"/>
      <c r="AL664" s="205"/>
      <c r="AM664" s="205"/>
    </row>
    <row r="665" spans="24:39" x14ac:dyDescent="0.3">
      <c r="X665" s="17"/>
      <c r="AI665" s="17"/>
      <c r="AJ665" s="205"/>
      <c r="AK665" s="205"/>
      <c r="AL665" s="205"/>
      <c r="AM665" s="205"/>
    </row>
    <row r="666" spans="24:39" x14ac:dyDescent="0.3">
      <c r="X666" s="17"/>
      <c r="AI666" s="17"/>
      <c r="AJ666" s="205"/>
      <c r="AK666" s="205"/>
      <c r="AL666" s="205"/>
      <c r="AM666" s="205"/>
    </row>
    <row r="667" spans="24:39" x14ac:dyDescent="0.3">
      <c r="X667" s="17"/>
      <c r="AI667" s="17"/>
      <c r="AJ667" s="205"/>
      <c r="AK667" s="205"/>
      <c r="AL667" s="205"/>
      <c r="AM667" s="205"/>
    </row>
    <row r="668" spans="24:39" x14ac:dyDescent="0.3">
      <c r="X668" s="17"/>
      <c r="AI668" s="17"/>
      <c r="AJ668" s="205"/>
      <c r="AK668" s="205"/>
      <c r="AL668" s="205"/>
      <c r="AM668" s="205"/>
    </row>
    <row r="669" spans="24:39" x14ac:dyDescent="0.3">
      <c r="X669" s="17"/>
      <c r="AI669" s="17"/>
      <c r="AJ669" s="205"/>
      <c r="AK669" s="205"/>
      <c r="AL669" s="205"/>
      <c r="AM669" s="205"/>
    </row>
    <row r="670" spans="24:39" x14ac:dyDescent="0.3">
      <c r="X670" s="17"/>
      <c r="AI670" s="17"/>
      <c r="AJ670" s="205"/>
      <c r="AK670" s="205"/>
      <c r="AL670" s="205"/>
      <c r="AM670" s="205"/>
    </row>
    <row r="671" spans="24:39" x14ac:dyDescent="0.3">
      <c r="X671" s="17"/>
      <c r="AI671" s="17"/>
      <c r="AJ671" s="205"/>
      <c r="AK671" s="205"/>
      <c r="AL671" s="205"/>
      <c r="AM671" s="205"/>
    </row>
    <row r="672" spans="24:39" x14ac:dyDescent="0.3">
      <c r="X672" s="17"/>
      <c r="AI672" s="17"/>
      <c r="AJ672" s="205"/>
      <c r="AK672" s="205"/>
      <c r="AL672" s="205"/>
      <c r="AM672" s="205"/>
    </row>
    <row r="673" spans="24:39" x14ac:dyDescent="0.3">
      <c r="X673" s="17"/>
      <c r="AI673" s="17"/>
      <c r="AJ673" s="205"/>
      <c r="AK673" s="205"/>
      <c r="AL673" s="205"/>
      <c r="AM673" s="205"/>
    </row>
    <row r="674" spans="24:39" x14ac:dyDescent="0.3">
      <c r="X674" s="17"/>
      <c r="AI674" s="17"/>
      <c r="AJ674" s="205"/>
      <c r="AK674" s="205"/>
      <c r="AL674" s="205"/>
      <c r="AM674" s="205"/>
    </row>
    <row r="675" spans="24:39" x14ac:dyDescent="0.3">
      <c r="X675" s="17"/>
      <c r="AI675" s="17"/>
      <c r="AJ675" s="205"/>
      <c r="AK675" s="205"/>
      <c r="AL675" s="205"/>
      <c r="AM675" s="205"/>
    </row>
    <row r="676" spans="24:39" x14ac:dyDescent="0.3">
      <c r="X676" s="17"/>
      <c r="AI676" s="17"/>
      <c r="AJ676" s="205"/>
      <c r="AK676" s="205"/>
      <c r="AL676" s="205"/>
      <c r="AM676" s="205"/>
    </row>
    <row r="677" spans="24:39" x14ac:dyDescent="0.3">
      <c r="X677" s="17"/>
      <c r="AI677" s="17"/>
      <c r="AJ677" s="205"/>
      <c r="AK677" s="205"/>
      <c r="AL677" s="205"/>
      <c r="AM677" s="205"/>
    </row>
    <row r="678" spans="24:39" x14ac:dyDescent="0.3">
      <c r="X678" s="17"/>
      <c r="AI678" s="17"/>
      <c r="AJ678" s="205"/>
      <c r="AK678" s="205"/>
      <c r="AL678" s="205"/>
      <c r="AM678" s="205"/>
    </row>
    <row r="679" spans="24:39" x14ac:dyDescent="0.3">
      <c r="X679" s="17"/>
      <c r="AI679" s="17"/>
      <c r="AJ679" s="205"/>
      <c r="AK679" s="205"/>
      <c r="AL679" s="205"/>
      <c r="AM679" s="205"/>
    </row>
    <row r="680" spans="24:39" x14ac:dyDescent="0.3">
      <c r="X680" s="17"/>
      <c r="AI680" s="17"/>
      <c r="AJ680" s="205"/>
      <c r="AK680" s="205"/>
      <c r="AL680" s="205"/>
      <c r="AM680" s="205"/>
    </row>
    <row r="681" spans="24:39" x14ac:dyDescent="0.3">
      <c r="X681" s="17"/>
      <c r="AI681" s="17"/>
      <c r="AJ681" s="205"/>
      <c r="AK681" s="205"/>
      <c r="AL681" s="205"/>
      <c r="AM681" s="205"/>
    </row>
    <row r="682" spans="24:39" x14ac:dyDescent="0.3">
      <c r="X682" s="17"/>
      <c r="AI682" s="17"/>
      <c r="AJ682" s="205"/>
      <c r="AK682" s="205"/>
      <c r="AL682" s="205"/>
      <c r="AM682" s="205"/>
    </row>
    <row r="683" spans="24:39" x14ac:dyDescent="0.3">
      <c r="X683" s="17"/>
      <c r="AI683" s="17"/>
      <c r="AJ683" s="205"/>
      <c r="AK683" s="205"/>
      <c r="AL683" s="205"/>
      <c r="AM683" s="205"/>
    </row>
    <row r="684" spans="24:39" x14ac:dyDescent="0.3">
      <c r="X684" s="17"/>
      <c r="AI684" s="17"/>
      <c r="AJ684" s="205"/>
      <c r="AK684" s="205"/>
      <c r="AL684" s="205"/>
      <c r="AM684" s="205"/>
    </row>
    <row r="685" spans="24:39" x14ac:dyDescent="0.3">
      <c r="X685" s="17"/>
      <c r="AI685" s="17"/>
      <c r="AJ685" s="205"/>
      <c r="AK685" s="205"/>
      <c r="AL685" s="205"/>
      <c r="AM685" s="205"/>
    </row>
    <row r="686" spans="24:39" x14ac:dyDescent="0.3">
      <c r="X686" s="17"/>
      <c r="AI686" s="17"/>
      <c r="AJ686" s="205"/>
      <c r="AK686" s="205"/>
      <c r="AL686" s="205"/>
      <c r="AM686" s="205"/>
    </row>
    <row r="687" spans="24:39" x14ac:dyDescent="0.3">
      <c r="X687" s="17"/>
      <c r="AI687" s="17"/>
      <c r="AJ687" s="205"/>
      <c r="AK687" s="205"/>
      <c r="AL687" s="205"/>
      <c r="AM687" s="205"/>
    </row>
    <row r="688" spans="24:39" x14ac:dyDescent="0.3">
      <c r="X688" s="17"/>
      <c r="AI688" s="17"/>
      <c r="AJ688" s="205"/>
      <c r="AK688" s="205"/>
      <c r="AL688" s="205"/>
      <c r="AM688" s="205"/>
    </row>
    <row r="689" spans="24:39" x14ac:dyDescent="0.3">
      <c r="X689" s="17"/>
      <c r="AI689" s="17"/>
      <c r="AJ689" s="205"/>
      <c r="AK689" s="205"/>
      <c r="AL689" s="205"/>
      <c r="AM689" s="205"/>
    </row>
    <row r="690" spans="24:39" x14ac:dyDescent="0.3">
      <c r="X690" s="17"/>
      <c r="AI690" s="17"/>
      <c r="AJ690" s="205"/>
      <c r="AK690" s="205"/>
      <c r="AL690" s="205"/>
      <c r="AM690" s="205"/>
    </row>
    <row r="691" spans="24:39" x14ac:dyDescent="0.3">
      <c r="X691" s="17"/>
      <c r="AI691" s="17"/>
      <c r="AJ691" s="205"/>
      <c r="AK691" s="205"/>
      <c r="AL691" s="205"/>
      <c r="AM691" s="205"/>
    </row>
    <row r="692" spans="24:39" x14ac:dyDescent="0.3">
      <c r="X692" s="17"/>
      <c r="AI692" s="17"/>
      <c r="AJ692" s="205"/>
      <c r="AK692" s="205"/>
      <c r="AL692" s="205"/>
      <c r="AM692" s="205"/>
    </row>
    <row r="693" spans="24:39" x14ac:dyDescent="0.3">
      <c r="X693" s="17"/>
      <c r="AI693" s="17"/>
      <c r="AJ693" s="205"/>
      <c r="AK693" s="205"/>
      <c r="AL693" s="205"/>
      <c r="AM693" s="205"/>
    </row>
    <row r="694" spans="24:39" x14ac:dyDescent="0.3">
      <c r="X694" s="17"/>
      <c r="AI694" s="17"/>
      <c r="AJ694" s="205"/>
      <c r="AK694" s="205"/>
      <c r="AL694" s="205"/>
      <c r="AM694" s="205"/>
    </row>
    <row r="695" spans="24:39" x14ac:dyDescent="0.3">
      <c r="X695" s="17"/>
      <c r="AI695" s="17"/>
      <c r="AJ695" s="205"/>
      <c r="AK695" s="205"/>
      <c r="AL695" s="205"/>
      <c r="AM695" s="205"/>
    </row>
    <row r="696" spans="24:39" x14ac:dyDescent="0.3">
      <c r="X696" s="17"/>
      <c r="AI696" s="17"/>
      <c r="AJ696" s="205"/>
      <c r="AK696" s="205"/>
      <c r="AL696" s="205"/>
      <c r="AM696" s="205"/>
    </row>
    <row r="697" spans="24:39" x14ac:dyDescent="0.3">
      <c r="X697" s="17"/>
      <c r="AI697" s="17"/>
      <c r="AJ697" s="205"/>
      <c r="AK697" s="205"/>
      <c r="AL697" s="205"/>
      <c r="AM697" s="205"/>
    </row>
    <row r="698" spans="24:39" x14ac:dyDescent="0.3">
      <c r="X698" s="17"/>
      <c r="AI698" s="17"/>
      <c r="AJ698" s="205"/>
      <c r="AK698" s="205"/>
      <c r="AL698" s="205"/>
      <c r="AM698" s="205"/>
    </row>
    <row r="699" spans="24:39" x14ac:dyDescent="0.3">
      <c r="X699" s="17"/>
      <c r="AI699" s="17"/>
      <c r="AJ699" s="205"/>
      <c r="AK699" s="205"/>
      <c r="AL699" s="205"/>
      <c r="AM699" s="205"/>
    </row>
    <row r="700" spans="24:39" x14ac:dyDescent="0.3">
      <c r="X700" s="17"/>
      <c r="AI700" s="17"/>
      <c r="AJ700" s="205"/>
      <c r="AK700" s="205"/>
      <c r="AL700" s="205"/>
      <c r="AM700" s="205"/>
    </row>
    <row r="701" spans="24:39" x14ac:dyDescent="0.3">
      <c r="X701" s="17"/>
      <c r="AI701" s="17"/>
      <c r="AJ701" s="205"/>
      <c r="AK701" s="205"/>
      <c r="AL701" s="205"/>
      <c r="AM701" s="205"/>
    </row>
    <row r="702" spans="24:39" x14ac:dyDescent="0.3">
      <c r="X702" s="17"/>
      <c r="AI702" s="17"/>
      <c r="AJ702" s="205"/>
      <c r="AK702" s="205"/>
      <c r="AL702" s="205"/>
      <c r="AM702" s="205"/>
    </row>
    <row r="703" spans="24:39" x14ac:dyDescent="0.3">
      <c r="X703" s="17"/>
      <c r="AI703" s="17"/>
      <c r="AJ703" s="205"/>
      <c r="AK703" s="205"/>
      <c r="AL703" s="205"/>
      <c r="AM703" s="205"/>
    </row>
    <row r="704" spans="24:39" x14ac:dyDescent="0.3">
      <c r="X704" s="17"/>
      <c r="AI704" s="17"/>
      <c r="AJ704" s="205"/>
      <c r="AK704" s="205"/>
      <c r="AL704" s="205"/>
      <c r="AM704" s="205"/>
    </row>
    <row r="705" spans="24:39" x14ac:dyDescent="0.3">
      <c r="X705" s="17"/>
      <c r="AI705" s="17"/>
      <c r="AJ705" s="205"/>
      <c r="AK705" s="205"/>
      <c r="AL705" s="205"/>
      <c r="AM705" s="205"/>
    </row>
    <row r="706" spans="24:39" x14ac:dyDescent="0.3">
      <c r="X706" s="17"/>
      <c r="AI706" s="17"/>
      <c r="AJ706" s="205"/>
      <c r="AK706" s="205"/>
      <c r="AL706" s="205"/>
      <c r="AM706" s="205"/>
    </row>
    <row r="707" spans="24:39" x14ac:dyDescent="0.3">
      <c r="X707" s="17"/>
      <c r="AI707" s="17"/>
      <c r="AJ707" s="205"/>
      <c r="AK707" s="205"/>
      <c r="AL707" s="205"/>
      <c r="AM707" s="205"/>
    </row>
    <row r="708" spans="24:39" x14ac:dyDescent="0.3">
      <c r="X708" s="17"/>
      <c r="AI708" s="17"/>
      <c r="AJ708" s="205"/>
      <c r="AK708" s="205"/>
      <c r="AL708" s="205"/>
      <c r="AM708" s="205"/>
    </row>
    <row r="709" spans="24:39" x14ac:dyDescent="0.3">
      <c r="X709" s="17"/>
      <c r="AI709" s="17"/>
      <c r="AJ709" s="205"/>
      <c r="AK709" s="205"/>
      <c r="AL709" s="205"/>
      <c r="AM709" s="205"/>
    </row>
    <row r="710" spans="24:39" x14ac:dyDescent="0.3">
      <c r="X710" s="17"/>
      <c r="AI710" s="17"/>
      <c r="AJ710" s="205"/>
      <c r="AK710" s="205"/>
      <c r="AL710" s="205"/>
      <c r="AM710" s="205"/>
    </row>
    <row r="711" spans="24:39" x14ac:dyDescent="0.3">
      <c r="X711" s="17"/>
      <c r="AI711" s="17"/>
      <c r="AJ711" s="205"/>
      <c r="AK711" s="205"/>
      <c r="AL711" s="205"/>
      <c r="AM711" s="205"/>
    </row>
    <row r="712" spans="24:39" x14ac:dyDescent="0.3">
      <c r="X712" s="17"/>
      <c r="AI712" s="17"/>
      <c r="AJ712" s="205"/>
      <c r="AK712" s="205"/>
      <c r="AL712" s="205"/>
      <c r="AM712" s="205"/>
    </row>
    <row r="713" spans="24:39" x14ac:dyDescent="0.3">
      <c r="X713" s="17"/>
      <c r="AI713" s="17"/>
      <c r="AJ713" s="205"/>
      <c r="AK713" s="205"/>
      <c r="AL713" s="205"/>
      <c r="AM713" s="205"/>
    </row>
    <row r="714" spans="24:39" x14ac:dyDescent="0.3">
      <c r="X714" s="17"/>
      <c r="AI714" s="17"/>
      <c r="AJ714" s="205"/>
      <c r="AK714" s="205"/>
      <c r="AL714" s="205"/>
      <c r="AM714" s="205"/>
    </row>
    <row r="715" spans="24:39" x14ac:dyDescent="0.3">
      <c r="X715" s="17"/>
      <c r="AI715" s="17"/>
      <c r="AJ715" s="205"/>
      <c r="AK715" s="205"/>
      <c r="AL715" s="205"/>
      <c r="AM715" s="205"/>
    </row>
    <row r="716" spans="24:39" x14ac:dyDescent="0.3">
      <c r="X716" s="17"/>
      <c r="AI716" s="17"/>
      <c r="AJ716" s="205"/>
      <c r="AK716" s="205"/>
      <c r="AL716" s="205"/>
      <c r="AM716" s="205"/>
    </row>
    <row r="717" spans="24:39" x14ac:dyDescent="0.3">
      <c r="X717" s="17"/>
      <c r="AI717" s="17"/>
      <c r="AJ717" s="205"/>
      <c r="AK717" s="205"/>
      <c r="AL717" s="205"/>
      <c r="AM717" s="205"/>
    </row>
    <row r="718" spans="24:39" x14ac:dyDescent="0.3">
      <c r="X718" s="17"/>
      <c r="AI718" s="17"/>
      <c r="AJ718" s="205"/>
      <c r="AK718" s="205"/>
      <c r="AL718" s="205"/>
      <c r="AM718" s="205"/>
    </row>
    <row r="719" spans="24:39" x14ac:dyDescent="0.3">
      <c r="X719" s="17"/>
      <c r="AI719" s="17"/>
      <c r="AJ719" s="205"/>
      <c r="AK719" s="205"/>
      <c r="AL719" s="205"/>
      <c r="AM719" s="205"/>
    </row>
    <row r="720" spans="24:39" x14ac:dyDescent="0.3">
      <c r="X720" s="17"/>
      <c r="AI720" s="17"/>
      <c r="AJ720" s="205"/>
      <c r="AK720" s="205"/>
      <c r="AL720" s="205"/>
      <c r="AM720" s="205"/>
    </row>
    <row r="721" spans="24:39" x14ac:dyDescent="0.3">
      <c r="X721" s="17"/>
      <c r="AI721" s="17"/>
      <c r="AJ721" s="205"/>
      <c r="AK721" s="205"/>
      <c r="AL721" s="205"/>
      <c r="AM721" s="205"/>
    </row>
    <row r="722" spans="24:39" x14ac:dyDescent="0.3">
      <c r="X722" s="17"/>
      <c r="AI722" s="17"/>
      <c r="AJ722" s="205"/>
      <c r="AK722" s="205"/>
      <c r="AL722" s="205"/>
      <c r="AM722" s="205"/>
    </row>
    <row r="723" spans="24:39" x14ac:dyDescent="0.3">
      <c r="X723" s="17"/>
      <c r="AI723" s="17"/>
      <c r="AJ723" s="205"/>
      <c r="AK723" s="205"/>
      <c r="AL723" s="205"/>
      <c r="AM723" s="205"/>
    </row>
    <row r="724" spans="24:39" x14ac:dyDescent="0.3">
      <c r="X724" s="17"/>
      <c r="AI724" s="17"/>
      <c r="AJ724" s="205"/>
      <c r="AK724" s="205"/>
      <c r="AL724" s="205"/>
      <c r="AM724" s="205"/>
    </row>
    <row r="725" spans="24:39" x14ac:dyDescent="0.3">
      <c r="X725" s="17"/>
      <c r="AI725" s="17"/>
      <c r="AJ725" s="205"/>
      <c r="AK725" s="205"/>
      <c r="AL725" s="205"/>
      <c r="AM725" s="205"/>
    </row>
    <row r="726" spans="24:39" x14ac:dyDescent="0.3">
      <c r="X726" s="17"/>
      <c r="AI726" s="17"/>
      <c r="AJ726" s="205"/>
      <c r="AK726" s="205"/>
      <c r="AL726" s="205"/>
      <c r="AM726" s="205"/>
    </row>
    <row r="727" spans="24:39" x14ac:dyDescent="0.3">
      <c r="X727" s="17"/>
      <c r="AI727" s="17"/>
      <c r="AJ727" s="205"/>
      <c r="AK727" s="205"/>
      <c r="AL727" s="205"/>
      <c r="AM727" s="205"/>
    </row>
    <row r="728" spans="24:39" x14ac:dyDescent="0.3">
      <c r="X728" s="17"/>
      <c r="AI728" s="17"/>
      <c r="AJ728" s="205"/>
      <c r="AK728" s="205"/>
      <c r="AL728" s="205"/>
      <c r="AM728" s="205"/>
    </row>
    <row r="729" spans="24:39" x14ac:dyDescent="0.3">
      <c r="X729" s="17"/>
      <c r="AI729" s="17"/>
      <c r="AJ729" s="205"/>
      <c r="AK729" s="205"/>
      <c r="AL729" s="205"/>
      <c r="AM729" s="205"/>
    </row>
    <row r="730" spans="24:39" x14ac:dyDescent="0.3">
      <c r="X730" s="17"/>
      <c r="AI730" s="17"/>
      <c r="AJ730" s="205"/>
      <c r="AK730" s="205"/>
      <c r="AL730" s="205"/>
      <c r="AM730" s="205"/>
    </row>
    <row r="731" spans="24:39" x14ac:dyDescent="0.3">
      <c r="X731" s="17"/>
      <c r="AI731" s="17"/>
      <c r="AJ731" s="205"/>
      <c r="AK731" s="205"/>
      <c r="AL731" s="205"/>
      <c r="AM731" s="205"/>
    </row>
    <row r="732" spans="24:39" x14ac:dyDescent="0.3">
      <c r="X732" s="17"/>
      <c r="AI732" s="17"/>
      <c r="AJ732" s="205"/>
      <c r="AK732" s="205"/>
      <c r="AL732" s="205"/>
      <c r="AM732" s="205"/>
    </row>
    <row r="733" spans="24:39" x14ac:dyDescent="0.3">
      <c r="X733" s="17"/>
      <c r="AI733" s="17"/>
      <c r="AJ733" s="205"/>
      <c r="AK733" s="205"/>
      <c r="AL733" s="205"/>
      <c r="AM733" s="205"/>
    </row>
    <row r="734" spans="24:39" x14ac:dyDescent="0.3">
      <c r="X734" s="17"/>
      <c r="AI734" s="17"/>
      <c r="AJ734" s="205"/>
      <c r="AK734" s="205"/>
      <c r="AL734" s="205"/>
      <c r="AM734" s="205"/>
    </row>
    <row r="735" spans="24:39" x14ac:dyDescent="0.3">
      <c r="X735" s="17"/>
      <c r="AI735" s="17"/>
      <c r="AJ735" s="205"/>
      <c r="AK735" s="205"/>
      <c r="AL735" s="205"/>
      <c r="AM735" s="205"/>
    </row>
    <row r="736" spans="24:39" x14ac:dyDescent="0.3">
      <c r="X736" s="17"/>
      <c r="AI736" s="17"/>
      <c r="AJ736" s="205"/>
      <c r="AK736" s="205"/>
      <c r="AL736" s="205"/>
      <c r="AM736" s="205"/>
    </row>
    <row r="737" spans="24:39" x14ac:dyDescent="0.3">
      <c r="X737" s="17"/>
      <c r="AI737" s="17"/>
      <c r="AJ737" s="205"/>
      <c r="AK737" s="205"/>
      <c r="AL737" s="205"/>
      <c r="AM737" s="205"/>
    </row>
    <row r="738" spans="24:39" x14ac:dyDescent="0.3">
      <c r="X738" s="17"/>
      <c r="AI738" s="17"/>
      <c r="AJ738" s="205"/>
      <c r="AK738" s="205"/>
      <c r="AL738" s="205"/>
      <c r="AM738" s="205"/>
    </row>
    <row r="739" spans="24:39" x14ac:dyDescent="0.3">
      <c r="X739" s="17"/>
      <c r="AI739" s="17"/>
      <c r="AJ739" s="205"/>
      <c r="AK739" s="205"/>
      <c r="AL739" s="205"/>
      <c r="AM739" s="205"/>
    </row>
    <row r="740" spans="24:39" x14ac:dyDescent="0.3">
      <c r="X740" s="17"/>
      <c r="AI740" s="17"/>
      <c r="AJ740" s="205"/>
      <c r="AK740" s="205"/>
      <c r="AL740" s="205"/>
      <c r="AM740" s="205"/>
    </row>
    <row r="741" spans="24:39" x14ac:dyDescent="0.3">
      <c r="X741" s="17"/>
      <c r="AI741" s="17"/>
      <c r="AJ741" s="205"/>
      <c r="AK741" s="205"/>
      <c r="AL741" s="205"/>
      <c r="AM741" s="205"/>
    </row>
    <row r="742" spans="24:39" x14ac:dyDescent="0.3">
      <c r="X742" s="17"/>
      <c r="AI742" s="17"/>
      <c r="AJ742" s="205"/>
      <c r="AK742" s="205"/>
      <c r="AL742" s="205"/>
      <c r="AM742" s="205"/>
    </row>
    <row r="743" spans="24:39" x14ac:dyDescent="0.3">
      <c r="X743" s="17"/>
      <c r="AI743" s="17"/>
      <c r="AJ743" s="205"/>
      <c r="AK743" s="205"/>
      <c r="AL743" s="205"/>
      <c r="AM743" s="205"/>
    </row>
    <row r="744" spans="24:39" x14ac:dyDescent="0.3">
      <c r="X744" s="17"/>
      <c r="AI744" s="17"/>
      <c r="AJ744" s="205"/>
      <c r="AK744" s="205"/>
      <c r="AL744" s="205"/>
      <c r="AM744" s="205"/>
    </row>
    <row r="745" spans="24:39" x14ac:dyDescent="0.3">
      <c r="X745" s="17"/>
      <c r="AI745" s="17"/>
      <c r="AJ745" s="205"/>
      <c r="AK745" s="205"/>
      <c r="AL745" s="205"/>
      <c r="AM745" s="205"/>
    </row>
    <row r="746" spans="24:39" x14ac:dyDescent="0.3">
      <c r="X746" s="17"/>
      <c r="AI746" s="17"/>
      <c r="AJ746" s="205"/>
      <c r="AK746" s="205"/>
      <c r="AL746" s="205"/>
      <c r="AM746" s="205"/>
    </row>
    <row r="747" spans="24:39" x14ac:dyDescent="0.3">
      <c r="X747" s="17"/>
      <c r="AI747" s="17"/>
      <c r="AJ747" s="205"/>
      <c r="AK747" s="205"/>
      <c r="AL747" s="205"/>
      <c r="AM747" s="205"/>
    </row>
    <row r="748" spans="24:39" x14ac:dyDescent="0.3">
      <c r="X748" s="17"/>
      <c r="AI748" s="17"/>
      <c r="AJ748" s="205"/>
      <c r="AK748" s="205"/>
      <c r="AL748" s="205"/>
      <c r="AM748" s="205"/>
    </row>
    <row r="749" spans="24:39" x14ac:dyDescent="0.3">
      <c r="X749" s="17"/>
      <c r="AI749" s="17"/>
      <c r="AJ749" s="205"/>
      <c r="AK749" s="205"/>
      <c r="AL749" s="205"/>
      <c r="AM749" s="205"/>
    </row>
    <row r="750" spans="24:39" x14ac:dyDescent="0.3">
      <c r="X750" s="17"/>
      <c r="AI750" s="17"/>
      <c r="AJ750" s="205"/>
      <c r="AK750" s="205"/>
      <c r="AL750" s="205"/>
      <c r="AM750" s="205"/>
    </row>
    <row r="751" spans="24:39" x14ac:dyDescent="0.3">
      <c r="X751" s="17"/>
      <c r="AI751" s="17"/>
      <c r="AJ751" s="205"/>
      <c r="AK751" s="205"/>
      <c r="AL751" s="205"/>
      <c r="AM751" s="205"/>
    </row>
    <row r="752" spans="24:39" x14ac:dyDescent="0.3">
      <c r="X752" s="17"/>
      <c r="AI752" s="17"/>
      <c r="AJ752" s="205"/>
      <c r="AK752" s="205"/>
      <c r="AL752" s="205"/>
      <c r="AM752" s="205"/>
    </row>
    <row r="753" spans="24:39" x14ac:dyDescent="0.3">
      <c r="X753" s="17"/>
      <c r="AI753" s="17"/>
      <c r="AJ753" s="205"/>
      <c r="AK753" s="205"/>
      <c r="AL753" s="205"/>
      <c r="AM753" s="205"/>
    </row>
    <row r="754" spans="24:39" x14ac:dyDescent="0.3">
      <c r="X754" s="17"/>
      <c r="AI754" s="17"/>
      <c r="AJ754" s="205"/>
      <c r="AK754" s="205"/>
      <c r="AL754" s="205"/>
      <c r="AM754" s="205"/>
    </row>
    <row r="755" spans="24:39" x14ac:dyDescent="0.3">
      <c r="X755" s="17"/>
      <c r="AI755" s="17"/>
      <c r="AJ755" s="205"/>
      <c r="AK755" s="205"/>
      <c r="AL755" s="205"/>
      <c r="AM755" s="205"/>
    </row>
    <row r="756" spans="24:39" x14ac:dyDescent="0.3">
      <c r="X756" s="17"/>
      <c r="AI756" s="17"/>
      <c r="AJ756" s="205"/>
      <c r="AK756" s="205"/>
      <c r="AL756" s="205"/>
      <c r="AM756" s="205"/>
    </row>
    <row r="757" spans="24:39" x14ac:dyDescent="0.3">
      <c r="X757" s="17"/>
      <c r="AI757" s="17"/>
      <c r="AJ757" s="205"/>
      <c r="AK757" s="205"/>
      <c r="AL757" s="205"/>
      <c r="AM757" s="205"/>
    </row>
    <row r="758" spans="24:39" x14ac:dyDescent="0.3">
      <c r="X758" s="17"/>
      <c r="AI758" s="17"/>
      <c r="AJ758" s="205"/>
      <c r="AK758" s="205"/>
      <c r="AL758" s="205"/>
      <c r="AM758" s="205"/>
    </row>
    <row r="759" spans="24:39" x14ac:dyDescent="0.3">
      <c r="X759" s="17"/>
      <c r="AI759" s="17"/>
      <c r="AJ759" s="205"/>
      <c r="AK759" s="205"/>
      <c r="AL759" s="205"/>
      <c r="AM759" s="205"/>
    </row>
    <row r="760" spans="24:39" x14ac:dyDescent="0.3">
      <c r="X760" s="17"/>
      <c r="AI760" s="17"/>
      <c r="AJ760" s="205"/>
      <c r="AK760" s="205"/>
      <c r="AL760" s="205"/>
      <c r="AM760" s="205"/>
    </row>
    <row r="761" spans="24:39" x14ac:dyDescent="0.3">
      <c r="X761" s="17"/>
      <c r="AI761" s="17"/>
      <c r="AJ761" s="205"/>
      <c r="AK761" s="205"/>
      <c r="AL761" s="205"/>
      <c r="AM761" s="205"/>
    </row>
    <row r="762" spans="24:39" x14ac:dyDescent="0.3">
      <c r="X762" s="17"/>
      <c r="AI762" s="17"/>
      <c r="AJ762" s="205"/>
      <c r="AK762" s="205"/>
      <c r="AL762" s="205"/>
      <c r="AM762" s="205"/>
    </row>
    <row r="763" spans="24:39" x14ac:dyDescent="0.3">
      <c r="X763" s="17"/>
      <c r="AI763" s="17"/>
      <c r="AJ763" s="205"/>
      <c r="AK763" s="205"/>
      <c r="AL763" s="205"/>
      <c r="AM763" s="205"/>
    </row>
    <row r="764" spans="24:39" x14ac:dyDescent="0.3">
      <c r="X764" s="17"/>
      <c r="AI764" s="17"/>
      <c r="AJ764" s="205"/>
      <c r="AK764" s="205"/>
      <c r="AL764" s="205"/>
      <c r="AM764" s="205"/>
    </row>
    <row r="765" spans="24:39" x14ac:dyDescent="0.3">
      <c r="X765" s="17"/>
      <c r="AI765" s="17"/>
      <c r="AJ765" s="205"/>
      <c r="AK765" s="205"/>
      <c r="AL765" s="205"/>
      <c r="AM765" s="205"/>
    </row>
    <row r="766" spans="24:39" x14ac:dyDescent="0.3">
      <c r="X766" s="17"/>
      <c r="AI766" s="17"/>
      <c r="AJ766" s="205"/>
      <c r="AK766" s="205"/>
      <c r="AL766" s="205"/>
      <c r="AM766" s="205"/>
    </row>
    <row r="767" spans="24:39" x14ac:dyDescent="0.3">
      <c r="X767" s="17"/>
      <c r="AI767" s="17"/>
      <c r="AJ767" s="205"/>
      <c r="AK767" s="205"/>
      <c r="AL767" s="205"/>
      <c r="AM767" s="205"/>
    </row>
    <row r="768" spans="24:39" x14ac:dyDescent="0.3">
      <c r="X768" s="17"/>
      <c r="AI768" s="17"/>
      <c r="AJ768" s="205"/>
      <c r="AK768" s="205"/>
      <c r="AL768" s="205"/>
      <c r="AM768" s="205"/>
    </row>
    <row r="769" spans="24:39" x14ac:dyDescent="0.3">
      <c r="X769" s="17"/>
      <c r="AI769" s="17"/>
      <c r="AJ769" s="205"/>
      <c r="AK769" s="205"/>
      <c r="AL769" s="205"/>
      <c r="AM769" s="205"/>
    </row>
    <row r="770" spans="24:39" x14ac:dyDescent="0.3">
      <c r="X770" s="17"/>
      <c r="AI770" s="17"/>
      <c r="AJ770" s="205"/>
      <c r="AK770" s="205"/>
      <c r="AL770" s="205"/>
      <c r="AM770" s="205"/>
    </row>
    <row r="771" spans="24:39" x14ac:dyDescent="0.3">
      <c r="X771" s="17"/>
      <c r="AI771" s="17"/>
      <c r="AJ771" s="205"/>
      <c r="AK771" s="205"/>
      <c r="AL771" s="205"/>
      <c r="AM771" s="205"/>
    </row>
    <row r="772" spans="24:39" x14ac:dyDescent="0.3">
      <c r="X772" s="17"/>
      <c r="AI772" s="17"/>
      <c r="AJ772" s="205"/>
      <c r="AK772" s="205"/>
      <c r="AL772" s="205"/>
      <c r="AM772" s="205"/>
    </row>
    <row r="773" spans="24:39" x14ac:dyDescent="0.3">
      <c r="X773" s="17"/>
      <c r="AI773" s="17"/>
      <c r="AJ773" s="205"/>
      <c r="AK773" s="205"/>
      <c r="AL773" s="205"/>
      <c r="AM773" s="205"/>
    </row>
    <row r="774" spans="24:39" x14ac:dyDescent="0.3">
      <c r="X774" s="17"/>
      <c r="AI774" s="17"/>
      <c r="AJ774" s="205"/>
      <c r="AK774" s="205"/>
      <c r="AL774" s="205"/>
      <c r="AM774" s="205"/>
    </row>
    <row r="775" spans="24:39" x14ac:dyDescent="0.3">
      <c r="X775" s="17"/>
      <c r="AI775" s="17"/>
      <c r="AJ775" s="205"/>
      <c r="AK775" s="205"/>
      <c r="AL775" s="205"/>
      <c r="AM775" s="205"/>
    </row>
    <row r="776" spans="24:39" x14ac:dyDescent="0.3">
      <c r="X776" s="17"/>
      <c r="AI776" s="17"/>
      <c r="AJ776" s="205"/>
      <c r="AK776" s="205"/>
      <c r="AL776" s="205"/>
      <c r="AM776" s="205"/>
    </row>
    <row r="777" spans="24:39" x14ac:dyDescent="0.3">
      <c r="X777" s="17"/>
      <c r="AI777" s="17"/>
      <c r="AJ777" s="205"/>
      <c r="AK777" s="205"/>
      <c r="AL777" s="205"/>
      <c r="AM777" s="205"/>
    </row>
    <row r="778" spans="24:39" x14ac:dyDescent="0.3">
      <c r="X778" s="17"/>
      <c r="AI778" s="17"/>
      <c r="AJ778" s="205"/>
      <c r="AK778" s="205"/>
      <c r="AL778" s="205"/>
      <c r="AM778" s="205"/>
    </row>
    <row r="779" spans="24:39" x14ac:dyDescent="0.3">
      <c r="X779" s="17"/>
      <c r="AI779" s="17"/>
      <c r="AJ779" s="205"/>
      <c r="AK779" s="205"/>
      <c r="AL779" s="205"/>
      <c r="AM779" s="205"/>
    </row>
    <row r="780" spans="24:39" x14ac:dyDescent="0.3">
      <c r="X780" s="17"/>
      <c r="AI780" s="17"/>
      <c r="AJ780" s="205"/>
      <c r="AK780" s="205"/>
      <c r="AL780" s="205"/>
      <c r="AM780" s="205"/>
    </row>
    <row r="781" spans="24:39" x14ac:dyDescent="0.3">
      <c r="X781" s="17"/>
      <c r="AI781" s="17"/>
      <c r="AJ781" s="205"/>
      <c r="AK781" s="205"/>
      <c r="AL781" s="205"/>
      <c r="AM781" s="205"/>
    </row>
    <row r="782" spans="24:39" x14ac:dyDescent="0.3">
      <c r="X782" s="17"/>
      <c r="AI782" s="17"/>
      <c r="AJ782" s="205"/>
      <c r="AK782" s="205"/>
      <c r="AL782" s="205"/>
      <c r="AM782" s="205"/>
    </row>
    <row r="783" spans="24:39" x14ac:dyDescent="0.3">
      <c r="X783" s="17"/>
      <c r="AI783" s="17"/>
      <c r="AJ783" s="205"/>
      <c r="AK783" s="205"/>
      <c r="AL783" s="205"/>
      <c r="AM783" s="205"/>
    </row>
    <row r="784" spans="24:39" x14ac:dyDescent="0.3">
      <c r="X784" s="17"/>
      <c r="AI784" s="17"/>
      <c r="AJ784" s="205"/>
      <c r="AK784" s="205"/>
      <c r="AL784" s="205"/>
      <c r="AM784" s="205"/>
    </row>
    <row r="785" spans="24:39" x14ac:dyDescent="0.3">
      <c r="X785" s="17"/>
      <c r="AI785" s="17"/>
      <c r="AJ785" s="205"/>
      <c r="AK785" s="205"/>
      <c r="AL785" s="205"/>
      <c r="AM785" s="205"/>
    </row>
    <row r="786" spans="24:39" x14ac:dyDescent="0.3">
      <c r="X786" s="17"/>
      <c r="AI786" s="17"/>
      <c r="AJ786" s="205"/>
      <c r="AK786" s="205"/>
      <c r="AL786" s="205"/>
      <c r="AM786" s="205"/>
    </row>
    <row r="787" spans="24:39" x14ac:dyDescent="0.3">
      <c r="X787" s="17"/>
      <c r="AI787" s="17"/>
      <c r="AJ787" s="205"/>
      <c r="AK787" s="205"/>
      <c r="AL787" s="205"/>
      <c r="AM787" s="205"/>
    </row>
    <row r="788" spans="24:39" x14ac:dyDescent="0.3">
      <c r="X788" s="17"/>
      <c r="AI788" s="17"/>
      <c r="AJ788" s="205"/>
      <c r="AK788" s="205"/>
      <c r="AL788" s="205"/>
      <c r="AM788" s="205"/>
    </row>
    <row r="789" spans="24:39" x14ac:dyDescent="0.3">
      <c r="X789" s="17"/>
      <c r="AI789" s="17"/>
      <c r="AJ789" s="205"/>
      <c r="AK789" s="205"/>
      <c r="AL789" s="205"/>
      <c r="AM789" s="205"/>
    </row>
    <row r="790" spans="24:39" x14ac:dyDescent="0.3">
      <c r="X790" s="17"/>
      <c r="AI790" s="17"/>
      <c r="AJ790" s="205"/>
      <c r="AK790" s="205"/>
      <c r="AL790" s="205"/>
      <c r="AM790" s="205"/>
    </row>
    <row r="791" spans="24:39" x14ac:dyDescent="0.3">
      <c r="X791" s="17"/>
      <c r="AI791" s="17"/>
      <c r="AJ791" s="205"/>
      <c r="AK791" s="205"/>
      <c r="AL791" s="205"/>
      <c r="AM791" s="205"/>
    </row>
    <row r="792" spans="24:39" x14ac:dyDescent="0.3">
      <c r="X792" s="17"/>
      <c r="AI792" s="17"/>
      <c r="AJ792" s="205"/>
      <c r="AK792" s="205"/>
      <c r="AL792" s="205"/>
      <c r="AM792" s="205"/>
    </row>
    <row r="793" spans="24:39" x14ac:dyDescent="0.3">
      <c r="X793" s="17"/>
      <c r="AI793" s="17"/>
      <c r="AJ793" s="205"/>
      <c r="AK793" s="205"/>
      <c r="AL793" s="205"/>
      <c r="AM793" s="205"/>
    </row>
    <row r="794" spans="24:39" x14ac:dyDescent="0.3">
      <c r="X794" s="17"/>
      <c r="AI794" s="17"/>
      <c r="AJ794" s="205"/>
      <c r="AK794" s="205"/>
      <c r="AL794" s="205"/>
      <c r="AM794" s="205"/>
    </row>
    <row r="795" spans="24:39" x14ac:dyDescent="0.3">
      <c r="X795" s="17"/>
      <c r="AI795" s="17"/>
      <c r="AJ795" s="205"/>
      <c r="AK795" s="205"/>
      <c r="AL795" s="205"/>
      <c r="AM795" s="205"/>
    </row>
    <row r="796" spans="24:39" x14ac:dyDescent="0.3">
      <c r="X796" s="17"/>
      <c r="AI796" s="17"/>
      <c r="AJ796" s="205"/>
      <c r="AK796" s="205"/>
      <c r="AL796" s="205"/>
      <c r="AM796" s="205"/>
    </row>
    <row r="797" spans="24:39" x14ac:dyDescent="0.3">
      <c r="X797" s="17"/>
      <c r="AI797" s="17"/>
      <c r="AJ797" s="205"/>
      <c r="AK797" s="205"/>
      <c r="AL797" s="205"/>
      <c r="AM797" s="205"/>
    </row>
    <row r="798" spans="24:39" x14ac:dyDescent="0.3">
      <c r="X798" s="17"/>
      <c r="AI798" s="17"/>
      <c r="AJ798" s="205"/>
      <c r="AK798" s="205"/>
      <c r="AL798" s="205"/>
      <c r="AM798" s="205"/>
    </row>
    <row r="799" spans="24:39" x14ac:dyDescent="0.3">
      <c r="X799" s="17"/>
      <c r="AI799" s="17"/>
      <c r="AJ799" s="205"/>
      <c r="AK799" s="205"/>
      <c r="AL799" s="205"/>
      <c r="AM799" s="205"/>
    </row>
    <row r="800" spans="24:39" x14ac:dyDescent="0.3">
      <c r="X800" s="17"/>
      <c r="AI800" s="17"/>
      <c r="AJ800" s="205"/>
      <c r="AK800" s="205"/>
      <c r="AL800" s="205"/>
      <c r="AM800" s="205"/>
    </row>
    <row r="801" spans="24:39" x14ac:dyDescent="0.3">
      <c r="X801" s="17"/>
      <c r="AI801" s="17"/>
      <c r="AJ801" s="205"/>
      <c r="AK801" s="205"/>
      <c r="AL801" s="205"/>
      <c r="AM801" s="205"/>
    </row>
    <row r="802" spans="24:39" x14ac:dyDescent="0.3">
      <c r="X802" s="17"/>
      <c r="AI802" s="17"/>
      <c r="AJ802" s="205"/>
      <c r="AK802" s="205"/>
      <c r="AL802" s="205"/>
      <c r="AM802" s="205"/>
    </row>
    <row r="803" spans="24:39" x14ac:dyDescent="0.3">
      <c r="X803" s="17"/>
      <c r="AI803" s="17"/>
      <c r="AJ803" s="205"/>
      <c r="AK803" s="205"/>
      <c r="AL803" s="205"/>
      <c r="AM803" s="205"/>
    </row>
    <row r="804" spans="24:39" x14ac:dyDescent="0.3">
      <c r="X804" s="17"/>
      <c r="AI804" s="17"/>
      <c r="AJ804" s="205"/>
      <c r="AK804" s="205"/>
      <c r="AL804" s="205"/>
      <c r="AM804" s="205"/>
    </row>
    <row r="805" spans="24:39" x14ac:dyDescent="0.3">
      <c r="X805" s="17"/>
      <c r="AI805" s="17"/>
      <c r="AJ805" s="205"/>
      <c r="AK805" s="205"/>
      <c r="AL805" s="205"/>
      <c r="AM805" s="205"/>
    </row>
    <row r="806" spans="24:39" x14ac:dyDescent="0.3">
      <c r="X806" s="17"/>
      <c r="AI806" s="17"/>
      <c r="AJ806" s="205"/>
      <c r="AK806" s="205"/>
      <c r="AL806" s="205"/>
      <c r="AM806" s="205"/>
    </row>
    <row r="807" spans="24:39" x14ac:dyDescent="0.3">
      <c r="X807" s="17"/>
      <c r="AI807" s="17"/>
      <c r="AJ807" s="205"/>
      <c r="AK807" s="205"/>
      <c r="AL807" s="205"/>
      <c r="AM807" s="205"/>
    </row>
    <row r="808" spans="24:39" x14ac:dyDescent="0.3">
      <c r="X808" s="17"/>
      <c r="AI808" s="17"/>
      <c r="AJ808" s="205"/>
      <c r="AK808" s="205"/>
      <c r="AL808" s="205"/>
      <c r="AM808" s="205"/>
    </row>
    <row r="809" spans="24:39" x14ac:dyDescent="0.3">
      <c r="X809" s="17"/>
      <c r="AI809" s="17"/>
      <c r="AJ809" s="205"/>
      <c r="AK809" s="205"/>
      <c r="AL809" s="205"/>
      <c r="AM809" s="205"/>
    </row>
    <row r="810" spans="24:39" x14ac:dyDescent="0.3">
      <c r="X810" s="17"/>
      <c r="AI810" s="17"/>
      <c r="AJ810" s="205"/>
      <c r="AK810" s="205"/>
      <c r="AL810" s="205"/>
      <c r="AM810" s="205"/>
    </row>
    <row r="811" spans="24:39" x14ac:dyDescent="0.3">
      <c r="X811" s="17"/>
      <c r="AI811" s="17"/>
      <c r="AJ811" s="205"/>
      <c r="AK811" s="205"/>
      <c r="AL811" s="205"/>
      <c r="AM811" s="205"/>
    </row>
    <row r="812" spans="24:39" x14ac:dyDescent="0.3">
      <c r="X812" s="17"/>
      <c r="AI812" s="17"/>
      <c r="AJ812" s="205"/>
      <c r="AK812" s="205"/>
      <c r="AL812" s="205"/>
      <c r="AM812" s="205"/>
    </row>
    <row r="813" spans="24:39" x14ac:dyDescent="0.3">
      <c r="X813" s="17"/>
      <c r="AI813" s="17"/>
      <c r="AJ813" s="205"/>
      <c r="AK813" s="205"/>
      <c r="AL813" s="205"/>
      <c r="AM813" s="205"/>
    </row>
    <row r="814" spans="24:39" x14ac:dyDescent="0.3">
      <c r="X814" s="17"/>
      <c r="AI814" s="17"/>
      <c r="AJ814" s="205"/>
      <c r="AK814" s="205"/>
      <c r="AL814" s="205"/>
      <c r="AM814" s="205"/>
    </row>
    <row r="815" spans="24:39" x14ac:dyDescent="0.3">
      <c r="X815" s="17"/>
      <c r="AI815" s="17"/>
      <c r="AJ815" s="205"/>
      <c r="AK815" s="205"/>
      <c r="AL815" s="205"/>
      <c r="AM815" s="205"/>
    </row>
    <row r="816" spans="24:39" x14ac:dyDescent="0.3">
      <c r="X816" s="17"/>
      <c r="AI816" s="17"/>
      <c r="AJ816" s="205"/>
      <c r="AK816" s="205"/>
      <c r="AL816" s="205"/>
      <c r="AM816" s="205"/>
    </row>
    <row r="817" spans="24:39" x14ac:dyDescent="0.3">
      <c r="X817" s="17"/>
      <c r="AI817" s="17"/>
      <c r="AJ817" s="205"/>
      <c r="AK817" s="205"/>
      <c r="AL817" s="205"/>
      <c r="AM817" s="205"/>
    </row>
    <row r="818" spans="24:39" x14ac:dyDescent="0.3">
      <c r="X818" s="17"/>
      <c r="AI818" s="17"/>
      <c r="AJ818" s="205"/>
      <c r="AK818" s="205"/>
      <c r="AL818" s="205"/>
      <c r="AM818" s="205"/>
    </row>
    <row r="819" spans="24:39" x14ac:dyDescent="0.3">
      <c r="X819" s="17"/>
      <c r="AI819" s="17"/>
      <c r="AJ819" s="205"/>
      <c r="AK819" s="205"/>
      <c r="AL819" s="205"/>
      <c r="AM819" s="205"/>
    </row>
    <row r="820" spans="24:39" x14ac:dyDescent="0.3">
      <c r="X820" s="17"/>
      <c r="AI820" s="17"/>
      <c r="AJ820" s="205"/>
      <c r="AK820" s="205"/>
      <c r="AL820" s="205"/>
      <c r="AM820" s="205"/>
    </row>
    <row r="821" spans="24:39" x14ac:dyDescent="0.3">
      <c r="X821" s="17"/>
      <c r="AI821" s="17"/>
      <c r="AJ821" s="205"/>
      <c r="AK821" s="205"/>
      <c r="AL821" s="205"/>
      <c r="AM821" s="205"/>
    </row>
    <row r="822" spans="24:39" x14ac:dyDescent="0.3">
      <c r="X822" s="17"/>
      <c r="AI822" s="17"/>
      <c r="AJ822" s="205"/>
      <c r="AK822" s="205"/>
      <c r="AL822" s="205"/>
      <c r="AM822" s="205"/>
    </row>
    <row r="823" spans="24:39" x14ac:dyDescent="0.3">
      <c r="X823" s="17"/>
      <c r="AI823" s="17"/>
      <c r="AJ823" s="205"/>
      <c r="AK823" s="205"/>
      <c r="AL823" s="205"/>
      <c r="AM823" s="205"/>
    </row>
    <row r="824" spans="24:39" x14ac:dyDescent="0.3">
      <c r="X824" s="17"/>
      <c r="AI824" s="17"/>
      <c r="AJ824" s="205"/>
      <c r="AK824" s="205"/>
      <c r="AL824" s="205"/>
      <c r="AM824" s="205"/>
    </row>
    <row r="825" spans="24:39" x14ac:dyDescent="0.3">
      <c r="X825" s="17"/>
      <c r="AI825" s="17"/>
      <c r="AJ825" s="205"/>
      <c r="AK825" s="205"/>
      <c r="AL825" s="205"/>
      <c r="AM825" s="205"/>
    </row>
    <row r="826" spans="24:39" x14ac:dyDescent="0.3">
      <c r="X826" s="17"/>
      <c r="AI826" s="17"/>
      <c r="AJ826" s="205"/>
      <c r="AK826" s="205"/>
      <c r="AL826" s="205"/>
      <c r="AM826" s="205"/>
    </row>
    <row r="827" spans="24:39" x14ac:dyDescent="0.3">
      <c r="X827" s="17"/>
      <c r="AI827" s="17"/>
      <c r="AJ827" s="205"/>
      <c r="AK827" s="205"/>
      <c r="AL827" s="205"/>
      <c r="AM827" s="205"/>
    </row>
    <row r="828" spans="24:39" x14ac:dyDescent="0.3">
      <c r="X828" s="17"/>
      <c r="AI828" s="17"/>
      <c r="AJ828" s="205"/>
      <c r="AK828" s="205"/>
      <c r="AL828" s="205"/>
      <c r="AM828" s="205"/>
    </row>
    <row r="829" spans="24:39" x14ac:dyDescent="0.3">
      <c r="X829" s="17"/>
      <c r="AI829" s="17"/>
      <c r="AJ829" s="205"/>
      <c r="AK829" s="205"/>
      <c r="AL829" s="205"/>
      <c r="AM829" s="205"/>
    </row>
    <row r="830" spans="24:39" x14ac:dyDescent="0.3">
      <c r="X830" s="17"/>
      <c r="AI830" s="17"/>
      <c r="AJ830" s="205"/>
      <c r="AK830" s="205"/>
      <c r="AL830" s="205"/>
      <c r="AM830" s="205"/>
    </row>
    <row r="831" spans="24:39" x14ac:dyDescent="0.3">
      <c r="X831" s="17"/>
      <c r="AI831" s="17"/>
      <c r="AJ831" s="205"/>
      <c r="AK831" s="205"/>
      <c r="AL831" s="205"/>
      <c r="AM831" s="205"/>
    </row>
    <row r="832" spans="24:39" x14ac:dyDescent="0.3">
      <c r="X832" s="17"/>
      <c r="AI832" s="17"/>
      <c r="AJ832" s="205"/>
      <c r="AK832" s="205"/>
      <c r="AL832" s="205"/>
      <c r="AM832" s="205"/>
    </row>
    <row r="833" spans="24:39" x14ac:dyDescent="0.3">
      <c r="X833" s="17"/>
      <c r="AI833" s="17"/>
      <c r="AJ833" s="205"/>
      <c r="AK833" s="205"/>
      <c r="AL833" s="205"/>
      <c r="AM833" s="205"/>
    </row>
    <row r="834" spans="24:39" x14ac:dyDescent="0.3">
      <c r="X834" s="17"/>
      <c r="AI834" s="17"/>
      <c r="AJ834" s="205"/>
      <c r="AK834" s="205"/>
      <c r="AL834" s="205"/>
      <c r="AM834" s="205"/>
    </row>
    <row r="835" spans="24:39" x14ac:dyDescent="0.3">
      <c r="X835" s="17"/>
      <c r="AI835" s="17"/>
      <c r="AJ835" s="205"/>
      <c r="AK835" s="205"/>
      <c r="AL835" s="205"/>
      <c r="AM835" s="205"/>
    </row>
    <row r="836" spans="24:39" x14ac:dyDescent="0.3">
      <c r="X836" s="17"/>
      <c r="AI836" s="17"/>
      <c r="AJ836" s="205"/>
      <c r="AK836" s="205"/>
      <c r="AL836" s="205"/>
      <c r="AM836" s="205"/>
    </row>
    <row r="837" spans="24:39" x14ac:dyDescent="0.3">
      <c r="X837" s="17"/>
      <c r="AI837" s="17"/>
      <c r="AJ837" s="205"/>
      <c r="AK837" s="205"/>
      <c r="AL837" s="205"/>
      <c r="AM837" s="205"/>
    </row>
    <row r="838" spans="24:39" x14ac:dyDescent="0.3">
      <c r="X838" s="17"/>
      <c r="AI838" s="17"/>
      <c r="AJ838" s="205"/>
      <c r="AK838" s="205"/>
      <c r="AL838" s="205"/>
      <c r="AM838" s="205"/>
    </row>
    <row r="839" spans="24:39" x14ac:dyDescent="0.3">
      <c r="X839" s="17"/>
      <c r="AI839" s="17"/>
      <c r="AJ839" s="205"/>
      <c r="AK839" s="205"/>
      <c r="AL839" s="205"/>
      <c r="AM839" s="205"/>
    </row>
    <row r="840" spans="24:39" x14ac:dyDescent="0.3">
      <c r="X840" s="17"/>
      <c r="AI840" s="17"/>
      <c r="AJ840" s="205"/>
      <c r="AK840" s="205"/>
      <c r="AL840" s="205"/>
      <c r="AM840" s="205"/>
    </row>
    <row r="841" spans="24:39" x14ac:dyDescent="0.3">
      <c r="X841" s="17"/>
      <c r="AI841" s="17"/>
      <c r="AJ841" s="205"/>
      <c r="AK841" s="205"/>
      <c r="AL841" s="205"/>
      <c r="AM841" s="205"/>
    </row>
    <row r="842" spans="24:39" x14ac:dyDescent="0.3">
      <c r="X842" s="17"/>
      <c r="AI842" s="17"/>
      <c r="AJ842" s="205"/>
      <c r="AK842" s="205"/>
      <c r="AL842" s="205"/>
      <c r="AM842" s="205"/>
    </row>
    <row r="843" spans="24:39" x14ac:dyDescent="0.3">
      <c r="X843" s="17"/>
      <c r="AI843" s="17"/>
      <c r="AJ843" s="205"/>
      <c r="AK843" s="205"/>
      <c r="AL843" s="205"/>
      <c r="AM843" s="205"/>
    </row>
    <row r="844" spans="24:39" x14ac:dyDescent="0.3">
      <c r="X844" s="17"/>
      <c r="AI844" s="17"/>
      <c r="AJ844" s="205"/>
      <c r="AK844" s="205"/>
      <c r="AL844" s="205"/>
      <c r="AM844" s="205"/>
    </row>
    <row r="845" spans="24:39" x14ac:dyDescent="0.3">
      <c r="X845" s="17"/>
      <c r="AI845" s="17"/>
      <c r="AJ845" s="205"/>
      <c r="AK845" s="205"/>
      <c r="AL845" s="205"/>
      <c r="AM845" s="205"/>
    </row>
    <row r="846" spans="24:39" x14ac:dyDescent="0.3">
      <c r="X846" s="17"/>
      <c r="AI846" s="17"/>
      <c r="AJ846" s="205"/>
      <c r="AK846" s="205"/>
      <c r="AL846" s="205"/>
      <c r="AM846" s="205"/>
    </row>
    <row r="847" spans="24:39" x14ac:dyDescent="0.3">
      <c r="X847" s="17"/>
      <c r="AI847" s="17"/>
      <c r="AJ847" s="205"/>
      <c r="AK847" s="205"/>
      <c r="AL847" s="205"/>
      <c r="AM847" s="205"/>
    </row>
    <row r="848" spans="24:39" x14ac:dyDescent="0.3">
      <c r="X848" s="17"/>
      <c r="AI848" s="17"/>
      <c r="AJ848" s="205"/>
      <c r="AK848" s="205"/>
      <c r="AL848" s="205"/>
      <c r="AM848" s="205"/>
    </row>
    <row r="849" spans="24:39" x14ac:dyDescent="0.3">
      <c r="X849" s="17"/>
      <c r="AI849" s="17"/>
      <c r="AJ849" s="205"/>
      <c r="AK849" s="205"/>
      <c r="AL849" s="205"/>
      <c r="AM849" s="205"/>
    </row>
    <row r="850" spans="24:39" x14ac:dyDescent="0.3">
      <c r="X850" s="17"/>
      <c r="AI850" s="17"/>
      <c r="AJ850" s="205"/>
      <c r="AK850" s="205"/>
      <c r="AL850" s="205"/>
      <c r="AM850" s="205"/>
    </row>
    <row r="851" spans="24:39" x14ac:dyDescent="0.3">
      <c r="X851" s="17"/>
      <c r="AI851" s="17"/>
      <c r="AJ851" s="205"/>
      <c r="AK851" s="205"/>
      <c r="AL851" s="205"/>
      <c r="AM851" s="205"/>
    </row>
    <row r="852" spans="24:39" x14ac:dyDescent="0.3">
      <c r="X852" s="17"/>
      <c r="AI852" s="17"/>
      <c r="AJ852" s="205"/>
      <c r="AK852" s="205"/>
      <c r="AL852" s="205"/>
      <c r="AM852" s="205"/>
    </row>
    <row r="853" spans="24:39" x14ac:dyDescent="0.3">
      <c r="X853" s="17"/>
      <c r="AI853" s="17"/>
      <c r="AJ853" s="205"/>
      <c r="AK853" s="205"/>
      <c r="AL853" s="205"/>
      <c r="AM853" s="205"/>
    </row>
    <row r="854" spans="24:39" x14ac:dyDescent="0.3">
      <c r="X854" s="17"/>
      <c r="AI854" s="17"/>
      <c r="AJ854" s="205"/>
      <c r="AK854" s="205"/>
      <c r="AL854" s="205"/>
      <c r="AM854" s="205"/>
    </row>
    <row r="855" spans="24:39" x14ac:dyDescent="0.3">
      <c r="X855" s="17"/>
      <c r="AI855" s="17"/>
      <c r="AJ855" s="205"/>
      <c r="AK855" s="205"/>
      <c r="AL855" s="205"/>
      <c r="AM855" s="205"/>
    </row>
    <row r="856" spans="24:39" x14ac:dyDescent="0.3">
      <c r="X856" s="17"/>
      <c r="AI856" s="17"/>
      <c r="AJ856" s="205"/>
      <c r="AK856" s="205"/>
      <c r="AL856" s="205"/>
      <c r="AM856" s="205"/>
    </row>
    <row r="857" spans="24:39" x14ac:dyDescent="0.3">
      <c r="X857" s="17"/>
      <c r="AI857" s="17"/>
      <c r="AJ857" s="205"/>
      <c r="AK857" s="205"/>
      <c r="AL857" s="205"/>
      <c r="AM857" s="205"/>
    </row>
    <row r="858" spans="24:39" x14ac:dyDescent="0.3">
      <c r="X858" s="17"/>
      <c r="AI858" s="17"/>
      <c r="AJ858" s="205"/>
      <c r="AK858" s="205"/>
      <c r="AL858" s="205"/>
      <c r="AM858" s="205"/>
    </row>
    <row r="859" spans="24:39" x14ac:dyDescent="0.3">
      <c r="X859" s="17"/>
      <c r="AI859" s="17"/>
      <c r="AJ859" s="205"/>
      <c r="AK859" s="205"/>
      <c r="AL859" s="205"/>
      <c r="AM859" s="205"/>
    </row>
    <row r="860" spans="24:39" x14ac:dyDescent="0.3">
      <c r="X860" s="17"/>
      <c r="AI860" s="17"/>
      <c r="AJ860" s="205"/>
      <c r="AK860" s="205"/>
      <c r="AL860" s="205"/>
      <c r="AM860" s="205"/>
    </row>
    <row r="861" spans="24:39" x14ac:dyDescent="0.3">
      <c r="X861" s="17"/>
      <c r="AI861" s="17"/>
      <c r="AJ861" s="205"/>
      <c r="AK861" s="205"/>
      <c r="AL861" s="205"/>
      <c r="AM861" s="205"/>
    </row>
    <row r="862" spans="24:39" x14ac:dyDescent="0.3">
      <c r="X862" s="17"/>
      <c r="AI862" s="17"/>
      <c r="AJ862" s="205"/>
      <c r="AK862" s="205"/>
      <c r="AL862" s="205"/>
      <c r="AM862" s="205"/>
    </row>
    <row r="863" spans="24:39" x14ac:dyDescent="0.3">
      <c r="X863" s="17"/>
      <c r="AI863" s="17"/>
      <c r="AJ863" s="205"/>
      <c r="AK863" s="205"/>
      <c r="AL863" s="205"/>
      <c r="AM863" s="205"/>
    </row>
    <row r="864" spans="24:39" x14ac:dyDescent="0.3">
      <c r="X864" s="17"/>
      <c r="AI864" s="17"/>
      <c r="AJ864" s="205"/>
      <c r="AK864" s="205"/>
      <c r="AL864" s="205"/>
      <c r="AM864" s="205"/>
    </row>
    <row r="865" spans="24:39" x14ac:dyDescent="0.3">
      <c r="X865" s="17"/>
      <c r="AI865" s="17"/>
      <c r="AJ865" s="205"/>
      <c r="AK865" s="205"/>
      <c r="AL865" s="205"/>
      <c r="AM865" s="205"/>
    </row>
    <row r="866" spans="24:39" x14ac:dyDescent="0.3">
      <c r="X866" s="17"/>
      <c r="AI866" s="17"/>
      <c r="AJ866" s="205"/>
      <c r="AK866" s="205"/>
      <c r="AL866" s="205"/>
      <c r="AM866" s="205"/>
    </row>
    <row r="867" spans="24:39" x14ac:dyDescent="0.3">
      <c r="X867" s="17"/>
      <c r="AI867" s="17"/>
      <c r="AJ867" s="205"/>
      <c r="AK867" s="205"/>
      <c r="AL867" s="205"/>
      <c r="AM867" s="205"/>
    </row>
    <row r="868" spans="24:39" x14ac:dyDescent="0.3">
      <c r="X868" s="17"/>
      <c r="AI868" s="17"/>
      <c r="AJ868" s="205"/>
      <c r="AK868" s="205"/>
      <c r="AL868" s="205"/>
      <c r="AM868" s="205"/>
    </row>
    <row r="869" spans="24:39" x14ac:dyDescent="0.3">
      <c r="X869" s="17"/>
      <c r="AI869" s="17"/>
      <c r="AJ869" s="205"/>
      <c r="AK869" s="205"/>
      <c r="AL869" s="205"/>
      <c r="AM869" s="205"/>
    </row>
    <row r="870" spans="24:39" x14ac:dyDescent="0.3">
      <c r="X870" s="17"/>
      <c r="AI870" s="17"/>
      <c r="AJ870" s="205"/>
      <c r="AK870" s="205"/>
      <c r="AL870" s="205"/>
      <c r="AM870" s="205"/>
    </row>
    <row r="871" spans="24:39" x14ac:dyDescent="0.3">
      <c r="X871" s="17"/>
      <c r="AI871" s="17"/>
      <c r="AJ871" s="205"/>
      <c r="AK871" s="205"/>
      <c r="AL871" s="205"/>
      <c r="AM871" s="205"/>
    </row>
    <row r="872" spans="24:39" x14ac:dyDescent="0.3">
      <c r="X872" s="17"/>
      <c r="AI872" s="17"/>
      <c r="AJ872" s="205"/>
      <c r="AK872" s="205"/>
      <c r="AL872" s="205"/>
      <c r="AM872" s="205"/>
    </row>
    <row r="873" spans="24:39" x14ac:dyDescent="0.3">
      <c r="X873" s="17"/>
      <c r="AI873" s="17"/>
      <c r="AJ873" s="205"/>
      <c r="AK873" s="205"/>
      <c r="AL873" s="205"/>
      <c r="AM873" s="205"/>
    </row>
    <row r="874" spans="24:39" x14ac:dyDescent="0.3">
      <c r="X874" s="17"/>
      <c r="AI874" s="17"/>
      <c r="AJ874" s="205"/>
      <c r="AK874" s="205"/>
      <c r="AL874" s="205"/>
      <c r="AM874" s="205"/>
    </row>
    <row r="875" spans="24:39" x14ac:dyDescent="0.3">
      <c r="X875" s="17"/>
      <c r="AI875" s="17"/>
      <c r="AJ875" s="205"/>
      <c r="AK875" s="205"/>
      <c r="AL875" s="205"/>
      <c r="AM875" s="205"/>
    </row>
    <row r="876" spans="24:39" x14ac:dyDescent="0.3">
      <c r="X876" s="17"/>
      <c r="AI876" s="17"/>
      <c r="AJ876" s="205"/>
      <c r="AK876" s="205"/>
      <c r="AL876" s="205"/>
      <c r="AM876" s="205"/>
    </row>
    <row r="877" spans="24:39" x14ac:dyDescent="0.3">
      <c r="X877" s="17"/>
      <c r="AI877" s="17"/>
      <c r="AJ877" s="205"/>
      <c r="AK877" s="205"/>
      <c r="AL877" s="205"/>
      <c r="AM877" s="205"/>
    </row>
    <row r="878" spans="24:39" x14ac:dyDescent="0.3">
      <c r="X878" s="17"/>
      <c r="AI878" s="17"/>
      <c r="AJ878" s="205"/>
      <c r="AK878" s="205"/>
      <c r="AL878" s="205"/>
      <c r="AM878" s="205"/>
    </row>
    <row r="879" spans="24:39" x14ac:dyDescent="0.3">
      <c r="X879" s="17"/>
      <c r="AI879" s="17"/>
      <c r="AJ879" s="205"/>
      <c r="AK879" s="205"/>
      <c r="AL879" s="205"/>
      <c r="AM879" s="205"/>
    </row>
    <row r="880" spans="24:39" x14ac:dyDescent="0.3">
      <c r="X880" s="17"/>
      <c r="AI880" s="17"/>
      <c r="AJ880" s="205"/>
      <c r="AK880" s="205"/>
      <c r="AL880" s="205"/>
      <c r="AM880" s="205"/>
    </row>
    <row r="881" spans="24:39" x14ac:dyDescent="0.3">
      <c r="X881" s="17"/>
      <c r="AI881" s="17"/>
      <c r="AJ881" s="205"/>
      <c r="AK881" s="205"/>
      <c r="AL881" s="205"/>
      <c r="AM881" s="205"/>
    </row>
    <row r="882" spans="24:39" x14ac:dyDescent="0.3">
      <c r="X882" s="17"/>
      <c r="AI882" s="17"/>
      <c r="AJ882" s="205"/>
      <c r="AK882" s="205"/>
      <c r="AL882" s="205"/>
      <c r="AM882" s="205"/>
    </row>
    <row r="883" spans="24:39" x14ac:dyDescent="0.3">
      <c r="X883" s="17"/>
      <c r="AI883" s="17"/>
      <c r="AJ883" s="205"/>
      <c r="AK883" s="205"/>
      <c r="AL883" s="205"/>
      <c r="AM883" s="205"/>
    </row>
    <row r="884" spans="24:39" x14ac:dyDescent="0.3">
      <c r="X884" s="17"/>
      <c r="AI884" s="17"/>
      <c r="AJ884" s="205"/>
      <c r="AK884" s="205"/>
      <c r="AL884" s="205"/>
      <c r="AM884" s="205"/>
    </row>
    <row r="885" spans="24:39" x14ac:dyDescent="0.3">
      <c r="X885" s="17"/>
      <c r="AI885" s="17"/>
      <c r="AJ885" s="205"/>
      <c r="AK885" s="205"/>
      <c r="AL885" s="205"/>
      <c r="AM885" s="205"/>
    </row>
    <row r="886" spans="24:39" x14ac:dyDescent="0.3">
      <c r="X886" s="17"/>
      <c r="AI886" s="17"/>
      <c r="AJ886" s="205"/>
      <c r="AK886" s="205"/>
      <c r="AL886" s="205"/>
      <c r="AM886" s="205"/>
    </row>
    <row r="887" spans="24:39" x14ac:dyDescent="0.3">
      <c r="X887" s="17"/>
      <c r="AI887" s="17"/>
      <c r="AJ887" s="205"/>
      <c r="AK887" s="205"/>
      <c r="AL887" s="205"/>
      <c r="AM887" s="205"/>
    </row>
    <row r="888" spans="24:39" x14ac:dyDescent="0.3">
      <c r="X888" s="17"/>
      <c r="AI888" s="17"/>
      <c r="AJ888" s="205"/>
      <c r="AK888" s="205"/>
      <c r="AL888" s="205"/>
      <c r="AM888" s="205"/>
    </row>
    <row r="889" spans="24:39" x14ac:dyDescent="0.3">
      <c r="X889" s="17"/>
      <c r="AI889" s="17"/>
      <c r="AJ889" s="205"/>
      <c r="AK889" s="205"/>
      <c r="AL889" s="205"/>
      <c r="AM889" s="205"/>
    </row>
    <row r="890" spans="24:39" x14ac:dyDescent="0.3">
      <c r="X890" s="17"/>
      <c r="AI890" s="17"/>
      <c r="AJ890" s="205"/>
      <c r="AK890" s="205"/>
      <c r="AL890" s="205"/>
      <c r="AM890" s="205"/>
    </row>
    <row r="891" spans="24:39" x14ac:dyDescent="0.3">
      <c r="X891" s="17"/>
      <c r="AI891" s="17"/>
      <c r="AJ891" s="205"/>
      <c r="AK891" s="205"/>
      <c r="AL891" s="205"/>
      <c r="AM891" s="205"/>
    </row>
    <row r="892" spans="24:39" x14ac:dyDescent="0.3">
      <c r="X892" s="17"/>
      <c r="AI892" s="17"/>
      <c r="AJ892" s="205"/>
      <c r="AK892" s="205"/>
      <c r="AL892" s="205"/>
      <c r="AM892" s="205"/>
    </row>
    <row r="893" spans="24:39" x14ac:dyDescent="0.3">
      <c r="X893" s="17"/>
      <c r="AI893" s="17"/>
      <c r="AJ893" s="205"/>
      <c r="AK893" s="205"/>
      <c r="AL893" s="205"/>
      <c r="AM893" s="205"/>
    </row>
    <row r="894" spans="24:39" x14ac:dyDescent="0.3">
      <c r="X894" s="17"/>
      <c r="AI894" s="17"/>
      <c r="AJ894" s="205"/>
      <c r="AK894" s="205"/>
      <c r="AL894" s="205"/>
      <c r="AM894" s="205"/>
    </row>
    <row r="895" spans="24:39" x14ac:dyDescent="0.3">
      <c r="X895" s="17"/>
      <c r="AI895" s="17"/>
      <c r="AJ895" s="205"/>
      <c r="AK895" s="205"/>
      <c r="AL895" s="205"/>
      <c r="AM895" s="205"/>
    </row>
    <row r="896" spans="24:39" x14ac:dyDescent="0.3">
      <c r="X896" s="17"/>
      <c r="AI896" s="17"/>
      <c r="AJ896" s="205"/>
      <c r="AK896" s="205"/>
      <c r="AL896" s="205"/>
      <c r="AM896" s="205"/>
    </row>
    <row r="897" spans="24:39" x14ac:dyDescent="0.3">
      <c r="X897" s="17"/>
      <c r="AI897" s="17"/>
      <c r="AJ897" s="205"/>
      <c r="AK897" s="205"/>
      <c r="AL897" s="205"/>
      <c r="AM897" s="205"/>
    </row>
    <row r="898" spans="24:39" x14ac:dyDescent="0.3">
      <c r="X898" s="17"/>
      <c r="AI898" s="17"/>
      <c r="AJ898" s="205"/>
      <c r="AK898" s="205"/>
      <c r="AL898" s="205"/>
      <c r="AM898" s="205"/>
    </row>
    <row r="899" spans="24:39" x14ac:dyDescent="0.3">
      <c r="X899" s="17"/>
      <c r="AI899" s="17"/>
      <c r="AJ899" s="205"/>
      <c r="AK899" s="205"/>
      <c r="AL899" s="205"/>
      <c r="AM899" s="205"/>
    </row>
    <row r="900" spans="24:39" x14ac:dyDescent="0.3">
      <c r="X900" s="17"/>
      <c r="AI900" s="17"/>
      <c r="AJ900" s="205"/>
      <c r="AK900" s="205"/>
      <c r="AL900" s="205"/>
      <c r="AM900" s="205"/>
    </row>
    <row r="901" spans="24:39" x14ac:dyDescent="0.3">
      <c r="X901" s="17"/>
      <c r="AI901" s="17"/>
      <c r="AJ901" s="205"/>
      <c r="AK901" s="205"/>
      <c r="AL901" s="205"/>
      <c r="AM901" s="205"/>
    </row>
    <row r="902" spans="24:39" x14ac:dyDescent="0.3">
      <c r="X902" s="17"/>
      <c r="AI902" s="17"/>
      <c r="AJ902" s="205"/>
      <c r="AK902" s="205"/>
      <c r="AL902" s="205"/>
      <c r="AM902" s="205"/>
    </row>
    <row r="903" spans="24:39" x14ac:dyDescent="0.3">
      <c r="X903" s="17"/>
      <c r="AI903" s="17"/>
      <c r="AJ903" s="205"/>
      <c r="AK903" s="205"/>
      <c r="AL903" s="205"/>
      <c r="AM903" s="205"/>
    </row>
    <row r="904" spans="24:39" x14ac:dyDescent="0.3">
      <c r="X904" s="17"/>
      <c r="AI904" s="17"/>
      <c r="AJ904" s="205"/>
      <c r="AK904" s="205"/>
      <c r="AL904" s="205"/>
      <c r="AM904" s="205"/>
    </row>
    <row r="905" spans="24:39" x14ac:dyDescent="0.3">
      <c r="X905" s="17"/>
      <c r="AI905" s="17"/>
      <c r="AJ905" s="205"/>
      <c r="AK905" s="205"/>
      <c r="AL905" s="205"/>
      <c r="AM905" s="205"/>
    </row>
    <row r="906" spans="24:39" x14ac:dyDescent="0.3">
      <c r="X906" s="17"/>
      <c r="AI906" s="17"/>
      <c r="AJ906" s="205"/>
      <c r="AK906" s="205"/>
      <c r="AL906" s="205"/>
      <c r="AM906" s="205"/>
    </row>
    <row r="907" spans="24:39" x14ac:dyDescent="0.3">
      <c r="X907" s="17"/>
      <c r="AI907" s="17"/>
      <c r="AJ907" s="205"/>
      <c r="AK907" s="205"/>
      <c r="AL907" s="205"/>
      <c r="AM907" s="205"/>
    </row>
    <row r="908" spans="24:39" x14ac:dyDescent="0.3">
      <c r="X908" s="17"/>
      <c r="AI908" s="17"/>
      <c r="AJ908" s="205"/>
      <c r="AK908" s="205"/>
      <c r="AL908" s="205"/>
      <c r="AM908" s="205"/>
    </row>
    <row r="909" spans="24:39" x14ac:dyDescent="0.3">
      <c r="X909" s="17"/>
      <c r="AI909" s="17"/>
      <c r="AJ909" s="205"/>
      <c r="AK909" s="205"/>
      <c r="AL909" s="205"/>
      <c r="AM909" s="205"/>
    </row>
    <row r="910" spans="24:39" x14ac:dyDescent="0.3">
      <c r="X910" s="17"/>
      <c r="AI910" s="17"/>
      <c r="AJ910" s="205"/>
      <c r="AK910" s="205"/>
      <c r="AL910" s="205"/>
      <c r="AM910" s="205"/>
    </row>
    <row r="911" spans="24:39" x14ac:dyDescent="0.3">
      <c r="X911" s="17"/>
      <c r="AI911" s="17"/>
      <c r="AJ911" s="205"/>
      <c r="AK911" s="205"/>
      <c r="AL911" s="205"/>
      <c r="AM911" s="205"/>
    </row>
    <row r="912" spans="24:39" x14ac:dyDescent="0.3">
      <c r="X912" s="17"/>
      <c r="AI912" s="17"/>
      <c r="AJ912" s="205"/>
      <c r="AK912" s="205"/>
      <c r="AL912" s="205"/>
      <c r="AM912" s="205"/>
    </row>
    <row r="913" spans="24:39" x14ac:dyDescent="0.3">
      <c r="X913" s="17"/>
      <c r="AI913" s="17"/>
      <c r="AJ913" s="205"/>
      <c r="AK913" s="205"/>
      <c r="AL913" s="205"/>
      <c r="AM913" s="205"/>
    </row>
    <row r="914" spans="24:39" x14ac:dyDescent="0.3">
      <c r="X914" s="17"/>
      <c r="AI914" s="17"/>
      <c r="AJ914" s="205"/>
      <c r="AK914" s="205"/>
      <c r="AL914" s="205"/>
      <c r="AM914" s="205"/>
    </row>
    <row r="915" spans="24:39" x14ac:dyDescent="0.3">
      <c r="X915" s="17"/>
      <c r="AI915" s="17"/>
      <c r="AJ915" s="205"/>
      <c r="AK915" s="205"/>
      <c r="AL915" s="205"/>
      <c r="AM915" s="205"/>
    </row>
    <row r="916" spans="24:39" x14ac:dyDescent="0.3">
      <c r="X916" s="17"/>
      <c r="AI916" s="17"/>
      <c r="AJ916" s="205"/>
      <c r="AK916" s="205"/>
      <c r="AL916" s="205"/>
      <c r="AM916" s="205"/>
    </row>
    <row r="917" spans="24:39" x14ac:dyDescent="0.3">
      <c r="X917" s="17"/>
      <c r="AI917" s="17"/>
      <c r="AJ917" s="205"/>
      <c r="AK917" s="205"/>
      <c r="AL917" s="205"/>
      <c r="AM917" s="205"/>
    </row>
    <row r="918" spans="24:39" x14ac:dyDescent="0.3">
      <c r="X918" s="17"/>
      <c r="AI918" s="17"/>
      <c r="AJ918" s="205"/>
      <c r="AK918" s="205"/>
      <c r="AL918" s="205"/>
      <c r="AM918" s="205"/>
    </row>
    <row r="919" spans="24:39" x14ac:dyDescent="0.3">
      <c r="X919" s="17"/>
      <c r="AI919" s="17"/>
      <c r="AJ919" s="205"/>
      <c r="AK919" s="205"/>
      <c r="AL919" s="205"/>
      <c r="AM919" s="205"/>
    </row>
    <row r="920" spans="24:39" x14ac:dyDescent="0.3">
      <c r="X920" s="17"/>
      <c r="AI920" s="17"/>
      <c r="AJ920" s="205"/>
      <c r="AK920" s="205"/>
      <c r="AL920" s="205"/>
      <c r="AM920" s="205"/>
    </row>
    <row r="921" spans="24:39" x14ac:dyDescent="0.3">
      <c r="X921" s="17"/>
      <c r="AI921" s="17"/>
      <c r="AJ921" s="205"/>
      <c r="AK921" s="205"/>
      <c r="AL921" s="205"/>
      <c r="AM921" s="205"/>
    </row>
    <row r="922" spans="24:39" x14ac:dyDescent="0.3">
      <c r="X922" s="17"/>
      <c r="AI922" s="17"/>
      <c r="AJ922" s="205"/>
      <c r="AK922" s="205"/>
      <c r="AL922" s="205"/>
      <c r="AM922" s="205"/>
    </row>
    <row r="923" spans="24:39" x14ac:dyDescent="0.3">
      <c r="X923" s="17"/>
      <c r="AI923" s="17"/>
      <c r="AJ923" s="205"/>
      <c r="AK923" s="205"/>
      <c r="AL923" s="205"/>
      <c r="AM923" s="205"/>
    </row>
    <row r="924" spans="24:39" x14ac:dyDescent="0.3">
      <c r="X924" s="17"/>
      <c r="AI924" s="17"/>
      <c r="AJ924" s="205"/>
      <c r="AK924" s="205"/>
      <c r="AL924" s="205"/>
      <c r="AM924" s="205"/>
    </row>
    <row r="925" spans="24:39" x14ac:dyDescent="0.3">
      <c r="X925" s="17"/>
      <c r="AI925" s="17"/>
      <c r="AJ925" s="205"/>
      <c r="AK925" s="205"/>
      <c r="AL925" s="205"/>
      <c r="AM925" s="205"/>
    </row>
    <row r="926" spans="24:39" x14ac:dyDescent="0.3">
      <c r="X926" s="17"/>
      <c r="AI926" s="17"/>
      <c r="AJ926" s="205"/>
      <c r="AK926" s="205"/>
      <c r="AL926" s="205"/>
      <c r="AM926" s="205"/>
    </row>
    <row r="927" spans="24:39" x14ac:dyDescent="0.3">
      <c r="X927" s="17"/>
      <c r="AI927" s="17"/>
      <c r="AJ927" s="205"/>
      <c r="AK927" s="205"/>
      <c r="AL927" s="205"/>
      <c r="AM927" s="205"/>
    </row>
    <row r="928" spans="24:39" x14ac:dyDescent="0.3">
      <c r="X928" s="17"/>
      <c r="AI928" s="17"/>
      <c r="AJ928" s="205"/>
      <c r="AK928" s="205"/>
      <c r="AL928" s="205"/>
      <c r="AM928" s="205"/>
    </row>
    <row r="929" spans="24:39" x14ac:dyDescent="0.3">
      <c r="X929" s="17"/>
      <c r="AI929" s="17"/>
      <c r="AJ929" s="205"/>
      <c r="AK929" s="205"/>
      <c r="AL929" s="205"/>
      <c r="AM929" s="205"/>
    </row>
    <row r="930" spans="24:39" x14ac:dyDescent="0.3">
      <c r="X930" s="17"/>
      <c r="AI930" s="17"/>
      <c r="AJ930" s="205"/>
      <c r="AK930" s="205"/>
      <c r="AL930" s="205"/>
      <c r="AM930" s="205"/>
    </row>
    <row r="931" spans="24:39" x14ac:dyDescent="0.3">
      <c r="X931" s="17"/>
      <c r="AI931" s="17"/>
      <c r="AJ931" s="205"/>
      <c r="AK931" s="205"/>
      <c r="AL931" s="205"/>
      <c r="AM931" s="205"/>
    </row>
    <row r="932" spans="24:39" x14ac:dyDescent="0.3">
      <c r="X932" s="17"/>
      <c r="AI932" s="17"/>
      <c r="AJ932" s="205"/>
      <c r="AK932" s="205"/>
      <c r="AL932" s="205"/>
      <c r="AM932" s="205"/>
    </row>
    <row r="933" spans="24:39" x14ac:dyDescent="0.3">
      <c r="X933" s="17"/>
      <c r="AI933" s="17"/>
      <c r="AJ933" s="205"/>
      <c r="AK933" s="205"/>
      <c r="AL933" s="205"/>
      <c r="AM933" s="205"/>
    </row>
    <row r="934" spans="24:39" x14ac:dyDescent="0.3">
      <c r="X934" s="17"/>
      <c r="AI934" s="17"/>
      <c r="AJ934" s="205"/>
      <c r="AK934" s="205"/>
      <c r="AL934" s="205"/>
      <c r="AM934" s="205"/>
    </row>
    <row r="935" spans="24:39" x14ac:dyDescent="0.3">
      <c r="X935" s="17"/>
      <c r="AI935" s="17"/>
      <c r="AJ935" s="205"/>
      <c r="AK935" s="205"/>
      <c r="AL935" s="205"/>
      <c r="AM935" s="205"/>
    </row>
    <row r="936" spans="24:39" x14ac:dyDescent="0.3">
      <c r="X936" s="17"/>
      <c r="AI936" s="17"/>
      <c r="AJ936" s="205"/>
      <c r="AK936" s="205"/>
      <c r="AL936" s="205"/>
      <c r="AM936" s="205"/>
    </row>
    <row r="937" spans="24:39" x14ac:dyDescent="0.3">
      <c r="X937" s="17"/>
      <c r="AI937" s="17"/>
      <c r="AJ937" s="205"/>
      <c r="AK937" s="205"/>
      <c r="AL937" s="205"/>
      <c r="AM937" s="205"/>
    </row>
    <row r="938" spans="24:39" x14ac:dyDescent="0.3">
      <c r="X938" s="17"/>
      <c r="AI938" s="17"/>
      <c r="AJ938" s="205"/>
      <c r="AK938" s="205"/>
      <c r="AL938" s="205"/>
      <c r="AM938" s="205"/>
    </row>
    <row r="939" spans="24:39" x14ac:dyDescent="0.3">
      <c r="X939" s="17"/>
      <c r="AI939" s="17"/>
      <c r="AJ939" s="205"/>
      <c r="AK939" s="205"/>
      <c r="AL939" s="205"/>
      <c r="AM939" s="205"/>
    </row>
    <row r="940" spans="24:39" x14ac:dyDescent="0.3">
      <c r="X940" s="17"/>
      <c r="AI940" s="17"/>
      <c r="AJ940" s="205"/>
      <c r="AK940" s="205"/>
      <c r="AL940" s="205"/>
      <c r="AM940" s="205"/>
    </row>
    <row r="941" spans="24:39" x14ac:dyDescent="0.3">
      <c r="X941" s="17"/>
      <c r="AI941" s="17"/>
      <c r="AJ941" s="205"/>
      <c r="AK941" s="205"/>
      <c r="AL941" s="205"/>
      <c r="AM941" s="205"/>
    </row>
    <row r="942" spans="24:39" x14ac:dyDescent="0.3">
      <c r="X942" s="17"/>
      <c r="AI942" s="17"/>
      <c r="AJ942" s="205"/>
      <c r="AK942" s="205"/>
      <c r="AL942" s="205"/>
      <c r="AM942" s="205"/>
    </row>
    <row r="943" spans="24:39" x14ac:dyDescent="0.3">
      <c r="X943" s="17"/>
      <c r="AI943" s="17"/>
      <c r="AJ943" s="205"/>
      <c r="AK943" s="205"/>
      <c r="AL943" s="205"/>
      <c r="AM943" s="205"/>
    </row>
    <row r="944" spans="24:39" x14ac:dyDescent="0.3">
      <c r="X944" s="17"/>
      <c r="AI944" s="17"/>
      <c r="AJ944" s="205"/>
      <c r="AK944" s="205"/>
      <c r="AL944" s="205"/>
      <c r="AM944" s="205"/>
    </row>
    <row r="945" spans="24:39" x14ac:dyDescent="0.3">
      <c r="X945" s="17"/>
      <c r="AI945" s="17"/>
      <c r="AJ945" s="205"/>
      <c r="AK945" s="205"/>
      <c r="AL945" s="205"/>
      <c r="AM945" s="205"/>
    </row>
    <row r="946" spans="24:39" x14ac:dyDescent="0.3">
      <c r="X946" s="17"/>
      <c r="AI946" s="17"/>
      <c r="AJ946" s="205"/>
      <c r="AK946" s="205"/>
      <c r="AL946" s="205"/>
      <c r="AM946" s="205"/>
    </row>
    <row r="947" spans="24:39" x14ac:dyDescent="0.3">
      <c r="X947" s="17"/>
      <c r="AI947" s="17"/>
      <c r="AJ947" s="205"/>
      <c r="AK947" s="205"/>
      <c r="AL947" s="205"/>
      <c r="AM947" s="205"/>
    </row>
    <row r="948" spans="24:39" x14ac:dyDescent="0.3">
      <c r="X948" s="17"/>
      <c r="AI948" s="17"/>
      <c r="AJ948" s="205"/>
      <c r="AK948" s="205"/>
      <c r="AL948" s="205"/>
      <c r="AM948" s="205"/>
    </row>
    <row r="949" spans="24:39" x14ac:dyDescent="0.3">
      <c r="X949" s="17"/>
      <c r="AI949" s="17"/>
      <c r="AJ949" s="205"/>
      <c r="AK949" s="205"/>
      <c r="AL949" s="205"/>
      <c r="AM949" s="205"/>
    </row>
    <row r="950" spans="24:39" x14ac:dyDescent="0.3">
      <c r="X950" s="17"/>
      <c r="AI950" s="17"/>
      <c r="AJ950" s="205"/>
      <c r="AK950" s="205"/>
      <c r="AL950" s="205"/>
      <c r="AM950" s="205"/>
    </row>
    <row r="951" spans="24:39" x14ac:dyDescent="0.3">
      <c r="X951" s="17"/>
      <c r="AI951" s="17"/>
      <c r="AJ951" s="205"/>
      <c r="AK951" s="205"/>
      <c r="AL951" s="205"/>
      <c r="AM951" s="205"/>
    </row>
    <row r="952" spans="24:39" x14ac:dyDescent="0.3">
      <c r="X952" s="17"/>
      <c r="AI952" s="17"/>
      <c r="AJ952" s="205"/>
      <c r="AK952" s="205"/>
      <c r="AL952" s="205"/>
      <c r="AM952" s="205"/>
    </row>
    <row r="953" spans="24:39" x14ac:dyDescent="0.3">
      <c r="X953" s="17"/>
      <c r="AI953" s="17"/>
      <c r="AJ953" s="205"/>
      <c r="AK953" s="205"/>
      <c r="AL953" s="205"/>
      <c r="AM953" s="205"/>
    </row>
    <row r="954" spans="24:39" x14ac:dyDescent="0.3">
      <c r="X954" s="17"/>
      <c r="AI954" s="17"/>
      <c r="AJ954" s="205"/>
      <c r="AK954" s="205"/>
      <c r="AL954" s="205"/>
      <c r="AM954" s="205"/>
    </row>
    <row r="955" spans="24:39" x14ac:dyDescent="0.3">
      <c r="X955" s="17"/>
      <c r="AI955" s="17"/>
      <c r="AJ955" s="205"/>
      <c r="AK955" s="205"/>
      <c r="AL955" s="205"/>
      <c r="AM955" s="205"/>
    </row>
    <row r="956" spans="24:39" x14ac:dyDescent="0.3">
      <c r="X956" s="17"/>
      <c r="AI956" s="17"/>
      <c r="AJ956" s="205"/>
      <c r="AK956" s="205"/>
      <c r="AL956" s="205"/>
      <c r="AM956" s="205"/>
    </row>
    <row r="957" spans="24:39" x14ac:dyDescent="0.3">
      <c r="X957" s="17"/>
      <c r="AI957" s="17"/>
      <c r="AJ957" s="205"/>
      <c r="AK957" s="205"/>
      <c r="AL957" s="205"/>
      <c r="AM957" s="205"/>
    </row>
    <row r="958" spans="24:39" x14ac:dyDescent="0.3">
      <c r="X958" s="17"/>
      <c r="AI958" s="17"/>
      <c r="AJ958" s="205"/>
      <c r="AK958" s="205"/>
      <c r="AL958" s="205"/>
      <c r="AM958" s="205"/>
    </row>
    <row r="959" spans="24:39" x14ac:dyDescent="0.3">
      <c r="X959" s="17"/>
      <c r="AI959" s="17"/>
      <c r="AJ959" s="205"/>
      <c r="AK959" s="205"/>
      <c r="AL959" s="205"/>
      <c r="AM959" s="205"/>
    </row>
    <row r="960" spans="24:39" x14ac:dyDescent="0.3">
      <c r="X960" s="17"/>
      <c r="AI960" s="17"/>
      <c r="AJ960" s="205"/>
      <c r="AK960" s="205"/>
      <c r="AL960" s="205"/>
      <c r="AM960" s="205"/>
    </row>
    <row r="961" spans="24:39" x14ac:dyDescent="0.3">
      <c r="X961" s="17"/>
      <c r="AI961" s="17"/>
      <c r="AJ961" s="205"/>
      <c r="AK961" s="205"/>
      <c r="AL961" s="205"/>
      <c r="AM961" s="205"/>
    </row>
    <row r="962" spans="24:39" x14ac:dyDescent="0.3">
      <c r="X962" s="17"/>
      <c r="AI962" s="17"/>
      <c r="AJ962" s="205"/>
      <c r="AK962" s="205"/>
      <c r="AL962" s="205"/>
      <c r="AM962" s="205"/>
    </row>
    <row r="963" spans="24:39" x14ac:dyDescent="0.3">
      <c r="X963" s="17"/>
      <c r="AI963" s="17"/>
      <c r="AJ963" s="205"/>
      <c r="AK963" s="205"/>
      <c r="AL963" s="205"/>
      <c r="AM963" s="205"/>
    </row>
    <row r="964" spans="24:39" x14ac:dyDescent="0.3">
      <c r="X964" s="17"/>
      <c r="AI964" s="17"/>
      <c r="AJ964" s="205"/>
      <c r="AK964" s="205"/>
      <c r="AL964" s="205"/>
      <c r="AM964" s="205"/>
    </row>
    <row r="965" spans="24:39" x14ac:dyDescent="0.3">
      <c r="X965" s="17"/>
      <c r="AI965" s="17"/>
      <c r="AJ965" s="205"/>
      <c r="AK965" s="205"/>
      <c r="AL965" s="205"/>
      <c r="AM965" s="205"/>
    </row>
    <row r="966" spans="24:39" x14ac:dyDescent="0.3">
      <c r="X966" s="17"/>
      <c r="AI966" s="17"/>
      <c r="AJ966" s="205"/>
      <c r="AK966" s="205"/>
      <c r="AL966" s="205"/>
      <c r="AM966" s="205"/>
    </row>
    <row r="967" spans="24:39" x14ac:dyDescent="0.3">
      <c r="X967" s="17"/>
      <c r="AI967" s="17"/>
      <c r="AJ967" s="205"/>
      <c r="AK967" s="205"/>
      <c r="AL967" s="205"/>
      <c r="AM967" s="205"/>
    </row>
    <row r="968" spans="24:39" x14ac:dyDescent="0.3">
      <c r="X968" s="17"/>
      <c r="AI968" s="17"/>
      <c r="AJ968" s="205"/>
      <c r="AK968" s="205"/>
      <c r="AL968" s="205"/>
      <c r="AM968" s="205"/>
    </row>
    <row r="969" spans="24:39" x14ac:dyDescent="0.3">
      <c r="X969" s="17"/>
      <c r="AI969" s="17"/>
      <c r="AJ969" s="205"/>
      <c r="AK969" s="205"/>
      <c r="AL969" s="205"/>
      <c r="AM969" s="205"/>
    </row>
    <row r="970" spans="24:39" x14ac:dyDescent="0.3">
      <c r="X970" s="17"/>
      <c r="AI970" s="17"/>
      <c r="AJ970" s="205"/>
      <c r="AK970" s="205"/>
      <c r="AL970" s="205"/>
      <c r="AM970" s="205"/>
    </row>
    <row r="971" spans="24:39" x14ac:dyDescent="0.3">
      <c r="X971" s="17"/>
      <c r="AI971" s="17"/>
      <c r="AJ971" s="205"/>
      <c r="AK971" s="205"/>
      <c r="AL971" s="205"/>
      <c r="AM971" s="205"/>
    </row>
    <row r="972" spans="24:39" x14ac:dyDescent="0.3">
      <c r="X972" s="17"/>
      <c r="AI972" s="17"/>
      <c r="AJ972" s="205"/>
      <c r="AK972" s="205"/>
      <c r="AL972" s="205"/>
      <c r="AM972" s="205"/>
    </row>
    <row r="973" spans="24:39" x14ac:dyDescent="0.3">
      <c r="X973" s="17"/>
      <c r="AI973" s="17"/>
      <c r="AJ973" s="205"/>
      <c r="AK973" s="205"/>
      <c r="AL973" s="205"/>
      <c r="AM973" s="205"/>
    </row>
    <row r="974" spans="24:39" x14ac:dyDescent="0.3">
      <c r="X974" s="17"/>
      <c r="AI974" s="17"/>
      <c r="AJ974" s="205"/>
      <c r="AK974" s="205"/>
      <c r="AL974" s="205"/>
      <c r="AM974" s="205"/>
    </row>
    <row r="975" spans="24:39" x14ac:dyDescent="0.3">
      <c r="X975" s="17"/>
      <c r="AI975" s="17"/>
      <c r="AJ975" s="205"/>
      <c r="AK975" s="205"/>
      <c r="AL975" s="205"/>
      <c r="AM975" s="205"/>
    </row>
    <row r="976" spans="24:39" x14ac:dyDescent="0.3">
      <c r="X976" s="17"/>
      <c r="AI976" s="17"/>
      <c r="AJ976" s="205"/>
      <c r="AK976" s="205"/>
      <c r="AL976" s="205"/>
      <c r="AM976" s="205"/>
    </row>
    <row r="977" spans="24:39" x14ac:dyDescent="0.3">
      <c r="X977" s="17"/>
      <c r="AI977" s="17"/>
      <c r="AJ977" s="205"/>
      <c r="AK977" s="205"/>
      <c r="AL977" s="205"/>
      <c r="AM977" s="205"/>
    </row>
    <row r="978" spans="24:39" x14ac:dyDescent="0.3">
      <c r="X978" s="17"/>
      <c r="AI978" s="17"/>
      <c r="AJ978" s="205"/>
      <c r="AK978" s="205"/>
      <c r="AL978" s="205"/>
      <c r="AM978" s="205"/>
    </row>
    <row r="979" spans="24:39" x14ac:dyDescent="0.3">
      <c r="X979" s="17"/>
      <c r="AI979" s="17"/>
      <c r="AJ979" s="205"/>
      <c r="AK979" s="205"/>
      <c r="AL979" s="205"/>
      <c r="AM979" s="205"/>
    </row>
    <row r="980" spans="24:39" x14ac:dyDescent="0.3">
      <c r="X980" s="17"/>
      <c r="AI980" s="17"/>
      <c r="AJ980" s="205"/>
      <c r="AK980" s="205"/>
      <c r="AL980" s="205"/>
      <c r="AM980" s="205"/>
    </row>
    <row r="981" spans="24:39" x14ac:dyDescent="0.3">
      <c r="X981" s="17"/>
      <c r="AI981" s="17"/>
      <c r="AJ981" s="205"/>
      <c r="AK981" s="205"/>
      <c r="AL981" s="205"/>
      <c r="AM981" s="205"/>
    </row>
    <row r="982" spans="24:39" x14ac:dyDescent="0.3">
      <c r="X982" s="17"/>
      <c r="AI982" s="17"/>
      <c r="AJ982" s="205"/>
      <c r="AK982" s="205"/>
      <c r="AL982" s="205"/>
      <c r="AM982" s="205"/>
    </row>
    <row r="983" spans="24:39" x14ac:dyDescent="0.3">
      <c r="X983" s="17"/>
      <c r="AI983" s="17"/>
      <c r="AJ983" s="205"/>
      <c r="AK983" s="205"/>
      <c r="AL983" s="205"/>
      <c r="AM983" s="205"/>
    </row>
    <row r="984" spans="24:39" x14ac:dyDescent="0.3">
      <c r="X984" s="17"/>
      <c r="AI984" s="17"/>
      <c r="AJ984" s="205"/>
      <c r="AK984" s="205"/>
      <c r="AL984" s="205"/>
      <c r="AM984" s="205"/>
    </row>
    <row r="985" spans="24:39" x14ac:dyDescent="0.3">
      <c r="X985" s="17"/>
      <c r="AI985" s="17"/>
      <c r="AJ985" s="205"/>
      <c r="AK985" s="205"/>
      <c r="AL985" s="205"/>
      <c r="AM985" s="205"/>
    </row>
    <row r="986" spans="24:39" x14ac:dyDescent="0.3">
      <c r="X986" s="17"/>
      <c r="AI986" s="17"/>
      <c r="AJ986" s="205"/>
      <c r="AK986" s="205"/>
      <c r="AL986" s="205"/>
      <c r="AM986" s="205"/>
    </row>
    <row r="987" spans="24:39" x14ac:dyDescent="0.3">
      <c r="X987" s="17"/>
      <c r="AI987" s="17"/>
      <c r="AJ987" s="205"/>
      <c r="AK987" s="205"/>
      <c r="AL987" s="205"/>
      <c r="AM987" s="205"/>
    </row>
    <row r="988" spans="24:39" x14ac:dyDescent="0.3">
      <c r="X988" s="17"/>
      <c r="AI988" s="17"/>
      <c r="AJ988" s="205"/>
      <c r="AK988" s="205"/>
      <c r="AL988" s="205"/>
      <c r="AM988" s="205"/>
    </row>
    <row r="989" spans="24:39" x14ac:dyDescent="0.3">
      <c r="X989" s="17"/>
      <c r="AI989" s="17"/>
      <c r="AJ989" s="205"/>
      <c r="AK989" s="205"/>
      <c r="AL989" s="205"/>
      <c r="AM989" s="205"/>
    </row>
    <row r="990" spans="24:39" x14ac:dyDescent="0.3">
      <c r="X990" s="17"/>
      <c r="AI990" s="17"/>
      <c r="AJ990" s="205"/>
      <c r="AK990" s="205"/>
      <c r="AL990" s="205"/>
      <c r="AM990" s="205"/>
    </row>
    <row r="991" spans="24:39" x14ac:dyDescent="0.3">
      <c r="X991" s="17"/>
      <c r="AI991" s="17"/>
      <c r="AJ991" s="205"/>
      <c r="AK991" s="205"/>
      <c r="AL991" s="205"/>
      <c r="AM991" s="205"/>
    </row>
    <row r="992" spans="24:39" x14ac:dyDescent="0.3">
      <c r="X992" s="17"/>
      <c r="AI992" s="17"/>
      <c r="AJ992" s="205"/>
      <c r="AK992" s="205"/>
      <c r="AL992" s="205"/>
      <c r="AM992" s="205"/>
    </row>
    <row r="993" spans="24:39" x14ac:dyDescent="0.3">
      <c r="X993" s="17"/>
      <c r="AI993" s="17"/>
      <c r="AJ993" s="205"/>
      <c r="AK993" s="205"/>
      <c r="AL993" s="205"/>
      <c r="AM993" s="205"/>
    </row>
    <row r="994" spans="24:39" x14ac:dyDescent="0.3">
      <c r="X994" s="17"/>
      <c r="AI994" s="17"/>
      <c r="AJ994" s="205"/>
      <c r="AK994" s="205"/>
      <c r="AL994" s="205"/>
      <c r="AM994" s="205"/>
    </row>
    <row r="995" spans="24:39" x14ac:dyDescent="0.3">
      <c r="X995" s="17"/>
      <c r="AI995" s="17"/>
      <c r="AJ995" s="205"/>
      <c r="AK995" s="205"/>
      <c r="AL995" s="205"/>
      <c r="AM995" s="205"/>
    </row>
    <row r="996" spans="24:39" x14ac:dyDescent="0.3">
      <c r="X996" s="17"/>
      <c r="AI996" s="17"/>
      <c r="AJ996" s="205"/>
      <c r="AK996" s="205"/>
      <c r="AL996" s="205"/>
      <c r="AM996" s="205"/>
    </row>
    <row r="997" spans="24:39" x14ac:dyDescent="0.3">
      <c r="X997" s="17"/>
      <c r="AI997" s="17"/>
      <c r="AJ997" s="205"/>
      <c r="AK997" s="205"/>
      <c r="AL997" s="205"/>
      <c r="AM997" s="205"/>
    </row>
    <row r="998" spans="24:39" x14ac:dyDescent="0.3">
      <c r="X998" s="17"/>
      <c r="AI998" s="17"/>
      <c r="AJ998" s="205"/>
      <c r="AK998" s="205"/>
      <c r="AL998" s="205"/>
      <c r="AM998" s="205"/>
    </row>
    <row r="999" spans="24:39" x14ac:dyDescent="0.3">
      <c r="X999" s="17"/>
      <c r="AI999" s="17"/>
      <c r="AJ999" s="205"/>
      <c r="AK999" s="205"/>
      <c r="AL999" s="205"/>
      <c r="AM999" s="205"/>
    </row>
    <row r="1000" spans="24:39" x14ac:dyDescent="0.3">
      <c r="X1000" s="17"/>
      <c r="AI1000" s="17"/>
      <c r="AJ1000" s="205"/>
      <c r="AK1000" s="205"/>
      <c r="AL1000" s="205"/>
      <c r="AM1000" s="205"/>
    </row>
    <row r="1001" spans="24:39" x14ac:dyDescent="0.3">
      <c r="X1001" s="17"/>
      <c r="AI1001" s="17"/>
      <c r="AJ1001" s="205"/>
      <c r="AK1001" s="205"/>
      <c r="AL1001" s="205"/>
      <c r="AM1001" s="205"/>
    </row>
    <row r="1002" spans="24:39" x14ac:dyDescent="0.3">
      <c r="X1002" s="17"/>
      <c r="AI1002" s="17"/>
      <c r="AJ1002" s="205"/>
      <c r="AK1002" s="205"/>
      <c r="AL1002" s="205"/>
      <c r="AM1002" s="205"/>
    </row>
    <row r="1003" spans="24:39" x14ac:dyDescent="0.3">
      <c r="X1003" s="17"/>
      <c r="AI1003" s="17"/>
      <c r="AJ1003" s="205"/>
      <c r="AK1003" s="205"/>
      <c r="AL1003" s="205"/>
      <c r="AM1003" s="205"/>
    </row>
    <row r="1004" spans="24:39" x14ac:dyDescent="0.3">
      <c r="X1004" s="17"/>
      <c r="AI1004" s="17"/>
      <c r="AJ1004" s="205"/>
      <c r="AK1004" s="205"/>
      <c r="AL1004" s="205"/>
      <c r="AM1004" s="205"/>
    </row>
    <row r="1005" spans="24:39" x14ac:dyDescent="0.3">
      <c r="X1005" s="17"/>
      <c r="AI1005" s="17"/>
      <c r="AJ1005" s="205"/>
      <c r="AK1005" s="205"/>
      <c r="AL1005" s="205"/>
      <c r="AM1005" s="205"/>
    </row>
    <row r="1006" spans="24:39" x14ac:dyDescent="0.3">
      <c r="X1006" s="17"/>
      <c r="AI1006" s="17"/>
      <c r="AJ1006" s="205"/>
      <c r="AK1006" s="205"/>
      <c r="AL1006" s="205"/>
      <c r="AM1006" s="205"/>
    </row>
    <row r="1007" spans="24:39" x14ac:dyDescent="0.3">
      <c r="X1007" s="17"/>
      <c r="AI1007" s="17"/>
      <c r="AJ1007" s="205"/>
      <c r="AK1007" s="205"/>
      <c r="AL1007" s="205"/>
      <c r="AM1007" s="205"/>
    </row>
    <row r="1008" spans="24:39" x14ac:dyDescent="0.3">
      <c r="X1008" s="17"/>
      <c r="AI1008" s="17"/>
      <c r="AJ1008" s="205"/>
      <c r="AK1008" s="205"/>
      <c r="AL1008" s="205"/>
      <c r="AM1008" s="205"/>
    </row>
    <row r="1009" spans="24:39" x14ac:dyDescent="0.3">
      <c r="X1009" s="17"/>
      <c r="AI1009" s="17"/>
      <c r="AJ1009" s="205"/>
      <c r="AK1009" s="205"/>
      <c r="AL1009" s="205"/>
      <c r="AM1009" s="205"/>
    </row>
    <row r="1010" spans="24:39" x14ac:dyDescent="0.3">
      <c r="X1010" s="17"/>
      <c r="AI1010" s="17"/>
      <c r="AJ1010" s="205"/>
      <c r="AK1010" s="205"/>
      <c r="AL1010" s="205"/>
      <c r="AM1010" s="205"/>
    </row>
    <row r="1011" spans="24:39" x14ac:dyDescent="0.3">
      <c r="X1011" s="17"/>
      <c r="AI1011" s="17"/>
      <c r="AJ1011" s="205"/>
      <c r="AK1011" s="205"/>
      <c r="AL1011" s="205"/>
      <c r="AM1011" s="205"/>
    </row>
    <row r="1012" spans="24:39" x14ac:dyDescent="0.3">
      <c r="X1012" s="17"/>
      <c r="AI1012" s="17"/>
      <c r="AJ1012" s="205"/>
      <c r="AK1012" s="205"/>
      <c r="AL1012" s="205"/>
      <c r="AM1012" s="205"/>
    </row>
    <row r="1013" spans="24:39" x14ac:dyDescent="0.3">
      <c r="X1013" s="17"/>
      <c r="AI1013" s="17"/>
      <c r="AJ1013" s="205"/>
      <c r="AK1013" s="205"/>
      <c r="AL1013" s="205"/>
      <c r="AM1013" s="205"/>
    </row>
    <row r="1014" spans="24:39" x14ac:dyDescent="0.3">
      <c r="X1014" s="17"/>
      <c r="AI1014" s="17"/>
      <c r="AJ1014" s="205"/>
      <c r="AK1014" s="205"/>
      <c r="AL1014" s="205"/>
      <c r="AM1014" s="205"/>
    </row>
    <row r="1015" spans="24:39" x14ac:dyDescent="0.3">
      <c r="X1015" s="17"/>
      <c r="AI1015" s="17"/>
      <c r="AJ1015" s="205"/>
      <c r="AK1015" s="205"/>
      <c r="AL1015" s="205"/>
      <c r="AM1015" s="205"/>
    </row>
    <row r="1016" spans="24:39" x14ac:dyDescent="0.3">
      <c r="X1016" s="17"/>
      <c r="AI1016" s="17"/>
      <c r="AJ1016" s="205"/>
      <c r="AK1016" s="205"/>
      <c r="AL1016" s="205"/>
      <c r="AM1016" s="205"/>
    </row>
    <row r="1017" spans="24:39" x14ac:dyDescent="0.3">
      <c r="X1017" s="17"/>
      <c r="AI1017" s="17"/>
      <c r="AJ1017" s="205"/>
      <c r="AK1017" s="205"/>
      <c r="AL1017" s="205"/>
      <c r="AM1017" s="205"/>
    </row>
    <row r="1018" spans="24:39" x14ac:dyDescent="0.3">
      <c r="X1018" s="17"/>
      <c r="AI1018" s="17"/>
      <c r="AJ1018" s="205"/>
      <c r="AK1018" s="205"/>
      <c r="AL1018" s="205"/>
      <c r="AM1018" s="205"/>
    </row>
    <row r="1019" spans="24:39" x14ac:dyDescent="0.3">
      <c r="X1019" s="17"/>
      <c r="AI1019" s="17"/>
      <c r="AJ1019" s="205"/>
      <c r="AK1019" s="205"/>
      <c r="AL1019" s="205"/>
      <c r="AM1019" s="205"/>
    </row>
    <row r="1020" spans="24:39" x14ac:dyDescent="0.3">
      <c r="X1020" s="17"/>
      <c r="AI1020" s="17"/>
      <c r="AJ1020" s="205"/>
      <c r="AK1020" s="205"/>
      <c r="AL1020" s="205"/>
      <c r="AM1020" s="205"/>
    </row>
    <row r="1021" spans="24:39" x14ac:dyDescent="0.3">
      <c r="X1021" s="17"/>
      <c r="AI1021" s="17"/>
      <c r="AJ1021" s="205"/>
      <c r="AK1021" s="205"/>
      <c r="AL1021" s="205"/>
      <c r="AM1021" s="205"/>
    </row>
    <row r="1022" spans="24:39" x14ac:dyDescent="0.3">
      <c r="X1022" s="17"/>
      <c r="AI1022" s="17"/>
      <c r="AJ1022" s="205"/>
      <c r="AK1022" s="205"/>
      <c r="AL1022" s="205"/>
      <c r="AM1022" s="205"/>
    </row>
    <row r="1023" spans="24:39" x14ac:dyDescent="0.3">
      <c r="X1023" s="17"/>
      <c r="AI1023" s="17"/>
      <c r="AJ1023" s="205"/>
      <c r="AK1023" s="205"/>
      <c r="AL1023" s="205"/>
      <c r="AM1023" s="205"/>
    </row>
    <row r="1024" spans="24:39" x14ac:dyDescent="0.3">
      <c r="X1024" s="17"/>
      <c r="AI1024" s="17"/>
      <c r="AJ1024" s="205"/>
      <c r="AK1024" s="205"/>
      <c r="AL1024" s="205"/>
      <c r="AM1024" s="205"/>
    </row>
    <row r="1025" spans="24:39" x14ac:dyDescent="0.3">
      <c r="X1025" s="17"/>
      <c r="AI1025" s="17"/>
      <c r="AJ1025" s="205"/>
      <c r="AK1025" s="205"/>
      <c r="AL1025" s="205"/>
      <c r="AM1025" s="205"/>
    </row>
    <row r="1026" spans="24:39" x14ac:dyDescent="0.3">
      <c r="X1026" s="17"/>
      <c r="AI1026" s="17"/>
      <c r="AJ1026" s="205"/>
      <c r="AK1026" s="205"/>
      <c r="AL1026" s="205"/>
      <c r="AM1026" s="205"/>
    </row>
    <row r="1027" spans="24:39" x14ac:dyDescent="0.3">
      <c r="X1027" s="17"/>
      <c r="AI1027" s="17"/>
      <c r="AJ1027" s="205"/>
      <c r="AK1027" s="205"/>
      <c r="AL1027" s="205"/>
      <c r="AM1027" s="205"/>
    </row>
    <row r="1028" spans="24:39" x14ac:dyDescent="0.3">
      <c r="X1028" s="17"/>
      <c r="AI1028" s="17"/>
      <c r="AJ1028" s="205"/>
      <c r="AK1028" s="205"/>
      <c r="AL1028" s="205"/>
      <c r="AM1028" s="205"/>
    </row>
    <row r="1029" spans="24:39" x14ac:dyDescent="0.3">
      <c r="X1029" s="17"/>
      <c r="AI1029" s="17"/>
      <c r="AJ1029" s="205"/>
      <c r="AK1029" s="205"/>
      <c r="AL1029" s="205"/>
      <c r="AM1029" s="205"/>
    </row>
    <row r="1030" spans="24:39" x14ac:dyDescent="0.3">
      <c r="X1030" s="17"/>
      <c r="AI1030" s="17"/>
      <c r="AJ1030" s="205"/>
      <c r="AK1030" s="205"/>
      <c r="AL1030" s="205"/>
      <c r="AM1030" s="205"/>
    </row>
    <row r="1031" spans="24:39" x14ac:dyDescent="0.3">
      <c r="X1031" s="17"/>
      <c r="AI1031" s="17"/>
      <c r="AJ1031" s="205"/>
      <c r="AK1031" s="205"/>
      <c r="AL1031" s="205"/>
      <c r="AM1031" s="205"/>
    </row>
    <row r="1032" spans="24:39" x14ac:dyDescent="0.3">
      <c r="X1032" s="17"/>
      <c r="AI1032" s="17"/>
      <c r="AJ1032" s="205"/>
      <c r="AK1032" s="205"/>
      <c r="AL1032" s="205"/>
      <c r="AM1032" s="205"/>
    </row>
    <row r="1033" spans="24:39" x14ac:dyDescent="0.3">
      <c r="X1033" s="17"/>
      <c r="AI1033" s="17"/>
      <c r="AJ1033" s="205"/>
      <c r="AK1033" s="205"/>
      <c r="AL1033" s="205"/>
      <c r="AM1033" s="205"/>
    </row>
    <row r="1034" spans="24:39" x14ac:dyDescent="0.3">
      <c r="X1034" s="17"/>
      <c r="AI1034" s="17"/>
      <c r="AJ1034" s="205"/>
      <c r="AK1034" s="205"/>
      <c r="AL1034" s="205"/>
      <c r="AM1034" s="205"/>
    </row>
    <row r="1035" spans="24:39" x14ac:dyDescent="0.3">
      <c r="X1035" s="17"/>
      <c r="AI1035" s="17"/>
      <c r="AJ1035" s="205"/>
      <c r="AK1035" s="205"/>
      <c r="AL1035" s="205"/>
      <c r="AM1035" s="205"/>
    </row>
    <row r="1036" spans="24:39" x14ac:dyDescent="0.3">
      <c r="X1036" s="17"/>
      <c r="AI1036" s="17"/>
      <c r="AJ1036" s="205"/>
      <c r="AK1036" s="205"/>
      <c r="AL1036" s="205"/>
      <c r="AM1036" s="205"/>
    </row>
    <row r="1037" spans="24:39" x14ac:dyDescent="0.3">
      <c r="X1037" s="17"/>
      <c r="AI1037" s="17"/>
      <c r="AJ1037" s="205"/>
      <c r="AK1037" s="205"/>
      <c r="AL1037" s="205"/>
      <c r="AM1037" s="205"/>
    </row>
    <row r="1038" spans="24:39" x14ac:dyDescent="0.3">
      <c r="X1038" s="17"/>
      <c r="AI1038" s="17"/>
      <c r="AJ1038" s="205"/>
      <c r="AK1038" s="205"/>
      <c r="AL1038" s="205"/>
      <c r="AM1038" s="205"/>
    </row>
    <row r="1039" spans="24:39" x14ac:dyDescent="0.3">
      <c r="X1039" s="17"/>
      <c r="AI1039" s="17"/>
      <c r="AJ1039" s="205"/>
      <c r="AK1039" s="205"/>
      <c r="AL1039" s="205"/>
      <c r="AM1039" s="205"/>
    </row>
    <row r="1040" spans="24:39" x14ac:dyDescent="0.3">
      <c r="X1040" s="17"/>
      <c r="AI1040" s="17"/>
      <c r="AJ1040" s="205"/>
      <c r="AK1040" s="205"/>
      <c r="AL1040" s="205"/>
      <c r="AM1040" s="205"/>
    </row>
    <row r="1041" spans="24:39" x14ac:dyDescent="0.3">
      <c r="X1041" s="17"/>
      <c r="AI1041" s="17"/>
      <c r="AJ1041" s="205"/>
      <c r="AK1041" s="205"/>
      <c r="AL1041" s="205"/>
      <c r="AM1041" s="205"/>
    </row>
    <row r="1042" spans="24:39" x14ac:dyDescent="0.3">
      <c r="X1042" s="17"/>
      <c r="AI1042" s="17"/>
      <c r="AJ1042" s="205"/>
      <c r="AK1042" s="205"/>
      <c r="AL1042" s="205"/>
      <c r="AM1042" s="205"/>
    </row>
    <row r="1043" spans="24:39" x14ac:dyDescent="0.3">
      <c r="X1043" s="17"/>
      <c r="AI1043" s="17"/>
      <c r="AJ1043" s="205"/>
      <c r="AK1043" s="205"/>
      <c r="AL1043" s="205"/>
      <c r="AM1043" s="205"/>
    </row>
    <row r="1044" spans="24:39" x14ac:dyDescent="0.3">
      <c r="X1044" s="17"/>
      <c r="AI1044" s="17"/>
      <c r="AJ1044" s="205"/>
      <c r="AK1044" s="205"/>
      <c r="AL1044" s="205"/>
      <c r="AM1044" s="205"/>
    </row>
    <row r="1045" spans="24:39" x14ac:dyDescent="0.3">
      <c r="X1045" s="17"/>
      <c r="AI1045" s="17"/>
      <c r="AJ1045" s="205"/>
      <c r="AK1045" s="205"/>
      <c r="AL1045" s="205"/>
      <c r="AM1045" s="205"/>
    </row>
    <row r="1046" spans="24:39" x14ac:dyDescent="0.3">
      <c r="X1046" s="17"/>
      <c r="AI1046" s="17"/>
      <c r="AJ1046" s="205"/>
      <c r="AK1046" s="205"/>
      <c r="AL1046" s="205"/>
      <c r="AM1046" s="205"/>
    </row>
    <row r="1047" spans="24:39" x14ac:dyDescent="0.3">
      <c r="X1047" s="17"/>
      <c r="AI1047" s="17"/>
      <c r="AJ1047" s="205"/>
      <c r="AK1047" s="205"/>
      <c r="AL1047" s="205"/>
      <c r="AM1047" s="205"/>
    </row>
    <row r="1048" spans="24:39" x14ac:dyDescent="0.3">
      <c r="X1048" s="17"/>
      <c r="AI1048" s="17"/>
      <c r="AJ1048" s="205"/>
      <c r="AK1048" s="205"/>
      <c r="AL1048" s="205"/>
      <c r="AM1048" s="205"/>
    </row>
    <row r="1049" spans="24:39" x14ac:dyDescent="0.3">
      <c r="X1049" s="17"/>
      <c r="AI1049" s="17"/>
      <c r="AJ1049" s="205"/>
      <c r="AK1049" s="205"/>
      <c r="AL1049" s="205"/>
      <c r="AM1049" s="205"/>
    </row>
    <row r="1050" spans="24:39" x14ac:dyDescent="0.3">
      <c r="X1050" s="17"/>
      <c r="AI1050" s="17"/>
      <c r="AJ1050" s="205"/>
      <c r="AK1050" s="205"/>
      <c r="AL1050" s="205"/>
      <c r="AM1050" s="205"/>
    </row>
    <row r="1051" spans="24:39" x14ac:dyDescent="0.3">
      <c r="X1051" s="17"/>
      <c r="AI1051" s="17"/>
      <c r="AJ1051" s="205"/>
      <c r="AK1051" s="205"/>
      <c r="AL1051" s="205"/>
      <c r="AM1051" s="205"/>
    </row>
    <row r="1052" spans="24:39" x14ac:dyDescent="0.3">
      <c r="X1052" s="17"/>
      <c r="AI1052" s="17"/>
      <c r="AJ1052" s="205"/>
      <c r="AK1052" s="205"/>
      <c r="AL1052" s="205"/>
      <c r="AM1052" s="205"/>
    </row>
    <row r="1053" spans="24:39" x14ac:dyDescent="0.3">
      <c r="X1053" s="17"/>
      <c r="AI1053" s="17"/>
      <c r="AJ1053" s="205"/>
      <c r="AK1053" s="205"/>
      <c r="AL1053" s="205"/>
      <c r="AM1053" s="205"/>
    </row>
    <row r="1054" spans="24:39" x14ac:dyDescent="0.3">
      <c r="X1054" s="17"/>
      <c r="AI1054" s="17"/>
      <c r="AJ1054" s="205"/>
      <c r="AK1054" s="205"/>
      <c r="AL1054" s="205"/>
      <c r="AM1054" s="205"/>
    </row>
    <row r="1055" spans="24:39" x14ac:dyDescent="0.3">
      <c r="X1055" s="17"/>
      <c r="AI1055" s="17"/>
      <c r="AJ1055" s="205"/>
      <c r="AK1055" s="205"/>
      <c r="AL1055" s="205"/>
      <c r="AM1055" s="205"/>
    </row>
    <row r="1056" spans="24:39" x14ac:dyDescent="0.3">
      <c r="X1056" s="17"/>
      <c r="AI1056" s="17"/>
      <c r="AJ1056" s="205"/>
      <c r="AK1056" s="205"/>
      <c r="AL1056" s="205"/>
      <c r="AM1056" s="205"/>
    </row>
    <row r="1057" spans="24:39" x14ac:dyDescent="0.3">
      <c r="X1057" s="17"/>
      <c r="AI1057" s="17"/>
      <c r="AJ1057" s="205"/>
      <c r="AK1057" s="205"/>
      <c r="AL1057" s="205"/>
      <c r="AM1057" s="205"/>
    </row>
    <row r="1058" spans="24:39" x14ac:dyDescent="0.3">
      <c r="X1058" s="17"/>
      <c r="AI1058" s="17"/>
      <c r="AJ1058" s="205"/>
      <c r="AK1058" s="205"/>
      <c r="AL1058" s="205"/>
      <c r="AM1058" s="205"/>
    </row>
    <row r="1059" spans="24:39" x14ac:dyDescent="0.3">
      <c r="X1059" s="17"/>
      <c r="AI1059" s="17"/>
      <c r="AJ1059" s="205"/>
      <c r="AK1059" s="205"/>
      <c r="AL1059" s="205"/>
      <c r="AM1059" s="205"/>
    </row>
    <row r="1060" spans="24:39" x14ac:dyDescent="0.3">
      <c r="X1060" s="17"/>
      <c r="AI1060" s="17"/>
      <c r="AJ1060" s="205"/>
      <c r="AK1060" s="205"/>
      <c r="AL1060" s="205"/>
      <c r="AM1060" s="205"/>
    </row>
    <row r="1061" spans="24:39" x14ac:dyDescent="0.3">
      <c r="X1061" s="17"/>
      <c r="AI1061" s="17"/>
      <c r="AJ1061" s="205"/>
      <c r="AK1061" s="205"/>
      <c r="AL1061" s="205"/>
      <c r="AM1061" s="205"/>
    </row>
    <row r="1062" spans="24:39" x14ac:dyDescent="0.3">
      <c r="X1062" s="17"/>
      <c r="AI1062" s="17"/>
      <c r="AJ1062" s="205"/>
      <c r="AK1062" s="205"/>
      <c r="AL1062" s="205"/>
      <c r="AM1062" s="205"/>
    </row>
    <row r="1063" spans="24:39" x14ac:dyDescent="0.3">
      <c r="X1063" s="17"/>
      <c r="AI1063" s="17"/>
      <c r="AJ1063" s="205"/>
      <c r="AK1063" s="205"/>
      <c r="AL1063" s="205"/>
      <c r="AM1063" s="205"/>
    </row>
    <row r="1064" spans="24:39" x14ac:dyDescent="0.3">
      <c r="X1064" s="17"/>
      <c r="AI1064" s="17"/>
      <c r="AJ1064" s="205"/>
      <c r="AK1064" s="205"/>
      <c r="AL1064" s="205"/>
      <c r="AM1064" s="205"/>
    </row>
    <row r="1065" spans="24:39" x14ac:dyDescent="0.3">
      <c r="X1065" s="17"/>
      <c r="AI1065" s="17"/>
      <c r="AJ1065" s="205"/>
      <c r="AK1065" s="205"/>
      <c r="AL1065" s="205"/>
      <c r="AM1065" s="205"/>
    </row>
    <row r="1066" spans="24:39" x14ac:dyDescent="0.3">
      <c r="X1066" s="17"/>
      <c r="AI1066" s="17"/>
      <c r="AJ1066" s="205"/>
      <c r="AK1066" s="205"/>
      <c r="AL1066" s="205"/>
      <c r="AM1066" s="205"/>
    </row>
    <row r="1067" spans="24:39" x14ac:dyDescent="0.3">
      <c r="X1067" s="17"/>
      <c r="AI1067" s="17"/>
      <c r="AJ1067" s="205"/>
      <c r="AK1067" s="205"/>
      <c r="AL1067" s="205"/>
      <c r="AM1067" s="205"/>
    </row>
    <row r="1068" spans="24:39" x14ac:dyDescent="0.3">
      <c r="X1068" s="17"/>
      <c r="AI1068" s="17"/>
      <c r="AJ1068" s="205"/>
      <c r="AK1068" s="205"/>
      <c r="AL1068" s="205"/>
      <c r="AM1068" s="205"/>
    </row>
    <row r="1069" spans="24:39" x14ac:dyDescent="0.3">
      <c r="X1069" s="17"/>
      <c r="AI1069" s="17"/>
      <c r="AJ1069" s="205"/>
      <c r="AK1069" s="205"/>
      <c r="AL1069" s="205"/>
      <c r="AM1069" s="205"/>
    </row>
    <row r="1070" spans="24:39" x14ac:dyDescent="0.3">
      <c r="X1070" s="17"/>
      <c r="AI1070" s="17"/>
      <c r="AJ1070" s="205"/>
      <c r="AK1070" s="205"/>
      <c r="AL1070" s="205"/>
      <c r="AM1070" s="205"/>
    </row>
    <row r="1071" spans="24:39" x14ac:dyDescent="0.3">
      <c r="X1071" s="17"/>
      <c r="AI1071" s="17"/>
      <c r="AJ1071" s="205"/>
      <c r="AK1071" s="205"/>
      <c r="AL1071" s="205"/>
      <c r="AM1071" s="205"/>
    </row>
    <row r="1072" spans="24:39" x14ac:dyDescent="0.3">
      <c r="X1072" s="17"/>
      <c r="AI1072" s="17"/>
      <c r="AJ1072" s="205"/>
      <c r="AK1072" s="205"/>
      <c r="AL1072" s="205"/>
      <c r="AM1072" s="205"/>
    </row>
    <row r="1073" spans="24:39" x14ac:dyDescent="0.3">
      <c r="X1073" s="17"/>
      <c r="AI1073" s="17"/>
      <c r="AJ1073" s="205"/>
      <c r="AK1073" s="205"/>
      <c r="AL1073" s="205"/>
      <c r="AM1073" s="205"/>
    </row>
    <row r="1074" spans="24:39" x14ac:dyDescent="0.3">
      <c r="X1074" s="17"/>
      <c r="AI1074" s="17"/>
      <c r="AJ1074" s="205"/>
      <c r="AK1074" s="205"/>
      <c r="AL1074" s="205"/>
      <c r="AM1074" s="205"/>
    </row>
    <row r="1075" spans="24:39" x14ac:dyDescent="0.3">
      <c r="X1075" s="17"/>
      <c r="AI1075" s="17"/>
      <c r="AJ1075" s="205"/>
      <c r="AK1075" s="205"/>
      <c r="AL1075" s="205"/>
      <c r="AM1075" s="205"/>
    </row>
    <row r="1076" spans="24:39" x14ac:dyDescent="0.3">
      <c r="X1076" s="17"/>
      <c r="AI1076" s="17"/>
      <c r="AJ1076" s="205"/>
      <c r="AK1076" s="205"/>
      <c r="AL1076" s="205"/>
      <c r="AM1076" s="205"/>
    </row>
    <row r="1077" spans="24:39" x14ac:dyDescent="0.3">
      <c r="X1077" s="17"/>
      <c r="AI1077" s="17"/>
      <c r="AJ1077" s="205"/>
      <c r="AK1077" s="205"/>
      <c r="AL1077" s="205"/>
      <c r="AM1077" s="205"/>
    </row>
    <row r="1078" spans="24:39" x14ac:dyDescent="0.3">
      <c r="X1078" s="17"/>
      <c r="AI1078" s="17"/>
      <c r="AJ1078" s="205"/>
      <c r="AK1078" s="205"/>
      <c r="AL1078" s="205"/>
      <c r="AM1078" s="205"/>
    </row>
    <row r="1079" spans="24:39" x14ac:dyDescent="0.3">
      <c r="X1079" s="17"/>
      <c r="AI1079" s="17"/>
      <c r="AJ1079" s="205"/>
      <c r="AK1079" s="205"/>
      <c r="AL1079" s="205"/>
      <c r="AM1079" s="205"/>
    </row>
    <row r="1080" spans="24:39" x14ac:dyDescent="0.3">
      <c r="X1080" s="17"/>
      <c r="AI1080" s="17"/>
      <c r="AJ1080" s="205"/>
      <c r="AK1080" s="205"/>
      <c r="AL1080" s="205"/>
      <c r="AM1080" s="205"/>
    </row>
    <row r="1081" spans="24:39" x14ac:dyDescent="0.3">
      <c r="X1081" s="17"/>
      <c r="AI1081" s="17"/>
      <c r="AJ1081" s="205"/>
      <c r="AK1081" s="205"/>
      <c r="AL1081" s="205"/>
      <c r="AM1081" s="205"/>
    </row>
    <row r="1082" spans="24:39" x14ac:dyDescent="0.3">
      <c r="X1082" s="17"/>
      <c r="AI1082" s="17"/>
      <c r="AJ1082" s="205"/>
      <c r="AK1082" s="205"/>
      <c r="AL1082" s="205"/>
      <c r="AM1082" s="205"/>
    </row>
    <row r="1083" spans="24:39" x14ac:dyDescent="0.3">
      <c r="X1083" s="17"/>
      <c r="AI1083" s="17"/>
      <c r="AJ1083" s="205"/>
      <c r="AK1083" s="205"/>
      <c r="AL1083" s="205"/>
      <c r="AM1083" s="205"/>
    </row>
    <row r="1084" spans="24:39" x14ac:dyDescent="0.3">
      <c r="X1084" s="17"/>
      <c r="AI1084" s="17"/>
      <c r="AJ1084" s="205"/>
      <c r="AK1084" s="205"/>
      <c r="AL1084" s="205"/>
      <c r="AM1084" s="205"/>
    </row>
    <row r="1085" spans="24:39" x14ac:dyDescent="0.3">
      <c r="X1085" s="17"/>
      <c r="AI1085" s="17"/>
      <c r="AJ1085" s="205"/>
      <c r="AK1085" s="205"/>
      <c r="AL1085" s="205"/>
      <c r="AM1085" s="205"/>
    </row>
    <row r="1086" spans="24:39" x14ac:dyDescent="0.3">
      <c r="X1086" s="17"/>
      <c r="AI1086" s="17"/>
      <c r="AJ1086" s="205"/>
      <c r="AK1086" s="205"/>
      <c r="AL1086" s="205"/>
      <c r="AM1086" s="205"/>
    </row>
    <row r="1087" spans="24:39" x14ac:dyDescent="0.3">
      <c r="X1087" s="17"/>
      <c r="AI1087" s="17"/>
      <c r="AJ1087" s="205"/>
      <c r="AK1087" s="205"/>
      <c r="AL1087" s="205"/>
      <c r="AM1087" s="205"/>
    </row>
    <row r="1088" spans="24:39" x14ac:dyDescent="0.3">
      <c r="X1088" s="17"/>
      <c r="AI1088" s="17"/>
      <c r="AJ1088" s="205"/>
      <c r="AK1088" s="205"/>
      <c r="AL1088" s="205"/>
      <c r="AM1088" s="205"/>
    </row>
    <row r="1089" spans="24:39" x14ac:dyDescent="0.3">
      <c r="X1089" s="17"/>
      <c r="AI1089" s="17"/>
      <c r="AJ1089" s="205"/>
      <c r="AK1089" s="205"/>
      <c r="AL1089" s="205"/>
      <c r="AM1089" s="205"/>
    </row>
    <row r="1090" spans="24:39" x14ac:dyDescent="0.3">
      <c r="X1090" s="17"/>
      <c r="AI1090" s="17"/>
      <c r="AJ1090" s="205"/>
      <c r="AK1090" s="205"/>
      <c r="AL1090" s="205"/>
      <c r="AM1090" s="205"/>
    </row>
    <row r="1091" spans="24:39" x14ac:dyDescent="0.3">
      <c r="X1091" s="17"/>
      <c r="AI1091" s="17"/>
      <c r="AJ1091" s="205"/>
      <c r="AK1091" s="205"/>
      <c r="AL1091" s="205"/>
      <c r="AM1091" s="205"/>
    </row>
    <row r="1092" spans="24:39" x14ac:dyDescent="0.3">
      <c r="X1092" s="17"/>
      <c r="AI1092" s="17"/>
      <c r="AJ1092" s="205"/>
      <c r="AK1092" s="205"/>
      <c r="AL1092" s="205"/>
      <c r="AM1092" s="205"/>
    </row>
    <row r="1093" spans="24:39" x14ac:dyDescent="0.3">
      <c r="X1093" s="17"/>
      <c r="AI1093" s="17"/>
      <c r="AJ1093" s="205"/>
      <c r="AK1093" s="205"/>
      <c r="AL1093" s="205"/>
      <c r="AM1093" s="205"/>
    </row>
    <row r="1094" spans="24:39" x14ac:dyDescent="0.3">
      <c r="X1094" s="17"/>
      <c r="AI1094" s="17"/>
      <c r="AJ1094" s="205"/>
      <c r="AK1094" s="205"/>
      <c r="AL1094" s="205"/>
      <c r="AM1094" s="205"/>
    </row>
    <row r="1095" spans="24:39" x14ac:dyDescent="0.3">
      <c r="X1095" s="17"/>
      <c r="AI1095" s="17"/>
      <c r="AJ1095" s="205"/>
      <c r="AK1095" s="205"/>
      <c r="AL1095" s="205"/>
      <c r="AM1095" s="205"/>
    </row>
    <row r="1096" spans="24:39" x14ac:dyDescent="0.3">
      <c r="X1096" s="17"/>
      <c r="AI1096" s="17"/>
      <c r="AJ1096" s="205"/>
      <c r="AK1096" s="205"/>
      <c r="AL1096" s="205"/>
      <c r="AM1096" s="205"/>
    </row>
    <row r="1097" spans="24:39" x14ac:dyDescent="0.3">
      <c r="X1097" s="17"/>
      <c r="AI1097" s="17"/>
      <c r="AJ1097" s="205"/>
      <c r="AK1097" s="205"/>
      <c r="AL1097" s="205"/>
      <c r="AM1097" s="205"/>
    </row>
    <row r="1098" spans="24:39" x14ac:dyDescent="0.3">
      <c r="X1098" s="17"/>
      <c r="AI1098" s="17"/>
      <c r="AJ1098" s="205"/>
      <c r="AK1098" s="205"/>
      <c r="AL1098" s="205"/>
      <c r="AM1098" s="205"/>
    </row>
    <row r="1099" spans="24:39" x14ac:dyDescent="0.3">
      <c r="X1099" s="17"/>
      <c r="AI1099" s="17"/>
      <c r="AJ1099" s="205"/>
      <c r="AK1099" s="205"/>
      <c r="AL1099" s="205"/>
      <c r="AM1099" s="205"/>
    </row>
    <row r="1100" spans="24:39" x14ac:dyDescent="0.3">
      <c r="X1100" s="17"/>
      <c r="AI1100" s="17"/>
      <c r="AJ1100" s="205"/>
      <c r="AK1100" s="205"/>
      <c r="AL1100" s="205"/>
      <c r="AM1100" s="205"/>
    </row>
    <row r="1101" spans="24:39" x14ac:dyDescent="0.3">
      <c r="X1101" s="17"/>
      <c r="AI1101" s="17"/>
      <c r="AJ1101" s="205"/>
      <c r="AK1101" s="205"/>
      <c r="AL1101" s="205"/>
      <c r="AM1101" s="205"/>
    </row>
    <row r="1102" spans="24:39" x14ac:dyDescent="0.3">
      <c r="X1102" s="17"/>
      <c r="AI1102" s="17"/>
      <c r="AJ1102" s="205"/>
      <c r="AK1102" s="205"/>
      <c r="AL1102" s="205"/>
      <c r="AM1102" s="205"/>
    </row>
    <row r="1103" spans="24:39" x14ac:dyDescent="0.3">
      <c r="X1103" s="17"/>
      <c r="AI1103" s="17"/>
      <c r="AJ1103" s="205"/>
      <c r="AK1103" s="205"/>
      <c r="AL1103" s="205"/>
      <c r="AM1103" s="205"/>
    </row>
    <row r="1104" spans="24:39" x14ac:dyDescent="0.3">
      <c r="X1104" s="17"/>
      <c r="AI1104" s="17"/>
      <c r="AJ1104" s="205"/>
      <c r="AK1104" s="205"/>
      <c r="AL1104" s="205"/>
      <c r="AM1104" s="205"/>
    </row>
    <row r="1105" spans="24:39" x14ac:dyDescent="0.3">
      <c r="X1105" s="17"/>
      <c r="AI1105" s="17"/>
      <c r="AJ1105" s="205"/>
      <c r="AK1105" s="205"/>
      <c r="AL1105" s="205"/>
      <c r="AM1105" s="205"/>
    </row>
    <row r="1106" spans="24:39" x14ac:dyDescent="0.3">
      <c r="X1106" s="17"/>
      <c r="AI1106" s="17"/>
      <c r="AJ1106" s="205"/>
      <c r="AK1106" s="205"/>
      <c r="AL1106" s="205"/>
      <c r="AM1106" s="205"/>
    </row>
    <row r="1107" spans="24:39" x14ac:dyDescent="0.3">
      <c r="X1107" s="17"/>
      <c r="AI1107" s="17"/>
      <c r="AJ1107" s="205"/>
      <c r="AK1107" s="205"/>
      <c r="AL1107" s="205"/>
      <c r="AM1107" s="205"/>
    </row>
    <row r="1108" spans="24:39" x14ac:dyDescent="0.3">
      <c r="X1108" s="17"/>
      <c r="AI1108" s="17"/>
      <c r="AJ1108" s="205"/>
      <c r="AK1108" s="205"/>
      <c r="AL1108" s="205"/>
      <c r="AM1108" s="205"/>
    </row>
    <row r="1109" spans="24:39" x14ac:dyDescent="0.3">
      <c r="X1109" s="17"/>
      <c r="AI1109" s="17"/>
      <c r="AJ1109" s="205"/>
      <c r="AK1109" s="205"/>
      <c r="AL1109" s="205"/>
      <c r="AM1109" s="205"/>
    </row>
    <row r="1110" spans="24:39" x14ac:dyDescent="0.3">
      <c r="X1110" s="17"/>
      <c r="AI1110" s="17"/>
      <c r="AJ1110" s="205"/>
      <c r="AK1110" s="205"/>
      <c r="AL1110" s="205"/>
      <c r="AM1110" s="205"/>
    </row>
    <row r="1111" spans="24:39" x14ac:dyDescent="0.3">
      <c r="X1111" s="17"/>
      <c r="AI1111" s="17"/>
      <c r="AJ1111" s="205"/>
      <c r="AK1111" s="205"/>
      <c r="AL1111" s="205"/>
      <c r="AM1111" s="205"/>
    </row>
    <row r="1112" spans="24:39" x14ac:dyDescent="0.3">
      <c r="X1112" s="17"/>
      <c r="AI1112" s="17"/>
      <c r="AJ1112" s="205"/>
      <c r="AK1112" s="205"/>
      <c r="AL1112" s="205"/>
      <c r="AM1112" s="205"/>
    </row>
    <row r="1113" spans="24:39" x14ac:dyDescent="0.3">
      <c r="X1113" s="17"/>
      <c r="AI1113" s="17"/>
      <c r="AJ1113" s="205"/>
      <c r="AK1113" s="205"/>
      <c r="AL1113" s="205"/>
      <c r="AM1113" s="205"/>
    </row>
    <row r="1114" spans="24:39" x14ac:dyDescent="0.3">
      <c r="X1114" s="17"/>
      <c r="AI1114" s="17"/>
      <c r="AJ1114" s="205"/>
      <c r="AK1114" s="205"/>
      <c r="AL1114" s="205"/>
      <c r="AM1114" s="205"/>
    </row>
    <row r="1115" spans="24:39" x14ac:dyDescent="0.3">
      <c r="X1115" s="17"/>
      <c r="AI1115" s="17"/>
      <c r="AJ1115" s="205"/>
      <c r="AK1115" s="205"/>
      <c r="AL1115" s="205"/>
      <c r="AM1115" s="205"/>
    </row>
    <row r="1116" spans="24:39" x14ac:dyDescent="0.3">
      <c r="X1116" s="17"/>
      <c r="AI1116" s="17"/>
      <c r="AJ1116" s="205"/>
      <c r="AK1116" s="205"/>
      <c r="AL1116" s="205"/>
      <c r="AM1116" s="205"/>
    </row>
    <row r="1117" spans="24:39" x14ac:dyDescent="0.3">
      <c r="X1117" s="17"/>
      <c r="AI1117" s="17"/>
      <c r="AJ1117" s="205"/>
      <c r="AK1117" s="205"/>
      <c r="AL1117" s="205"/>
      <c r="AM1117" s="205"/>
    </row>
    <row r="1118" spans="24:39" x14ac:dyDescent="0.3">
      <c r="X1118" s="17"/>
      <c r="AI1118" s="17"/>
      <c r="AJ1118" s="205"/>
      <c r="AK1118" s="205"/>
      <c r="AL1118" s="205"/>
      <c r="AM1118" s="205"/>
    </row>
    <row r="1119" spans="24:39" x14ac:dyDescent="0.3">
      <c r="X1119" s="17"/>
      <c r="AI1119" s="17"/>
      <c r="AJ1119" s="205"/>
      <c r="AK1119" s="205"/>
      <c r="AL1119" s="205"/>
      <c r="AM1119" s="205"/>
    </row>
    <row r="1120" spans="24:39" x14ac:dyDescent="0.3">
      <c r="X1120" s="17"/>
      <c r="AI1120" s="17"/>
      <c r="AJ1120" s="205"/>
      <c r="AK1120" s="205"/>
      <c r="AL1120" s="205"/>
      <c r="AM1120" s="205"/>
    </row>
    <row r="1121" spans="24:39" x14ac:dyDescent="0.3">
      <c r="X1121" s="17"/>
      <c r="AI1121" s="17"/>
      <c r="AJ1121" s="205"/>
      <c r="AK1121" s="205"/>
      <c r="AL1121" s="205"/>
      <c r="AM1121" s="205"/>
    </row>
    <row r="1122" spans="24:39" x14ac:dyDescent="0.3">
      <c r="X1122" s="17"/>
      <c r="AI1122" s="17"/>
      <c r="AJ1122" s="205"/>
      <c r="AK1122" s="205"/>
      <c r="AL1122" s="205"/>
      <c r="AM1122" s="205"/>
    </row>
    <row r="1123" spans="24:39" x14ac:dyDescent="0.3">
      <c r="X1123" s="17"/>
      <c r="AI1123" s="17"/>
      <c r="AJ1123" s="205"/>
      <c r="AK1123" s="205"/>
      <c r="AL1123" s="205"/>
      <c r="AM1123" s="205"/>
    </row>
    <row r="1124" spans="24:39" x14ac:dyDescent="0.3">
      <c r="X1124" s="17"/>
      <c r="AI1124" s="17"/>
      <c r="AJ1124" s="205"/>
      <c r="AK1124" s="205"/>
      <c r="AL1124" s="205"/>
      <c r="AM1124" s="205"/>
    </row>
    <row r="1125" spans="24:39" x14ac:dyDescent="0.3">
      <c r="X1125" s="17"/>
      <c r="AI1125" s="17"/>
      <c r="AJ1125" s="205"/>
      <c r="AK1125" s="205"/>
      <c r="AL1125" s="205"/>
      <c r="AM1125" s="205"/>
    </row>
    <row r="1126" spans="24:39" x14ac:dyDescent="0.3">
      <c r="X1126" s="17"/>
      <c r="AI1126" s="17"/>
      <c r="AJ1126" s="205"/>
      <c r="AK1126" s="205"/>
      <c r="AL1126" s="205"/>
      <c r="AM1126" s="205"/>
    </row>
    <row r="1127" spans="24:39" x14ac:dyDescent="0.3">
      <c r="X1127" s="17"/>
      <c r="AI1127" s="17"/>
      <c r="AJ1127" s="205"/>
      <c r="AK1127" s="205"/>
      <c r="AL1127" s="205"/>
      <c r="AM1127" s="205"/>
    </row>
    <row r="1128" spans="24:39" x14ac:dyDescent="0.3">
      <c r="X1128" s="17"/>
      <c r="AI1128" s="17"/>
      <c r="AJ1128" s="205"/>
      <c r="AK1128" s="205"/>
      <c r="AL1128" s="205"/>
      <c r="AM1128" s="205"/>
    </row>
    <row r="1129" spans="24:39" x14ac:dyDescent="0.3">
      <c r="X1129" s="17"/>
      <c r="AI1129" s="17"/>
      <c r="AJ1129" s="205"/>
      <c r="AK1129" s="205"/>
      <c r="AL1129" s="205"/>
      <c r="AM1129" s="205"/>
    </row>
    <row r="1130" spans="24:39" x14ac:dyDescent="0.3">
      <c r="X1130" s="17"/>
      <c r="AI1130" s="17"/>
      <c r="AJ1130" s="205"/>
      <c r="AK1130" s="205"/>
      <c r="AL1130" s="205"/>
      <c r="AM1130" s="205"/>
    </row>
    <row r="1131" spans="24:39" x14ac:dyDescent="0.3">
      <c r="X1131" s="17"/>
      <c r="AI1131" s="17"/>
      <c r="AJ1131" s="205"/>
      <c r="AK1131" s="205"/>
      <c r="AL1131" s="205"/>
      <c r="AM1131" s="205"/>
    </row>
    <row r="1132" spans="24:39" x14ac:dyDescent="0.3">
      <c r="X1132" s="17"/>
      <c r="AI1132" s="17"/>
      <c r="AJ1132" s="205"/>
      <c r="AK1132" s="205"/>
      <c r="AL1132" s="205"/>
      <c r="AM1132" s="205"/>
    </row>
    <row r="1133" spans="24:39" x14ac:dyDescent="0.3">
      <c r="X1133" s="17"/>
      <c r="AI1133" s="17"/>
      <c r="AJ1133" s="205"/>
      <c r="AK1133" s="205"/>
      <c r="AL1133" s="205"/>
      <c r="AM1133" s="205"/>
    </row>
    <row r="1134" spans="24:39" x14ac:dyDescent="0.3">
      <c r="X1134" s="17"/>
      <c r="AI1134" s="17"/>
      <c r="AJ1134" s="205"/>
      <c r="AK1134" s="205"/>
      <c r="AL1134" s="205"/>
      <c r="AM1134" s="205"/>
    </row>
    <row r="1135" spans="24:39" x14ac:dyDescent="0.3">
      <c r="X1135" s="17"/>
      <c r="AI1135" s="17"/>
      <c r="AJ1135" s="205"/>
      <c r="AK1135" s="205"/>
      <c r="AL1135" s="205"/>
      <c r="AM1135" s="205"/>
    </row>
    <row r="1136" spans="24:39" x14ac:dyDescent="0.3">
      <c r="X1136" s="17"/>
      <c r="AI1136" s="17"/>
      <c r="AJ1136" s="205"/>
      <c r="AK1136" s="205"/>
      <c r="AL1136" s="205"/>
      <c r="AM1136" s="205"/>
    </row>
    <row r="1137" spans="24:39" x14ac:dyDescent="0.3">
      <c r="X1137" s="17"/>
      <c r="AI1137" s="17"/>
      <c r="AJ1137" s="205"/>
      <c r="AK1137" s="205"/>
      <c r="AL1137" s="205"/>
      <c r="AM1137" s="205"/>
    </row>
    <row r="1138" spans="24:39" x14ac:dyDescent="0.3">
      <c r="X1138" s="17"/>
      <c r="AI1138" s="17"/>
      <c r="AJ1138" s="205"/>
      <c r="AK1138" s="205"/>
      <c r="AL1138" s="205"/>
      <c r="AM1138" s="205"/>
    </row>
    <row r="1139" spans="24:39" x14ac:dyDescent="0.3">
      <c r="X1139" s="17"/>
      <c r="AI1139" s="17"/>
      <c r="AJ1139" s="205"/>
      <c r="AK1139" s="205"/>
      <c r="AL1139" s="205"/>
      <c r="AM1139" s="205"/>
    </row>
    <row r="1140" spans="24:39" x14ac:dyDescent="0.3">
      <c r="X1140" s="17"/>
      <c r="AI1140" s="17"/>
      <c r="AJ1140" s="205"/>
      <c r="AK1140" s="205"/>
      <c r="AL1140" s="205"/>
      <c r="AM1140" s="205"/>
    </row>
    <row r="1141" spans="24:39" x14ac:dyDescent="0.3">
      <c r="X1141" s="17"/>
      <c r="AI1141" s="17"/>
      <c r="AJ1141" s="205"/>
      <c r="AK1141" s="205"/>
      <c r="AL1141" s="205"/>
      <c r="AM1141" s="205"/>
    </row>
    <row r="1142" spans="24:39" x14ac:dyDescent="0.3">
      <c r="X1142" s="17"/>
      <c r="AI1142" s="17"/>
      <c r="AJ1142" s="205"/>
      <c r="AK1142" s="205"/>
      <c r="AL1142" s="205"/>
      <c r="AM1142" s="205"/>
    </row>
    <row r="1143" spans="24:39" x14ac:dyDescent="0.3">
      <c r="X1143" s="17"/>
      <c r="AI1143" s="17"/>
      <c r="AJ1143" s="205"/>
      <c r="AK1143" s="205"/>
      <c r="AL1143" s="205"/>
      <c r="AM1143" s="205"/>
    </row>
    <row r="1144" spans="24:39" x14ac:dyDescent="0.3">
      <c r="X1144" s="17"/>
      <c r="AI1144" s="17"/>
      <c r="AJ1144" s="205"/>
      <c r="AK1144" s="205"/>
      <c r="AL1144" s="205"/>
      <c r="AM1144" s="205"/>
    </row>
    <row r="1145" spans="24:39" x14ac:dyDescent="0.3">
      <c r="X1145" s="17"/>
      <c r="AI1145" s="17"/>
      <c r="AJ1145" s="205"/>
      <c r="AK1145" s="205"/>
      <c r="AL1145" s="205"/>
      <c r="AM1145" s="205"/>
    </row>
    <row r="1146" spans="24:39" x14ac:dyDescent="0.3">
      <c r="X1146" s="17"/>
      <c r="AI1146" s="17"/>
      <c r="AJ1146" s="205"/>
      <c r="AK1146" s="205"/>
      <c r="AL1146" s="205"/>
      <c r="AM1146" s="205"/>
    </row>
    <row r="1147" spans="24:39" x14ac:dyDescent="0.3">
      <c r="X1147" s="17"/>
      <c r="AI1147" s="17"/>
      <c r="AJ1147" s="205"/>
      <c r="AK1147" s="205"/>
      <c r="AL1147" s="205"/>
      <c r="AM1147" s="205"/>
    </row>
    <row r="1148" spans="24:39" x14ac:dyDescent="0.3">
      <c r="X1148" s="17"/>
      <c r="AI1148" s="17"/>
      <c r="AJ1148" s="205"/>
      <c r="AK1148" s="205"/>
      <c r="AL1148" s="205"/>
      <c r="AM1148" s="205"/>
    </row>
    <row r="1149" spans="24:39" x14ac:dyDescent="0.3">
      <c r="X1149" s="17"/>
      <c r="AI1149" s="17"/>
      <c r="AJ1149" s="205"/>
      <c r="AK1149" s="205"/>
      <c r="AL1149" s="205"/>
      <c r="AM1149" s="205"/>
    </row>
    <row r="1150" spans="24:39" x14ac:dyDescent="0.3">
      <c r="X1150" s="17"/>
      <c r="AI1150" s="17"/>
      <c r="AJ1150" s="205"/>
      <c r="AK1150" s="205"/>
      <c r="AL1150" s="205"/>
      <c r="AM1150" s="205"/>
    </row>
    <row r="1151" spans="24:39" x14ac:dyDescent="0.3">
      <c r="X1151" s="17"/>
      <c r="AI1151" s="17"/>
      <c r="AJ1151" s="205"/>
      <c r="AK1151" s="205"/>
      <c r="AL1151" s="205"/>
      <c r="AM1151" s="205"/>
    </row>
    <row r="1152" spans="24:39" x14ac:dyDescent="0.3">
      <c r="X1152" s="17"/>
      <c r="AI1152" s="17"/>
      <c r="AJ1152" s="205"/>
      <c r="AK1152" s="205"/>
      <c r="AL1152" s="205"/>
      <c r="AM1152" s="205"/>
    </row>
    <row r="1153" spans="24:39" x14ac:dyDescent="0.3">
      <c r="X1153" s="17"/>
      <c r="AI1153" s="17"/>
      <c r="AJ1153" s="205"/>
      <c r="AK1153" s="205"/>
      <c r="AL1153" s="205"/>
      <c r="AM1153" s="205"/>
    </row>
    <row r="1154" spans="24:39" x14ac:dyDescent="0.3">
      <c r="X1154" s="17"/>
      <c r="AI1154" s="17"/>
      <c r="AJ1154" s="205"/>
      <c r="AK1154" s="205"/>
      <c r="AL1154" s="205"/>
      <c r="AM1154" s="205"/>
    </row>
    <row r="1155" spans="24:39" x14ac:dyDescent="0.3">
      <c r="X1155" s="17"/>
      <c r="AI1155" s="17"/>
      <c r="AJ1155" s="205"/>
      <c r="AK1155" s="205"/>
      <c r="AL1155" s="205"/>
      <c r="AM1155" s="205"/>
    </row>
    <row r="1156" spans="24:39" x14ac:dyDescent="0.3">
      <c r="X1156" s="17"/>
      <c r="AI1156" s="17"/>
      <c r="AJ1156" s="205"/>
      <c r="AK1156" s="205"/>
      <c r="AL1156" s="205"/>
      <c r="AM1156" s="205"/>
    </row>
    <row r="1157" spans="24:39" x14ac:dyDescent="0.3">
      <c r="X1157" s="17"/>
      <c r="AI1157" s="17"/>
      <c r="AJ1157" s="205"/>
      <c r="AK1157" s="205"/>
      <c r="AL1157" s="205"/>
      <c r="AM1157" s="205"/>
    </row>
    <row r="1158" spans="24:39" x14ac:dyDescent="0.3">
      <c r="X1158" s="17"/>
      <c r="AI1158" s="17"/>
      <c r="AJ1158" s="205"/>
      <c r="AK1158" s="205"/>
      <c r="AL1158" s="205"/>
      <c r="AM1158" s="205"/>
    </row>
    <row r="1159" spans="24:39" x14ac:dyDescent="0.3">
      <c r="X1159" s="17"/>
      <c r="AI1159" s="17"/>
      <c r="AJ1159" s="205"/>
      <c r="AK1159" s="205"/>
      <c r="AL1159" s="205"/>
      <c r="AM1159" s="205"/>
    </row>
    <row r="1160" spans="24:39" x14ac:dyDescent="0.3">
      <c r="X1160" s="17"/>
      <c r="AI1160" s="17"/>
      <c r="AJ1160" s="205"/>
      <c r="AK1160" s="205"/>
      <c r="AL1160" s="205"/>
      <c r="AM1160" s="205"/>
    </row>
    <row r="1161" spans="24:39" x14ac:dyDescent="0.3">
      <c r="X1161" s="17"/>
      <c r="AI1161" s="17"/>
      <c r="AJ1161" s="205"/>
      <c r="AK1161" s="205"/>
      <c r="AL1161" s="205"/>
      <c r="AM1161" s="205"/>
    </row>
    <row r="1162" spans="24:39" x14ac:dyDescent="0.3">
      <c r="X1162" s="17"/>
      <c r="AI1162" s="17"/>
      <c r="AJ1162" s="205"/>
      <c r="AK1162" s="205"/>
      <c r="AL1162" s="205"/>
      <c r="AM1162" s="205"/>
    </row>
    <row r="1163" spans="24:39" x14ac:dyDescent="0.3">
      <c r="X1163" s="17"/>
      <c r="AI1163" s="17"/>
      <c r="AJ1163" s="205"/>
      <c r="AK1163" s="205"/>
      <c r="AL1163" s="205"/>
      <c r="AM1163" s="205"/>
    </row>
    <row r="1164" spans="24:39" x14ac:dyDescent="0.3">
      <c r="X1164" s="17"/>
      <c r="AI1164" s="17"/>
      <c r="AJ1164" s="205"/>
      <c r="AK1164" s="205"/>
      <c r="AL1164" s="205"/>
      <c r="AM1164" s="205"/>
    </row>
    <row r="1165" spans="24:39" x14ac:dyDescent="0.3">
      <c r="X1165" s="17"/>
      <c r="AI1165" s="17"/>
      <c r="AJ1165" s="205"/>
      <c r="AK1165" s="205"/>
      <c r="AL1165" s="205"/>
      <c r="AM1165" s="205"/>
    </row>
    <row r="1166" spans="24:39" x14ac:dyDescent="0.3">
      <c r="X1166" s="17"/>
      <c r="AI1166" s="17"/>
      <c r="AJ1166" s="205"/>
      <c r="AK1166" s="205"/>
      <c r="AL1166" s="205"/>
      <c r="AM1166" s="205"/>
    </row>
    <row r="1167" spans="24:39" x14ac:dyDescent="0.3">
      <c r="X1167" s="17"/>
      <c r="AI1167" s="17"/>
      <c r="AJ1167" s="205"/>
      <c r="AK1167" s="205"/>
      <c r="AL1167" s="205"/>
      <c r="AM1167" s="205"/>
    </row>
    <row r="1168" spans="24:39" x14ac:dyDescent="0.3">
      <c r="X1168" s="17"/>
      <c r="AI1168" s="17"/>
      <c r="AJ1168" s="205"/>
      <c r="AK1168" s="205"/>
      <c r="AL1168" s="205"/>
      <c r="AM1168" s="205"/>
    </row>
    <row r="1169" spans="24:39" x14ac:dyDescent="0.3">
      <c r="X1169" s="17"/>
      <c r="AI1169" s="17"/>
      <c r="AJ1169" s="205"/>
      <c r="AK1169" s="205"/>
      <c r="AL1169" s="205"/>
      <c r="AM1169" s="205"/>
    </row>
    <row r="1170" spans="24:39" x14ac:dyDescent="0.3">
      <c r="X1170" s="17"/>
      <c r="AI1170" s="17"/>
      <c r="AJ1170" s="205"/>
      <c r="AK1170" s="205"/>
      <c r="AL1170" s="205"/>
      <c r="AM1170" s="205"/>
    </row>
    <row r="1171" spans="24:39" x14ac:dyDescent="0.3">
      <c r="X1171" s="17"/>
      <c r="AI1171" s="17"/>
      <c r="AJ1171" s="205"/>
      <c r="AK1171" s="205"/>
      <c r="AL1171" s="205"/>
      <c r="AM1171" s="205"/>
    </row>
    <row r="1172" spans="24:39" x14ac:dyDescent="0.3">
      <c r="X1172" s="17"/>
      <c r="AI1172" s="17"/>
      <c r="AJ1172" s="205"/>
      <c r="AK1172" s="205"/>
      <c r="AL1172" s="205"/>
      <c r="AM1172" s="205"/>
    </row>
    <row r="1173" spans="24:39" x14ac:dyDescent="0.3">
      <c r="X1173" s="17"/>
      <c r="AI1173" s="17"/>
      <c r="AJ1173" s="205"/>
      <c r="AK1173" s="205"/>
      <c r="AL1173" s="205"/>
      <c r="AM1173" s="205"/>
    </row>
    <row r="1174" spans="24:39" x14ac:dyDescent="0.3">
      <c r="X1174" s="17"/>
      <c r="AI1174" s="17"/>
      <c r="AJ1174" s="205"/>
      <c r="AK1174" s="205"/>
      <c r="AL1174" s="205"/>
      <c r="AM1174" s="205"/>
    </row>
    <row r="1175" spans="24:39" x14ac:dyDescent="0.3">
      <c r="X1175" s="17"/>
      <c r="AI1175" s="17"/>
      <c r="AJ1175" s="205"/>
      <c r="AK1175" s="205"/>
      <c r="AL1175" s="205"/>
      <c r="AM1175" s="205"/>
    </row>
    <row r="1176" spans="24:39" x14ac:dyDescent="0.3">
      <c r="X1176" s="17"/>
      <c r="AI1176" s="17"/>
      <c r="AJ1176" s="205"/>
      <c r="AK1176" s="205"/>
      <c r="AL1176" s="205"/>
      <c r="AM1176" s="205"/>
    </row>
    <row r="1177" spans="24:39" x14ac:dyDescent="0.3">
      <c r="X1177" s="17"/>
      <c r="AI1177" s="17"/>
      <c r="AJ1177" s="205"/>
      <c r="AK1177" s="205"/>
      <c r="AL1177" s="205"/>
      <c r="AM1177" s="205"/>
    </row>
    <row r="1178" spans="24:39" x14ac:dyDescent="0.3">
      <c r="X1178" s="17"/>
      <c r="AI1178" s="17"/>
      <c r="AJ1178" s="205"/>
      <c r="AK1178" s="205"/>
      <c r="AL1178" s="205"/>
      <c r="AM1178" s="205"/>
    </row>
    <row r="1179" spans="24:39" x14ac:dyDescent="0.3">
      <c r="X1179" s="17"/>
      <c r="AI1179" s="17"/>
      <c r="AJ1179" s="205"/>
      <c r="AK1179" s="205"/>
      <c r="AL1179" s="205"/>
      <c r="AM1179" s="205"/>
    </row>
    <row r="1180" spans="24:39" x14ac:dyDescent="0.3">
      <c r="X1180" s="17"/>
      <c r="AI1180" s="17"/>
      <c r="AJ1180" s="205"/>
      <c r="AK1180" s="205"/>
      <c r="AL1180" s="205"/>
      <c r="AM1180" s="205"/>
    </row>
    <row r="1181" spans="24:39" x14ac:dyDescent="0.3">
      <c r="X1181" s="17"/>
      <c r="AI1181" s="17"/>
      <c r="AJ1181" s="205"/>
      <c r="AK1181" s="205"/>
      <c r="AL1181" s="205"/>
      <c r="AM1181" s="205"/>
    </row>
    <row r="1182" spans="24:39" x14ac:dyDescent="0.3">
      <c r="X1182" s="17"/>
      <c r="AI1182" s="17"/>
      <c r="AJ1182" s="205"/>
      <c r="AK1182" s="205"/>
      <c r="AL1182" s="205"/>
      <c r="AM1182" s="205"/>
    </row>
    <row r="1183" spans="24:39" x14ac:dyDescent="0.3">
      <c r="X1183" s="17"/>
      <c r="AI1183" s="17"/>
      <c r="AJ1183" s="205"/>
      <c r="AK1183" s="205"/>
      <c r="AL1183" s="205"/>
      <c r="AM1183" s="205"/>
    </row>
    <row r="1184" spans="24:39" x14ac:dyDescent="0.3">
      <c r="X1184" s="17"/>
      <c r="AI1184" s="17"/>
      <c r="AJ1184" s="205"/>
      <c r="AK1184" s="205"/>
      <c r="AL1184" s="205"/>
      <c r="AM1184" s="205"/>
    </row>
    <row r="1185" spans="24:39" x14ac:dyDescent="0.3">
      <c r="X1185" s="17"/>
      <c r="AI1185" s="17"/>
      <c r="AJ1185" s="205"/>
      <c r="AK1185" s="205"/>
      <c r="AL1185" s="205"/>
      <c r="AM1185" s="205"/>
    </row>
    <row r="1186" spans="24:39" x14ac:dyDescent="0.3">
      <c r="X1186" s="17"/>
      <c r="AI1186" s="17"/>
      <c r="AJ1186" s="205"/>
      <c r="AK1186" s="205"/>
      <c r="AL1186" s="205"/>
      <c r="AM1186" s="205"/>
    </row>
    <row r="1187" spans="24:39" x14ac:dyDescent="0.3">
      <c r="X1187" s="17"/>
      <c r="AI1187" s="17"/>
      <c r="AJ1187" s="205"/>
      <c r="AK1187" s="205"/>
      <c r="AL1187" s="205"/>
      <c r="AM1187" s="205"/>
    </row>
    <row r="1188" spans="24:39" x14ac:dyDescent="0.3">
      <c r="X1188" s="17"/>
      <c r="AI1188" s="17"/>
      <c r="AJ1188" s="205"/>
      <c r="AK1188" s="205"/>
      <c r="AL1188" s="205"/>
      <c r="AM1188" s="205"/>
    </row>
    <row r="1189" spans="24:39" x14ac:dyDescent="0.3">
      <c r="X1189" s="17"/>
      <c r="AI1189" s="17"/>
      <c r="AJ1189" s="205"/>
      <c r="AK1189" s="205"/>
      <c r="AL1189" s="205"/>
      <c r="AM1189" s="205"/>
    </row>
    <row r="1190" spans="24:39" x14ac:dyDescent="0.3">
      <c r="X1190" s="17"/>
      <c r="AI1190" s="17"/>
      <c r="AJ1190" s="205"/>
      <c r="AK1190" s="205"/>
      <c r="AL1190" s="205"/>
      <c r="AM1190" s="205"/>
    </row>
    <row r="1191" spans="24:39" x14ac:dyDescent="0.3">
      <c r="X1191" s="17"/>
      <c r="AI1191" s="17"/>
      <c r="AJ1191" s="205"/>
      <c r="AK1191" s="205"/>
      <c r="AL1191" s="205"/>
      <c r="AM1191" s="205"/>
    </row>
    <row r="1192" spans="24:39" x14ac:dyDescent="0.3">
      <c r="X1192" s="17"/>
      <c r="AI1192" s="17"/>
      <c r="AJ1192" s="205"/>
      <c r="AK1192" s="205"/>
      <c r="AL1192" s="205"/>
      <c r="AM1192" s="205"/>
    </row>
    <row r="1193" spans="24:39" x14ac:dyDescent="0.3">
      <c r="X1193" s="17"/>
      <c r="AI1193" s="17"/>
      <c r="AJ1193" s="205"/>
      <c r="AK1193" s="205"/>
      <c r="AL1193" s="205"/>
      <c r="AM1193" s="205"/>
    </row>
    <row r="1194" spans="24:39" x14ac:dyDescent="0.3">
      <c r="X1194" s="17"/>
      <c r="AI1194" s="17"/>
      <c r="AJ1194" s="205"/>
      <c r="AK1194" s="205"/>
      <c r="AL1194" s="205"/>
      <c r="AM1194" s="205"/>
    </row>
    <row r="1195" spans="24:39" x14ac:dyDescent="0.3">
      <c r="X1195" s="17"/>
      <c r="AI1195" s="17"/>
      <c r="AJ1195" s="205"/>
      <c r="AK1195" s="205"/>
      <c r="AL1195" s="205"/>
      <c r="AM1195" s="205"/>
    </row>
    <row r="1196" spans="24:39" x14ac:dyDescent="0.3">
      <c r="X1196" s="17"/>
      <c r="AI1196" s="17"/>
      <c r="AJ1196" s="205"/>
      <c r="AK1196" s="205"/>
      <c r="AL1196" s="205"/>
      <c r="AM1196" s="205"/>
    </row>
    <row r="1197" spans="24:39" x14ac:dyDescent="0.3">
      <c r="X1197" s="17"/>
      <c r="AI1197" s="17"/>
      <c r="AJ1197" s="205"/>
      <c r="AK1197" s="205"/>
      <c r="AL1197" s="205"/>
      <c r="AM1197" s="205"/>
    </row>
    <row r="1198" spans="24:39" x14ac:dyDescent="0.3">
      <c r="X1198" s="17"/>
      <c r="AI1198" s="17"/>
      <c r="AJ1198" s="205"/>
      <c r="AK1198" s="205"/>
      <c r="AL1198" s="205"/>
      <c r="AM1198" s="205"/>
    </row>
    <row r="1199" spans="24:39" x14ac:dyDescent="0.3">
      <c r="X1199" s="17"/>
      <c r="AI1199" s="17"/>
      <c r="AJ1199" s="205"/>
      <c r="AK1199" s="205"/>
      <c r="AL1199" s="205"/>
      <c r="AM1199" s="205"/>
    </row>
    <row r="1200" spans="24:39" x14ac:dyDescent="0.3">
      <c r="X1200" s="17"/>
      <c r="AI1200" s="17"/>
      <c r="AJ1200" s="205"/>
      <c r="AK1200" s="205"/>
      <c r="AL1200" s="205"/>
      <c r="AM1200" s="205"/>
    </row>
    <row r="1201" spans="24:39" x14ac:dyDescent="0.3">
      <c r="X1201" s="17"/>
      <c r="AI1201" s="17"/>
      <c r="AJ1201" s="205"/>
      <c r="AK1201" s="205"/>
      <c r="AL1201" s="205"/>
      <c r="AM1201" s="205"/>
    </row>
    <row r="1202" spans="24:39" x14ac:dyDescent="0.3">
      <c r="X1202" s="17"/>
      <c r="AI1202" s="17"/>
      <c r="AJ1202" s="205"/>
      <c r="AK1202" s="205"/>
      <c r="AL1202" s="205"/>
      <c r="AM1202" s="205"/>
    </row>
    <row r="1203" spans="24:39" x14ac:dyDescent="0.3">
      <c r="X1203" s="17"/>
      <c r="AI1203" s="17"/>
      <c r="AJ1203" s="205"/>
      <c r="AK1203" s="205"/>
      <c r="AL1203" s="205"/>
      <c r="AM1203" s="205"/>
    </row>
    <row r="1204" spans="24:39" x14ac:dyDescent="0.3">
      <c r="X1204" s="17"/>
      <c r="AI1204" s="17"/>
      <c r="AJ1204" s="205"/>
      <c r="AK1204" s="205"/>
      <c r="AL1204" s="205"/>
      <c r="AM1204" s="205"/>
    </row>
    <row r="1205" spans="24:39" x14ac:dyDescent="0.3">
      <c r="X1205" s="17"/>
      <c r="AI1205" s="17"/>
      <c r="AJ1205" s="205"/>
      <c r="AK1205" s="205"/>
      <c r="AL1205" s="205"/>
      <c r="AM1205" s="205"/>
    </row>
    <row r="1206" spans="24:39" x14ac:dyDescent="0.3">
      <c r="X1206" s="17"/>
      <c r="AI1206" s="17"/>
      <c r="AJ1206" s="205"/>
      <c r="AK1206" s="205"/>
      <c r="AL1206" s="205"/>
      <c r="AM1206" s="205"/>
    </row>
    <row r="1207" spans="24:39" x14ac:dyDescent="0.3">
      <c r="X1207" s="17"/>
      <c r="AI1207" s="17"/>
      <c r="AJ1207" s="205"/>
      <c r="AK1207" s="205"/>
      <c r="AL1207" s="205"/>
      <c r="AM1207" s="205"/>
    </row>
    <row r="1208" spans="24:39" x14ac:dyDescent="0.3">
      <c r="X1208" s="17"/>
      <c r="AI1208" s="17"/>
      <c r="AJ1208" s="205"/>
      <c r="AK1208" s="205"/>
      <c r="AL1208" s="205"/>
      <c r="AM1208" s="205"/>
    </row>
    <row r="1209" spans="24:39" x14ac:dyDescent="0.3">
      <c r="X1209" s="17"/>
      <c r="AI1209" s="17"/>
      <c r="AJ1209" s="205"/>
      <c r="AK1209" s="205"/>
      <c r="AL1209" s="205"/>
      <c r="AM1209" s="205"/>
    </row>
    <row r="1210" spans="24:39" x14ac:dyDescent="0.3">
      <c r="X1210" s="17"/>
      <c r="AI1210" s="17"/>
      <c r="AJ1210" s="205"/>
      <c r="AK1210" s="205"/>
      <c r="AL1210" s="205"/>
      <c r="AM1210" s="205"/>
    </row>
    <row r="1211" spans="24:39" x14ac:dyDescent="0.3">
      <c r="X1211" s="17"/>
      <c r="AI1211" s="17"/>
      <c r="AJ1211" s="205"/>
      <c r="AK1211" s="205"/>
      <c r="AL1211" s="205"/>
      <c r="AM1211" s="205"/>
    </row>
    <row r="1212" spans="24:39" x14ac:dyDescent="0.3">
      <c r="X1212" s="17"/>
      <c r="AI1212" s="17"/>
      <c r="AJ1212" s="205"/>
      <c r="AK1212" s="205"/>
      <c r="AL1212" s="205"/>
      <c r="AM1212" s="205"/>
    </row>
    <row r="1213" spans="24:39" x14ac:dyDescent="0.3">
      <c r="X1213" s="17"/>
      <c r="AI1213" s="17"/>
      <c r="AJ1213" s="205"/>
      <c r="AK1213" s="205"/>
      <c r="AL1213" s="205"/>
      <c r="AM1213" s="205"/>
    </row>
    <row r="1214" spans="24:39" x14ac:dyDescent="0.3">
      <c r="X1214" s="17"/>
      <c r="AI1214" s="17"/>
      <c r="AJ1214" s="205"/>
      <c r="AK1214" s="205"/>
      <c r="AL1214" s="205"/>
      <c r="AM1214" s="205"/>
    </row>
    <row r="1215" spans="24:39" x14ac:dyDescent="0.3">
      <c r="X1215" s="17"/>
      <c r="AI1215" s="17"/>
      <c r="AJ1215" s="205"/>
      <c r="AK1215" s="205"/>
      <c r="AL1215" s="205"/>
      <c r="AM1215" s="205"/>
    </row>
    <row r="1216" spans="24:39" x14ac:dyDescent="0.3">
      <c r="X1216" s="17"/>
      <c r="AI1216" s="17"/>
      <c r="AJ1216" s="205"/>
      <c r="AK1216" s="205"/>
      <c r="AL1216" s="205"/>
      <c r="AM1216" s="205"/>
    </row>
    <row r="1217" spans="24:39" x14ac:dyDescent="0.3">
      <c r="X1217" s="17"/>
      <c r="AI1217" s="17"/>
      <c r="AJ1217" s="205"/>
      <c r="AK1217" s="205"/>
      <c r="AL1217" s="205"/>
      <c r="AM1217" s="205"/>
    </row>
    <row r="1218" spans="24:39" x14ac:dyDescent="0.3">
      <c r="X1218" s="17"/>
      <c r="AI1218" s="17"/>
      <c r="AJ1218" s="205"/>
      <c r="AK1218" s="205"/>
      <c r="AL1218" s="205"/>
      <c r="AM1218" s="205"/>
    </row>
    <row r="1219" spans="24:39" x14ac:dyDescent="0.3">
      <c r="X1219" s="17"/>
      <c r="AI1219" s="17"/>
      <c r="AJ1219" s="205"/>
      <c r="AK1219" s="205"/>
      <c r="AL1219" s="205"/>
      <c r="AM1219" s="205"/>
    </row>
    <row r="1220" spans="24:39" x14ac:dyDescent="0.3">
      <c r="X1220" s="17"/>
      <c r="AI1220" s="17"/>
      <c r="AJ1220" s="205"/>
      <c r="AK1220" s="205"/>
      <c r="AL1220" s="205"/>
      <c r="AM1220" s="205"/>
    </row>
    <row r="1221" spans="24:39" x14ac:dyDescent="0.3">
      <c r="X1221" s="17"/>
      <c r="AI1221" s="17"/>
      <c r="AJ1221" s="205"/>
      <c r="AK1221" s="205"/>
      <c r="AL1221" s="205"/>
      <c r="AM1221" s="205"/>
    </row>
    <row r="1222" spans="24:39" x14ac:dyDescent="0.3">
      <c r="X1222" s="17"/>
      <c r="AI1222" s="17"/>
      <c r="AJ1222" s="205"/>
      <c r="AK1222" s="205"/>
      <c r="AL1222" s="205"/>
      <c r="AM1222" s="205"/>
    </row>
    <row r="1223" spans="24:39" x14ac:dyDescent="0.3">
      <c r="X1223" s="17"/>
      <c r="AI1223" s="17"/>
      <c r="AJ1223" s="205"/>
      <c r="AK1223" s="205"/>
      <c r="AL1223" s="205"/>
      <c r="AM1223" s="205"/>
    </row>
    <row r="1224" spans="24:39" x14ac:dyDescent="0.3">
      <c r="X1224" s="17"/>
      <c r="AI1224" s="17"/>
      <c r="AJ1224" s="205"/>
      <c r="AK1224" s="205"/>
      <c r="AL1224" s="205"/>
      <c r="AM1224" s="205"/>
    </row>
    <row r="1225" spans="24:39" x14ac:dyDescent="0.3">
      <c r="X1225" s="17"/>
      <c r="AI1225" s="17"/>
      <c r="AJ1225" s="205"/>
      <c r="AK1225" s="205"/>
      <c r="AL1225" s="205"/>
      <c r="AM1225" s="205"/>
    </row>
    <row r="1226" spans="24:39" x14ac:dyDescent="0.3">
      <c r="X1226" s="17"/>
      <c r="AI1226" s="17"/>
      <c r="AJ1226" s="205"/>
      <c r="AK1226" s="205"/>
      <c r="AL1226" s="205"/>
      <c r="AM1226" s="205"/>
    </row>
    <row r="1227" spans="24:39" x14ac:dyDescent="0.3">
      <c r="X1227" s="17"/>
      <c r="AI1227" s="17"/>
      <c r="AJ1227" s="205"/>
      <c r="AK1227" s="205"/>
      <c r="AL1227" s="205"/>
      <c r="AM1227" s="205"/>
    </row>
    <row r="1228" spans="24:39" x14ac:dyDescent="0.3">
      <c r="X1228" s="17"/>
      <c r="AI1228" s="17"/>
      <c r="AJ1228" s="205"/>
      <c r="AK1228" s="205"/>
      <c r="AL1228" s="205"/>
      <c r="AM1228" s="205"/>
    </row>
    <row r="1229" spans="24:39" x14ac:dyDescent="0.3">
      <c r="X1229" s="17"/>
      <c r="AI1229" s="17"/>
      <c r="AJ1229" s="205"/>
      <c r="AK1229" s="205"/>
      <c r="AL1229" s="205"/>
      <c r="AM1229" s="205"/>
    </row>
    <row r="1230" spans="24:39" x14ac:dyDescent="0.3">
      <c r="X1230" s="17"/>
      <c r="AI1230" s="17"/>
      <c r="AJ1230" s="205"/>
      <c r="AK1230" s="205"/>
      <c r="AL1230" s="205"/>
      <c r="AM1230" s="205"/>
    </row>
    <row r="1231" spans="24:39" x14ac:dyDescent="0.3">
      <c r="X1231" s="17"/>
      <c r="AI1231" s="17"/>
      <c r="AJ1231" s="205"/>
      <c r="AK1231" s="205"/>
      <c r="AL1231" s="205"/>
      <c r="AM1231" s="205"/>
    </row>
    <row r="1232" spans="24:39" x14ac:dyDescent="0.3">
      <c r="X1232" s="17"/>
      <c r="AI1232" s="17"/>
      <c r="AJ1232" s="205"/>
      <c r="AK1232" s="205"/>
      <c r="AL1232" s="205"/>
      <c r="AM1232" s="205"/>
    </row>
    <row r="1233" spans="24:39" x14ac:dyDescent="0.3">
      <c r="X1233" s="17"/>
      <c r="AI1233" s="17"/>
      <c r="AJ1233" s="205"/>
      <c r="AK1233" s="205"/>
      <c r="AL1233" s="205"/>
      <c r="AM1233" s="205"/>
    </row>
    <row r="1234" spans="24:39" x14ac:dyDescent="0.3">
      <c r="X1234" s="17"/>
      <c r="AI1234" s="17"/>
      <c r="AJ1234" s="205"/>
      <c r="AK1234" s="205"/>
      <c r="AL1234" s="205"/>
      <c r="AM1234" s="205"/>
    </row>
    <row r="1235" spans="24:39" x14ac:dyDescent="0.3">
      <c r="X1235" s="17"/>
      <c r="AI1235" s="17"/>
      <c r="AJ1235" s="205"/>
      <c r="AK1235" s="205"/>
      <c r="AL1235" s="205"/>
      <c r="AM1235" s="205"/>
    </row>
    <row r="1236" spans="24:39" x14ac:dyDescent="0.3">
      <c r="X1236" s="17"/>
      <c r="AI1236" s="17"/>
      <c r="AJ1236" s="205"/>
      <c r="AK1236" s="205"/>
      <c r="AL1236" s="205"/>
      <c r="AM1236" s="205"/>
    </row>
    <row r="1237" spans="24:39" x14ac:dyDescent="0.3">
      <c r="X1237" s="17"/>
      <c r="AI1237" s="17"/>
      <c r="AJ1237" s="205"/>
      <c r="AK1237" s="205"/>
      <c r="AL1237" s="205"/>
      <c r="AM1237" s="205"/>
    </row>
    <row r="1238" spans="24:39" x14ac:dyDescent="0.3">
      <c r="X1238" s="17"/>
      <c r="AI1238" s="17"/>
      <c r="AJ1238" s="205"/>
      <c r="AK1238" s="205"/>
      <c r="AL1238" s="205"/>
      <c r="AM1238" s="205"/>
    </row>
    <row r="1239" spans="24:39" x14ac:dyDescent="0.3">
      <c r="X1239" s="17"/>
      <c r="AI1239" s="17"/>
      <c r="AJ1239" s="205"/>
      <c r="AK1239" s="205"/>
      <c r="AL1239" s="205"/>
      <c r="AM1239" s="205"/>
    </row>
    <row r="1240" spans="24:39" x14ac:dyDescent="0.3">
      <c r="X1240" s="17"/>
      <c r="AI1240" s="17"/>
      <c r="AJ1240" s="205"/>
      <c r="AK1240" s="205"/>
      <c r="AL1240" s="205"/>
      <c r="AM1240" s="205"/>
    </row>
    <row r="1241" spans="24:39" x14ac:dyDescent="0.3">
      <c r="X1241" s="17"/>
      <c r="AI1241" s="17"/>
      <c r="AJ1241" s="205"/>
      <c r="AK1241" s="205"/>
      <c r="AL1241" s="205"/>
      <c r="AM1241" s="205"/>
    </row>
    <row r="1242" spans="24:39" x14ac:dyDescent="0.3">
      <c r="X1242" s="17"/>
      <c r="AI1242" s="17"/>
      <c r="AJ1242" s="205"/>
      <c r="AK1242" s="205"/>
      <c r="AL1242" s="205"/>
      <c r="AM1242" s="205"/>
    </row>
    <row r="1243" spans="24:39" x14ac:dyDescent="0.3">
      <c r="X1243" s="17"/>
      <c r="AI1243" s="17"/>
      <c r="AJ1243" s="205"/>
      <c r="AK1243" s="205"/>
      <c r="AL1243" s="205"/>
      <c r="AM1243" s="205"/>
    </row>
    <row r="1244" spans="24:39" x14ac:dyDescent="0.3">
      <c r="X1244" s="17"/>
      <c r="AI1244" s="17"/>
      <c r="AJ1244" s="205"/>
      <c r="AK1244" s="205"/>
      <c r="AL1244" s="205"/>
      <c r="AM1244" s="205"/>
    </row>
    <row r="1245" spans="24:39" x14ac:dyDescent="0.3">
      <c r="X1245" s="17"/>
      <c r="AI1245" s="17"/>
      <c r="AJ1245" s="205"/>
      <c r="AK1245" s="205"/>
      <c r="AL1245" s="205"/>
      <c r="AM1245" s="205"/>
    </row>
    <row r="1246" spans="24:39" x14ac:dyDescent="0.3">
      <c r="X1246" s="17"/>
      <c r="AI1246" s="17"/>
      <c r="AJ1246" s="205"/>
      <c r="AK1246" s="205"/>
      <c r="AL1246" s="205"/>
      <c r="AM1246" s="205"/>
    </row>
    <row r="1247" spans="24:39" x14ac:dyDescent="0.3">
      <c r="X1247" s="17"/>
      <c r="AI1247" s="17"/>
      <c r="AJ1247" s="205"/>
      <c r="AK1247" s="205"/>
      <c r="AL1247" s="205"/>
      <c r="AM1247" s="205"/>
    </row>
    <row r="1248" spans="24:39" x14ac:dyDescent="0.3">
      <c r="X1248" s="17"/>
      <c r="AI1248" s="17"/>
      <c r="AJ1248" s="205"/>
      <c r="AK1248" s="205"/>
      <c r="AL1248" s="205"/>
      <c r="AM1248" s="205"/>
    </row>
    <row r="1249" spans="24:39" x14ac:dyDescent="0.3">
      <c r="X1249" s="17"/>
      <c r="AI1249" s="17"/>
      <c r="AJ1249" s="205"/>
      <c r="AK1249" s="205"/>
      <c r="AL1249" s="205"/>
      <c r="AM1249" s="205"/>
    </row>
    <row r="1250" spans="24:39" x14ac:dyDescent="0.3">
      <c r="X1250" s="17"/>
      <c r="AI1250" s="17"/>
      <c r="AJ1250" s="205"/>
      <c r="AK1250" s="205"/>
      <c r="AL1250" s="205"/>
      <c r="AM1250" s="205"/>
    </row>
    <row r="1251" spans="24:39" x14ac:dyDescent="0.3">
      <c r="X1251" s="17"/>
      <c r="AI1251" s="17"/>
      <c r="AJ1251" s="205"/>
      <c r="AK1251" s="205"/>
      <c r="AL1251" s="205"/>
      <c r="AM1251" s="205"/>
    </row>
    <row r="1252" spans="24:39" x14ac:dyDescent="0.3">
      <c r="X1252" s="17"/>
      <c r="AI1252" s="17"/>
      <c r="AJ1252" s="205"/>
      <c r="AK1252" s="205"/>
      <c r="AL1252" s="205"/>
      <c r="AM1252" s="205"/>
    </row>
    <row r="1253" spans="24:39" x14ac:dyDescent="0.3">
      <c r="X1253" s="17"/>
      <c r="AI1253" s="17"/>
      <c r="AJ1253" s="205"/>
      <c r="AK1253" s="205"/>
      <c r="AL1253" s="205"/>
      <c r="AM1253" s="205"/>
    </row>
    <row r="1254" spans="24:39" x14ac:dyDescent="0.3">
      <c r="X1254" s="17"/>
      <c r="AI1254" s="17"/>
      <c r="AJ1254" s="205"/>
      <c r="AK1254" s="205"/>
      <c r="AL1254" s="205"/>
      <c r="AM1254" s="205"/>
    </row>
    <row r="1255" spans="24:39" x14ac:dyDescent="0.3">
      <c r="X1255" s="17"/>
      <c r="AI1255" s="17"/>
      <c r="AJ1255" s="205"/>
      <c r="AK1255" s="205"/>
      <c r="AL1255" s="205"/>
      <c r="AM1255" s="205"/>
    </row>
    <row r="1256" spans="24:39" x14ac:dyDescent="0.3">
      <c r="X1256" s="17"/>
      <c r="AI1256" s="17"/>
      <c r="AJ1256" s="205"/>
      <c r="AK1256" s="205"/>
      <c r="AL1256" s="205"/>
      <c r="AM1256" s="205"/>
    </row>
    <row r="1257" spans="24:39" x14ac:dyDescent="0.3">
      <c r="X1257" s="17"/>
      <c r="AI1257" s="17"/>
      <c r="AJ1257" s="205"/>
      <c r="AK1257" s="205"/>
      <c r="AL1257" s="205"/>
      <c r="AM1257" s="205"/>
    </row>
    <row r="1258" spans="24:39" x14ac:dyDescent="0.3">
      <c r="X1258" s="17"/>
      <c r="AI1258" s="17"/>
      <c r="AJ1258" s="205"/>
      <c r="AK1258" s="205"/>
      <c r="AL1258" s="205"/>
      <c r="AM1258" s="205"/>
    </row>
    <row r="1259" spans="24:39" x14ac:dyDescent="0.3">
      <c r="X1259" s="17"/>
      <c r="AI1259" s="17"/>
      <c r="AJ1259" s="205"/>
      <c r="AK1259" s="205"/>
      <c r="AL1259" s="205"/>
      <c r="AM1259" s="205"/>
    </row>
    <row r="1260" spans="24:39" x14ac:dyDescent="0.3">
      <c r="X1260" s="17"/>
      <c r="AI1260" s="17"/>
      <c r="AJ1260" s="205"/>
      <c r="AK1260" s="205"/>
      <c r="AL1260" s="205"/>
      <c r="AM1260" s="205"/>
    </row>
    <row r="1261" spans="24:39" x14ac:dyDescent="0.3">
      <c r="X1261" s="17"/>
      <c r="AI1261" s="17"/>
      <c r="AJ1261" s="205"/>
      <c r="AK1261" s="205"/>
      <c r="AL1261" s="205"/>
      <c r="AM1261" s="205"/>
    </row>
    <row r="1262" spans="24:39" x14ac:dyDescent="0.3">
      <c r="X1262" s="17"/>
      <c r="AI1262" s="17"/>
      <c r="AJ1262" s="205"/>
      <c r="AK1262" s="205"/>
      <c r="AL1262" s="205"/>
      <c r="AM1262" s="205"/>
    </row>
    <row r="1263" spans="24:39" x14ac:dyDescent="0.3">
      <c r="X1263" s="17"/>
      <c r="AI1263" s="17"/>
      <c r="AJ1263" s="205"/>
      <c r="AK1263" s="205"/>
      <c r="AL1263" s="205"/>
      <c r="AM1263" s="205"/>
    </row>
    <row r="1264" spans="24:39" x14ac:dyDescent="0.3">
      <c r="X1264" s="17"/>
      <c r="AI1264" s="17"/>
      <c r="AJ1264" s="205"/>
      <c r="AK1264" s="205"/>
      <c r="AL1264" s="205"/>
      <c r="AM1264" s="205"/>
    </row>
    <row r="1265" spans="24:39" x14ac:dyDescent="0.3">
      <c r="X1265" s="17"/>
      <c r="AI1265" s="17"/>
      <c r="AJ1265" s="205"/>
      <c r="AK1265" s="205"/>
      <c r="AL1265" s="205"/>
      <c r="AM1265" s="205"/>
    </row>
    <row r="1266" spans="24:39" x14ac:dyDescent="0.3">
      <c r="X1266" s="17"/>
      <c r="AI1266" s="17"/>
      <c r="AJ1266" s="205"/>
      <c r="AK1266" s="205"/>
      <c r="AL1266" s="205"/>
      <c r="AM1266" s="205"/>
    </row>
    <row r="1267" spans="24:39" x14ac:dyDescent="0.3">
      <c r="X1267" s="17"/>
      <c r="AI1267" s="17"/>
      <c r="AJ1267" s="205"/>
      <c r="AK1267" s="205"/>
      <c r="AL1267" s="205"/>
      <c r="AM1267" s="205"/>
    </row>
    <row r="1268" spans="24:39" x14ac:dyDescent="0.3">
      <c r="X1268" s="17"/>
      <c r="AI1268" s="17"/>
      <c r="AJ1268" s="205"/>
      <c r="AK1268" s="205"/>
      <c r="AL1268" s="205"/>
      <c r="AM1268" s="205"/>
    </row>
    <row r="1269" spans="24:39" x14ac:dyDescent="0.3">
      <c r="X1269" s="17"/>
      <c r="AI1269" s="17"/>
      <c r="AJ1269" s="205"/>
      <c r="AK1269" s="205"/>
      <c r="AL1269" s="205"/>
      <c r="AM1269" s="205"/>
    </row>
    <row r="1270" spans="24:39" x14ac:dyDescent="0.3">
      <c r="X1270" s="17"/>
      <c r="AI1270" s="17"/>
      <c r="AJ1270" s="205"/>
      <c r="AK1270" s="205"/>
      <c r="AL1270" s="205"/>
      <c r="AM1270" s="205"/>
    </row>
    <row r="1271" spans="24:39" x14ac:dyDescent="0.3">
      <c r="X1271" s="17"/>
      <c r="AI1271" s="17"/>
      <c r="AJ1271" s="205"/>
      <c r="AK1271" s="205"/>
      <c r="AL1271" s="205"/>
      <c r="AM1271" s="205"/>
    </row>
    <row r="1272" spans="24:39" x14ac:dyDescent="0.3">
      <c r="X1272" s="17"/>
      <c r="AI1272" s="17"/>
      <c r="AJ1272" s="205"/>
      <c r="AK1272" s="205"/>
      <c r="AL1272" s="205"/>
      <c r="AM1272" s="205"/>
    </row>
    <row r="1273" spans="24:39" x14ac:dyDescent="0.3">
      <c r="X1273" s="17"/>
      <c r="AI1273" s="17"/>
      <c r="AJ1273" s="205"/>
      <c r="AK1273" s="205"/>
      <c r="AL1273" s="205"/>
      <c r="AM1273" s="205"/>
    </row>
    <row r="1274" spans="24:39" x14ac:dyDescent="0.3">
      <c r="X1274" s="17"/>
      <c r="AI1274" s="17"/>
      <c r="AJ1274" s="205"/>
      <c r="AK1274" s="205"/>
      <c r="AL1274" s="205"/>
      <c r="AM1274" s="205"/>
    </row>
    <row r="1275" spans="24:39" x14ac:dyDescent="0.3">
      <c r="X1275" s="17"/>
      <c r="AI1275" s="17"/>
      <c r="AJ1275" s="205"/>
      <c r="AK1275" s="205"/>
      <c r="AL1275" s="205"/>
      <c r="AM1275" s="205"/>
    </row>
    <row r="1276" spans="24:39" x14ac:dyDescent="0.3">
      <c r="X1276" s="17"/>
      <c r="AI1276" s="17"/>
      <c r="AJ1276" s="205"/>
      <c r="AK1276" s="205"/>
      <c r="AL1276" s="205"/>
      <c r="AM1276" s="205"/>
    </row>
    <row r="1277" spans="24:39" x14ac:dyDescent="0.3">
      <c r="X1277" s="17"/>
      <c r="AI1277" s="17"/>
      <c r="AJ1277" s="205"/>
      <c r="AK1277" s="205"/>
      <c r="AL1277" s="205"/>
      <c r="AM1277" s="205"/>
    </row>
    <row r="1278" spans="24:39" x14ac:dyDescent="0.3">
      <c r="X1278" s="17"/>
      <c r="AI1278" s="17"/>
      <c r="AJ1278" s="205"/>
      <c r="AK1278" s="205"/>
      <c r="AL1278" s="205"/>
      <c r="AM1278" s="205"/>
    </row>
    <row r="1279" spans="24:39" x14ac:dyDescent="0.3">
      <c r="X1279" s="17"/>
      <c r="AI1279" s="17"/>
      <c r="AJ1279" s="205"/>
      <c r="AK1279" s="205"/>
      <c r="AL1279" s="205"/>
      <c r="AM1279" s="205"/>
    </row>
    <row r="1280" spans="24:39" x14ac:dyDescent="0.3">
      <c r="X1280" s="17"/>
      <c r="AI1280" s="17"/>
      <c r="AJ1280" s="205"/>
      <c r="AK1280" s="205"/>
      <c r="AL1280" s="205"/>
      <c r="AM1280" s="205"/>
    </row>
    <row r="1281" spans="24:39" x14ac:dyDescent="0.3">
      <c r="X1281" s="17"/>
      <c r="AI1281" s="17"/>
      <c r="AJ1281" s="205"/>
      <c r="AK1281" s="205"/>
      <c r="AL1281" s="205"/>
      <c r="AM1281" s="205"/>
    </row>
    <row r="1282" spans="24:39" x14ac:dyDescent="0.3">
      <c r="X1282" s="17"/>
      <c r="AI1282" s="17"/>
      <c r="AJ1282" s="205"/>
      <c r="AK1282" s="205"/>
      <c r="AL1282" s="205"/>
      <c r="AM1282" s="205"/>
    </row>
    <row r="1283" spans="24:39" x14ac:dyDescent="0.3">
      <c r="X1283" s="17"/>
      <c r="AI1283" s="17"/>
      <c r="AJ1283" s="205"/>
      <c r="AK1283" s="205"/>
      <c r="AL1283" s="205"/>
      <c r="AM1283" s="205"/>
    </row>
    <row r="1284" spans="24:39" x14ac:dyDescent="0.3">
      <c r="X1284" s="17"/>
      <c r="AI1284" s="17"/>
      <c r="AJ1284" s="205"/>
      <c r="AK1284" s="205"/>
      <c r="AL1284" s="205"/>
      <c r="AM1284" s="205"/>
    </row>
    <row r="1285" spans="24:39" x14ac:dyDescent="0.3">
      <c r="X1285" s="17"/>
      <c r="AI1285" s="17"/>
      <c r="AJ1285" s="205"/>
      <c r="AK1285" s="205"/>
      <c r="AL1285" s="205"/>
      <c r="AM1285" s="205"/>
    </row>
    <row r="1286" spans="24:39" x14ac:dyDescent="0.3">
      <c r="X1286" s="17"/>
      <c r="AI1286" s="17"/>
      <c r="AJ1286" s="205"/>
      <c r="AK1286" s="205"/>
      <c r="AL1286" s="205"/>
      <c r="AM1286" s="205"/>
    </row>
    <row r="1287" spans="24:39" x14ac:dyDescent="0.3">
      <c r="X1287" s="17"/>
      <c r="AI1287" s="17"/>
      <c r="AJ1287" s="205"/>
      <c r="AK1287" s="205"/>
      <c r="AL1287" s="205"/>
      <c r="AM1287" s="205"/>
    </row>
    <row r="1288" spans="24:39" x14ac:dyDescent="0.3">
      <c r="X1288" s="17"/>
      <c r="AI1288" s="17"/>
      <c r="AJ1288" s="205"/>
      <c r="AK1288" s="205"/>
      <c r="AL1288" s="205"/>
      <c r="AM1288" s="205"/>
    </row>
    <row r="1289" spans="24:39" x14ac:dyDescent="0.3">
      <c r="X1289" s="17"/>
      <c r="AI1289" s="17"/>
      <c r="AJ1289" s="205"/>
      <c r="AK1289" s="205"/>
      <c r="AL1289" s="205"/>
      <c r="AM1289" s="205"/>
    </row>
    <row r="1290" spans="24:39" x14ac:dyDescent="0.3">
      <c r="X1290" s="17"/>
      <c r="AI1290" s="17"/>
      <c r="AJ1290" s="205"/>
      <c r="AK1290" s="205"/>
      <c r="AL1290" s="205"/>
      <c r="AM1290" s="205"/>
    </row>
    <row r="1291" spans="24:39" x14ac:dyDescent="0.3">
      <c r="X1291" s="17"/>
      <c r="AI1291" s="17"/>
      <c r="AJ1291" s="205"/>
      <c r="AK1291" s="205"/>
      <c r="AL1291" s="205"/>
      <c r="AM1291" s="205"/>
    </row>
    <row r="1292" spans="24:39" x14ac:dyDescent="0.3">
      <c r="X1292" s="17"/>
      <c r="AI1292" s="17"/>
      <c r="AJ1292" s="205"/>
      <c r="AK1292" s="205"/>
      <c r="AL1292" s="205"/>
      <c r="AM1292" s="205"/>
    </row>
    <row r="1293" spans="24:39" x14ac:dyDescent="0.3">
      <c r="X1293" s="17"/>
      <c r="AI1293" s="17"/>
      <c r="AJ1293" s="205"/>
      <c r="AK1293" s="205"/>
      <c r="AL1293" s="205"/>
      <c r="AM1293" s="205"/>
    </row>
    <row r="1294" spans="24:39" x14ac:dyDescent="0.3">
      <c r="X1294" s="17"/>
      <c r="AI1294" s="17"/>
      <c r="AJ1294" s="205"/>
      <c r="AK1294" s="205"/>
      <c r="AL1294" s="205"/>
      <c r="AM1294" s="205"/>
    </row>
    <row r="1295" spans="24:39" x14ac:dyDescent="0.3">
      <c r="X1295" s="17"/>
      <c r="AI1295" s="17"/>
      <c r="AJ1295" s="205"/>
      <c r="AK1295" s="205"/>
      <c r="AL1295" s="205"/>
      <c r="AM1295" s="205"/>
    </row>
    <row r="1296" spans="24:39" x14ac:dyDescent="0.3">
      <c r="X1296" s="17"/>
      <c r="AI1296" s="17"/>
      <c r="AJ1296" s="205"/>
      <c r="AK1296" s="205"/>
      <c r="AL1296" s="205"/>
      <c r="AM1296" s="205"/>
    </row>
    <row r="1297" spans="24:39" x14ac:dyDescent="0.3">
      <c r="X1297" s="17"/>
      <c r="AI1297" s="17"/>
      <c r="AJ1297" s="205"/>
      <c r="AK1297" s="205"/>
      <c r="AL1297" s="205"/>
      <c r="AM1297" s="205"/>
    </row>
    <row r="1298" spans="24:39" x14ac:dyDescent="0.3">
      <c r="X1298" s="17"/>
      <c r="AI1298" s="17"/>
      <c r="AJ1298" s="205"/>
      <c r="AK1298" s="205"/>
      <c r="AL1298" s="205"/>
      <c r="AM1298" s="205"/>
    </row>
    <row r="1299" spans="24:39" x14ac:dyDescent="0.3">
      <c r="X1299" s="17"/>
      <c r="AI1299" s="17"/>
      <c r="AJ1299" s="205"/>
      <c r="AK1299" s="205"/>
      <c r="AL1299" s="205"/>
      <c r="AM1299" s="205"/>
    </row>
    <row r="1300" spans="24:39" x14ac:dyDescent="0.3">
      <c r="X1300" s="17"/>
      <c r="AI1300" s="17"/>
      <c r="AJ1300" s="205"/>
      <c r="AK1300" s="205"/>
      <c r="AL1300" s="205"/>
      <c r="AM1300" s="205"/>
    </row>
    <row r="1301" spans="24:39" x14ac:dyDescent="0.3">
      <c r="X1301" s="17"/>
      <c r="AI1301" s="17"/>
      <c r="AJ1301" s="205"/>
      <c r="AK1301" s="205"/>
      <c r="AL1301" s="205"/>
      <c r="AM1301" s="205"/>
    </row>
    <row r="1302" spans="24:39" x14ac:dyDescent="0.3">
      <c r="X1302" s="17"/>
      <c r="AI1302" s="17"/>
      <c r="AJ1302" s="205"/>
      <c r="AK1302" s="205"/>
      <c r="AL1302" s="205"/>
      <c r="AM1302" s="205"/>
    </row>
    <row r="1303" spans="24:39" x14ac:dyDescent="0.3">
      <c r="X1303" s="17"/>
      <c r="AI1303" s="17"/>
      <c r="AJ1303" s="205"/>
      <c r="AK1303" s="205"/>
      <c r="AL1303" s="205"/>
      <c r="AM1303" s="205"/>
    </row>
    <row r="1304" spans="24:39" x14ac:dyDescent="0.3">
      <c r="X1304" s="17"/>
      <c r="AI1304" s="17"/>
      <c r="AJ1304" s="205"/>
      <c r="AK1304" s="205"/>
      <c r="AL1304" s="205"/>
      <c r="AM1304" s="205"/>
    </row>
    <row r="1305" spans="24:39" x14ac:dyDescent="0.3">
      <c r="X1305" s="17"/>
      <c r="AI1305" s="17"/>
      <c r="AJ1305" s="205"/>
      <c r="AK1305" s="205"/>
      <c r="AL1305" s="205"/>
      <c r="AM1305" s="205"/>
    </row>
    <row r="1306" spans="24:39" x14ac:dyDescent="0.3">
      <c r="X1306" s="17"/>
      <c r="AI1306" s="17"/>
      <c r="AJ1306" s="205"/>
      <c r="AK1306" s="205"/>
      <c r="AL1306" s="205"/>
      <c r="AM1306" s="205"/>
    </row>
    <row r="1307" spans="24:39" x14ac:dyDescent="0.3">
      <c r="X1307" s="17"/>
      <c r="AI1307" s="17"/>
      <c r="AJ1307" s="205"/>
      <c r="AK1307" s="205"/>
      <c r="AL1307" s="205"/>
      <c r="AM1307" s="205"/>
    </row>
    <row r="1308" spans="24:39" x14ac:dyDescent="0.3">
      <c r="X1308" s="17"/>
      <c r="AI1308" s="17"/>
      <c r="AJ1308" s="205"/>
      <c r="AK1308" s="205"/>
      <c r="AL1308" s="205"/>
      <c r="AM1308" s="205"/>
    </row>
    <row r="1309" spans="24:39" x14ac:dyDescent="0.3">
      <c r="X1309" s="17"/>
      <c r="AI1309" s="17"/>
      <c r="AJ1309" s="205"/>
      <c r="AK1309" s="205"/>
      <c r="AL1309" s="205"/>
      <c r="AM1309" s="205"/>
    </row>
    <row r="1310" spans="24:39" x14ac:dyDescent="0.3">
      <c r="X1310" s="17"/>
      <c r="AI1310" s="17"/>
      <c r="AJ1310" s="205"/>
      <c r="AK1310" s="205"/>
      <c r="AL1310" s="205"/>
      <c r="AM1310" s="205"/>
    </row>
    <row r="1311" spans="24:39" x14ac:dyDescent="0.3">
      <c r="X1311" s="17"/>
      <c r="AI1311" s="17"/>
      <c r="AJ1311" s="205"/>
      <c r="AK1311" s="205"/>
      <c r="AL1311" s="205"/>
      <c r="AM1311" s="205"/>
    </row>
    <row r="1312" spans="24:39" x14ac:dyDescent="0.3">
      <c r="X1312" s="17"/>
      <c r="AI1312" s="17"/>
      <c r="AJ1312" s="205"/>
      <c r="AK1312" s="205"/>
      <c r="AL1312" s="205"/>
      <c r="AM1312" s="205"/>
    </row>
    <row r="1313" spans="24:39" x14ac:dyDescent="0.3">
      <c r="X1313" s="17"/>
      <c r="AI1313" s="17"/>
      <c r="AJ1313" s="205"/>
      <c r="AK1313" s="205"/>
      <c r="AL1313" s="205"/>
      <c r="AM1313" s="205"/>
    </row>
    <row r="1314" spans="24:39" x14ac:dyDescent="0.3">
      <c r="X1314" s="17"/>
      <c r="AI1314" s="17"/>
      <c r="AJ1314" s="205"/>
      <c r="AK1314" s="205"/>
      <c r="AL1314" s="205"/>
      <c r="AM1314" s="205"/>
    </row>
    <row r="1315" spans="24:39" x14ac:dyDescent="0.3">
      <c r="X1315" s="17"/>
      <c r="AI1315" s="17"/>
      <c r="AJ1315" s="205"/>
      <c r="AK1315" s="205"/>
      <c r="AL1315" s="205"/>
      <c r="AM1315" s="205"/>
    </row>
    <row r="1316" spans="24:39" x14ac:dyDescent="0.3">
      <c r="X1316" s="17"/>
      <c r="AI1316" s="17"/>
      <c r="AJ1316" s="205"/>
      <c r="AK1316" s="205"/>
      <c r="AL1316" s="205"/>
      <c r="AM1316" s="205"/>
    </row>
    <row r="1317" spans="24:39" x14ac:dyDescent="0.3">
      <c r="X1317" s="17"/>
      <c r="AI1317" s="17"/>
      <c r="AJ1317" s="205"/>
      <c r="AK1317" s="205"/>
      <c r="AL1317" s="205"/>
      <c r="AM1317" s="205"/>
    </row>
    <row r="1318" spans="24:39" x14ac:dyDescent="0.3">
      <c r="X1318" s="17"/>
      <c r="AI1318" s="17"/>
      <c r="AJ1318" s="205"/>
      <c r="AK1318" s="205"/>
      <c r="AL1318" s="205"/>
      <c r="AM1318" s="205"/>
    </row>
    <row r="1319" spans="24:39" x14ac:dyDescent="0.3">
      <c r="X1319" s="17"/>
      <c r="AI1319" s="17"/>
      <c r="AJ1319" s="205"/>
      <c r="AK1319" s="205"/>
      <c r="AL1319" s="205"/>
      <c r="AM1319" s="205"/>
    </row>
    <row r="1320" spans="24:39" x14ac:dyDescent="0.3">
      <c r="X1320" s="17"/>
      <c r="AI1320" s="17"/>
      <c r="AJ1320" s="205"/>
      <c r="AK1320" s="205"/>
      <c r="AL1320" s="205"/>
      <c r="AM1320" s="205"/>
    </row>
    <row r="1321" spans="24:39" x14ac:dyDescent="0.3">
      <c r="X1321" s="17"/>
      <c r="AI1321" s="17"/>
      <c r="AJ1321" s="205"/>
      <c r="AK1321" s="205"/>
      <c r="AL1321" s="205"/>
      <c r="AM1321" s="205"/>
    </row>
    <row r="1322" spans="24:39" x14ac:dyDescent="0.3">
      <c r="X1322" s="17"/>
      <c r="AI1322" s="17"/>
      <c r="AJ1322" s="205"/>
      <c r="AK1322" s="205"/>
      <c r="AL1322" s="205"/>
      <c r="AM1322" s="205"/>
    </row>
    <row r="1323" spans="24:39" x14ac:dyDescent="0.3">
      <c r="X1323" s="17"/>
      <c r="AI1323" s="17"/>
      <c r="AJ1323" s="205"/>
      <c r="AK1323" s="205"/>
      <c r="AL1323" s="205"/>
      <c r="AM1323" s="205"/>
    </row>
    <row r="1324" spans="24:39" x14ac:dyDescent="0.3">
      <c r="X1324" s="17"/>
      <c r="AI1324" s="17"/>
      <c r="AJ1324" s="205"/>
      <c r="AK1324" s="205"/>
      <c r="AL1324" s="205"/>
      <c r="AM1324" s="205"/>
    </row>
    <row r="1325" spans="24:39" x14ac:dyDescent="0.3">
      <c r="X1325" s="17"/>
      <c r="AI1325" s="17"/>
      <c r="AJ1325" s="205"/>
      <c r="AK1325" s="205"/>
      <c r="AL1325" s="205"/>
      <c r="AM1325" s="205"/>
    </row>
    <row r="1326" spans="24:39" x14ac:dyDescent="0.3">
      <c r="X1326" s="17"/>
      <c r="AI1326" s="17"/>
      <c r="AJ1326" s="205"/>
      <c r="AK1326" s="205"/>
      <c r="AL1326" s="205"/>
      <c r="AM1326" s="205"/>
    </row>
    <row r="1327" spans="24:39" x14ac:dyDescent="0.3">
      <c r="X1327" s="17"/>
      <c r="AI1327" s="17"/>
      <c r="AJ1327" s="205"/>
      <c r="AK1327" s="205"/>
      <c r="AL1327" s="205"/>
      <c r="AM1327" s="205"/>
    </row>
    <row r="1328" spans="24:39" x14ac:dyDescent="0.3">
      <c r="X1328" s="17"/>
      <c r="AI1328" s="17"/>
      <c r="AJ1328" s="205"/>
      <c r="AK1328" s="205"/>
      <c r="AL1328" s="205"/>
      <c r="AM1328" s="205"/>
    </row>
    <row r="1329" spans="24:39" x14ac:dyDescent="0.3">
      <c r="X1329" s="17"/>
      <c r="AI1329" s="17"/>
      <c r="AJ1329" s="205"/>
      <c r="AK1329" s="205"/>
      <c r="AL1329" s="205"/>
      <c r="AM1329" s="205"/>
    </row>
    <row r="1330" spans="24:39" x14ac:dyDescent="0.3">
      <c r="X1330" s="17"/>
      <c r="AI1330" s="17"/>
      <c r="AJ1330" s="205"/>
      <c r="AK1330" s="205"/>
      <c r="AL1330" s="205"/>
      <c r="AM1330" s="205"/>
    </row>
    <row r="1331" spans="24:39" x14ac:dyDescent="0.3">
      <c r="X1331" s="17"/>
      <c r="AI1331" s="17"/>
      <c r="AJ1331" s="205"/>
      <c r="AK1331" s="205"/>
      <c r="AL1331" s="205"/>
      <c r="AM1331" s="205"/>
    </row>
    <row r="1332" spans="24:39" x14ac:dyDescent="0.3">
      <c r="X1332" s="17"/>
      <c r="AI1332" s="17"/>
      <c r="AJ1332" s="205"/>
      <c r="AK1332" s="205"/>
      <c r="AL1332" s="205"/>
      <c r="AM1332" s="205"/>
    </row>
    <row r="1333" spans="24:39" x14ac:dyDescent="0.3">
      <c r="X1333" s="17"/>
      <c r="AI1333" s="17"/>
      <c r="AJ1333" s="205"/>
      <c r="AK1333" s="205"/>
      <c r="AL1333" s="205"/>
      <c r="AM1333" s="205"/>
    </row>
    <row r="1334" spans="24:39" x14ac:dyDescent="0.3">
      <c r="X1334" s="17"/>
      <c r="AI1334" s="17"/>
      <c r="AJ1334" s="205"/>
      <c r="AK1334" s="205"/>
      <c r="AL1334" s="205"/>
      <c r="AM1334" s="205"/>
    </row>
    <row r="1335" spans="24:39" x14ac:dyDescent="0.3">
      <c r="X1335" s="17"/>
      <c r="AI1335" s="17"/>
      <c r="AJ1335" s="205"/>
      <c r="AK1335" s="205"/>
      <c r="AL1335" s="205"/>
      <c r="AM1335" s="205"/>
    </row>
    <row r="1336" spans="24:39" x14ac:dyDescent="0.3">
      <c r="X1336" s="17"/>
      <c r="AI1336" s="17"/>
      <c r="AJ1336" s="205"/>
      <c r="AK1336" s="205"/>
      <c r="AL1336" s="205"/>
      <c r="AM1336" s="205"/>
    </row>
    <row r="1337" spans="24:39" x14ac:dyDescent="0.3">
      <c r="X1337" s="17"/>
      <c r="AI1337" s="17"/>
      <c r="AJ1337" s="205"/>
      <c r="AK1337" s="205"/>
      <c r="AL1337" s="205"/>
      <c r="AM1337" s="205"/>
    </row>
    <row r="1338" spans="24:39" x14ac:dyDescent="0.3">
      <c r="X1338" s="17"/>
      <c r="AI1338" s="17"/>
      <c r="AJ1338" s="205"/>
      <c r="AK1338" s="205"/>
      <c r="AL1338" s="205"/>
      <c r="AM1338" s="205"/>
    </row>
    <row r="1339" spans="24:39" x14ac:dyDescent="0.3">
      <c r="X1339" s="17"/>
      <c r="AI1339" s="17"/>
      <c r="AJ1339" s="205"/>
      <c r="AK1339" s="205"/>
      <c r="AL1339" s="205"/>
      <c r="AM1339" s="205"/>
    </row>
    <row r="1340" spans="24:39" x14ac:dyDescent="0.3">
      <c r="X1340" s="17"/>
      <c r="AI1340" s="17"/>
      <c r="AJ1340" s="205"/>
      <c r="AK1340" s="205"/>
      <c r="AL1340" s="205"/>
      <c r="AM1340" s="205"/>
    </row>
    <row r="1341" spans="24:39" x14ac:dyDescent="0.3">
      <c r="X1341" s="17"/>
      <c r="AI1341" s="17"/>
      <c r="AJ1341" s="205"/>
      <c r="AK1341" s="205"/>
      <c r="AL1341" s="205"/>
      <c r="AM1341" s="205"/>
    </row>
    <row r="1342" spans="24:39" x14ac:dyDescent="0.3">
      <c r="X1342" s="17"/>
      <c r="AI1342" s="17"/>
      <c r="AJ1342" s="205"/>
      <c r="AK1342" s="205"/>
      <c r="AL1342" s="205"/>
      <c r="AM1342" s="205"/>
    </row>
    <row r="1343" spans="24:39" x14ac:dyDescent="0.3">
      <c r="X1343" s="17"/>
      <c r="AI1343" s="17"/>
      <c r="AJ1343" s="205"/>
      <c r="AK1343" s="205"/>
      <c r="AL1343" s="205"/>
      <c r="AM1343" s="205"/>
    </row>
    <row r="1344" spans="24:39" x14ac:dyDescent="0.3">
      <c r="X1344" s="17"/>
      <c r="AI1344" s="17"/>
      <c r="AJ1344" s="205"/>
      <c r="AK1344" s="205"/>
      <c r="AL1344" s="205"/>
      <c r="AM1344" s="205"/>
    </row>
    <row r="1345" spans="24:39" x14ac:dyDescent="0.3">
      <c r="X1345" s="17"/>
      <c r="AI1345" s="17"/>
      <c r="AJ1345" s="205"/>
      <c r="AK1345" s="205"/>
      <c r="AL1345" s="205"/>
      <c r="AM1345" s="205"/>
    </row>
    <row r="1346" spans="24:39" x14ac:dyDescent="0.3">
      <c r="X1346" s="17"/>
      <c r="AI1346" s="17"/>
      <c r="AJ1346" s="205"/>
      <c r="AK1346" s="205"/>
      <c r="AL1346" s="205"/>
      <c r="AM1346" s="205"/>
    </row>
    <row r="1347" spans="24:39" x14ac:dyDescent="0.3">
      <c r="X1347" s="17"/>
      <c r="AI1347" s="17"/>
      <c r="AJ1347" s="205"/>
      <c r="AK1347" s="205"/>
      <c r="AL1347" s="205"/>
      <c r="AM1347" s="205"/>
    </row>
    <row r="1348" spans="24:39" x14ac:dyDescent="0.3">
      <c r="X1348" s="17"/>
      <c r="AI1348" s="17"/>
      <c r="AJ1348" s="205"/>
      <c r="AK1348" s="205"/>
      <c r="AL1348" s="205"/>
      <c r="AM1348" s="205"/>
    </row>
    <row r="1349" spans="24:39" x14ac:dyDescent="0.3">
      <c r="X1349" s="17"/>
      <c r="AI1349" s="17"/>
      <c r="AJ1349" s="205"/>
      <c r="AK1349" s="205"/>
      <c r="AL1349" s="205"/>
      <c r="AM1349" s="205"/>
    </row>
    <row r="1350" spans="24:39" x14ac:dyDescent="0.3">
      <c r="X1350" s="17"/>
      <c r="AI1350" s="17"/>
      <c r="AJ1350" s="205"/>
      <c r="AK1350" s="205"/>
      <c r="AL1350" s="205"/>
      <c r="AM1350" s="205"/>
    </row>
    <row r="1351" spans="24:39" x14ac:dyDescent="0.3">
      <c r="X1351" s="17"/>
      <c r="AI1351" s="17"/>
      <c r="AJ1351" s="205"/>
      <c r="AK1351" s="205"/>
      <c r="AL1351" s="205"/>
      <c r="AM1351" s="205"/>
    </row>
    <row r="1352" spans="24:39" x14ac:dyDescent="0.3">
      <c r="X1352" s="17"/>
      <c r="AI1352" s="17"/>
      <c r="AJ1352" s="205"/>
      <c r="AK1352" s="205"/>
      <c r="AL1352" s="205"/>
      <c r="AM1352" s="205"/>
    </row>
    <row r="1353" spans="24:39" x14ac:dyDescent="0.3">
      <c r="X1353" s="17"/>
      <c r="AI1353" s="17"/>
      <c r="AJ1353" s="205"/>
      <c r="AK1353" s="205"/>
      <c r="AL1353" s="205"/>
      <c r="AM1353" s="205"/>
    </row>
    <row r="1354" spans="24:39" x14ac:dyDescent="0.3">
      <c r="X1354" s="17"/>
      <c r="AI1354" s="17"/>
      <c r="AJ1354" s="205"/>
      <c r="AK1354" s="205"/>
      <c r="AL1354" s="205"/>
      <c r="AM1354" s="205"/>
    </row>
    <row r="1355" spans="24:39" x14ac:dyDescent="0.3">
      <c r="X1355" s="17"/>
      <c r="AI1355" s="17"/>
      <c r="AJ1355" s="205"/>
      <c r="AK1355" s="205"/>
      <c r="AL1355" s="205"/>
      <c r="AM1355" s="205"/>
    </row>
    <row r="1356" spans="24:39" x14ac:dyDescent="0.3">
      <c r="X1356" s="17"/>
      <c r="AI1356" s="17"/>
      <c r="AJ1356" s="205"/>
      <c r="AK1356" s="205"/>
      <c r="AL1356" s="205"/>
      <c r="AM1356" s="205"/>
    </row>
    <row r="1357" spans="24:39" x14ac:dyDescent="0.3">
      <c r="X1357" s="17"/>
      <c r="AI1357" s="17"/>
      <c r="AJ1357" s="205"/>
      <c r="AK1357" s="205"/>
      <c r="AL1357" s="205"/>
      <c r="AM1357" s="205"/>
    </row>
    <row r="1358" spans="24:39" x14ac:dyDescent="0.3">
      <c r="X1358" s="17"/>
      <c r="AI1358" s="17"/>
      <c r="AJ1358" s="205"/>
      <c r="AK1358" s="205"/>
      <c r="AL1358" s="205"/>
      <c r="AM1358" s="205"/>
    </row>
    <row r="1359" spans="24:39" x14ac:dyDescent="0.3">
      <c r="X1359" s="17"/>
      <c r="AI1359" s="17"/>
      <c r="AJ1359" s="205"/>
      <c r="AK1359" s="205"/>
      <c r="AL1359" s="205"/>
      <c r="AM1359" s="205"/>
    </row>
    <row r="1360" spans="24:39" x14ac:dyDescent="0.3">
      <c r="X1360" s="17"/>
      <c r="AI1360" s="17"/>
      <c r="AJ1360" s="205"/>
      <c r="AK1360" s="205"/>
      <c r="AL1360" s="205"/>
      <c r="AM1360" s="205"/>
    </row>
    <row r="1361" spans="24:39" x14ac:dyDescent="0.3">
      <c r="X1361" s="17"/>
      <c r="AI1361" s="17"/>
      <c r="AJ1361" s="205"/>
      <c r="AK1361" s="205"/>
      <c r="AL1361" s="205"/>
      <c r="AM1361" s="205"/>
    </row>
    <row r="1362" spans="24:39" x14ac:dyDescent="0.3">
      <c r="X1362" s="17"/>
      <c r="AI1362" s="17"/>
      <c r="AJ1362" s="205"/>
      <c r="AK1362" s="205"/>
      <c r="AL1362" s="205"/>
      <c r="AM1362" s="205"/>
    </row>
    <row r="1363" spans="24:39" x14ac:dyDescent="0.3">
      <c r="X1363" s="17"/>
      <c r="AI1363" s="17"/>
      <c r="AJ1363" s="205"/>
      <c r="AK1363" s="205"/>
      <c r="AL1363" s="205"/>
      <c r="AM1363" s="205"/>
    </row>
    <row r="1364" spans="24:39" x14ac:dyDescent="0.3">
      <c r="X1364" s="17"/>
      <c r="AI1364" s="17"/>
      <c r="AJ1364" s="205"/>
      <c r="AK1364" s="205"/>
      <c r="AL1364" s="205"/>
      <c r="AM1364" s="205"/>
    </row>
    <row r="1365" spans="24:39" x14ac:dyDescent="0.3">
      <c r="X1365" s="17"/>
      <c r="AI1365" s="17"/>
      <c r="AJ1365" s="205"/>
      <c r="AK1365" s="205"/>
      <c r="AL1365" s="205"/>
      <c r="AM1365" s="205"/>
    </row>
    <row r="1366" spans="24:39" x14ac:dyDescent="0.3">
      <c r="X1366" s="17"/>
      <c r="AI1366" s="17"/>
      <c r="AJ1366" s="205"/>
      <c r="AK1366" s="205"/>
      <c r="AL1366" s="205"/>
      <c r="AM1366" s="205"/>
    </row>
    <row r="1367" spans="24:39" x14ac:dyDescent="0.3">
      <c r="X1367" s="17"/>
      <c r="AI1367" s="17"/>
      <c r="AJ1367" s="205"/>
      <c r="AK1367" s="205"/>
      <c r="AL1367" s="205"/>
      <c r="AM1367" s="205"/>
    </row>
    <row r="1368" spans="24:39" x14ac:dyDescent="0.3">
      <c r="X1368" s="17"/>
      <c r="AI1368" s="17"/>
      <c r="AJ1368" s="205"/>
      <c r="AK1368" s="205"/>
      <c r="AL1368" s="205"/>
      <c r="AM1368" s="205"/>
    </row>
    <row r="1369" spans="24:39" x14ac:dyDescent="0.3">
      <c r="X1369" s="17"/>
      <c r="AI1369" s="17"/>
      <c r="AJ1369" s="205"/>
      <c r="AK1369" s="205"/>
      <c r="AL1369" s="205"/>
      <c r="AM1369" s="205"/>
    </row>
    <row r="1370" spans="24:39" x14ac:dyDescent="0.3">
      <c r="X1370" s="17"/>
      <c r="AI1370" s="17"/>
      <c r="AJ1370" s="205"/>
      <c r="AK1370" s="205"/>
      <c r="AL1370" s="205"/>
      <c r="AM1370" s="205"/>
    </row>
    <row r="1371" spans="24:39" x14ac:dyDescent="0.3">
      <c r="X1371" s="17"/>
      <c r="AI1371" s="17"/>
      <c r="AJ1371" s="205"/>
      <c r="AK1371" s="205"/>
      <c r="AL1371" s="205"/>
      <c r="AM1371" s="205"/>
    </row>
    <row r="1372" spans="24:39" x14ac:dyDescent="0.3">
      <c r="X1372" s="17"/>
      <c r="AI1372" s="17"/>
      <c r="AJ1372" s="205"/>
      <c r="AK1372" s="205"/>
      <c r="AL1372" s="205"/>
      <c r="AM1372" s="205"/>
    </row>
    <row r="1373" spans="24:39" x14ac:dyDescent="0.3">
      <c r="X1373" s="17"/>
      <c r="AI1373" s="17"/>
      <c r="AJ1373" s="205"/>
      <c r="AK1373" s="205"/>
      <c r="AL1373" s="205"/>
      <c r="AM1373" s="205"/>
    </row>
    <row r="1374" spans="24:39" x14ac:dyDescent="0.3">
      <c r="X1374" s="17"/>
      <c r="AI1374" s="17"/>
      <c r="AJ1374" s="205"/>
      <c r="AK1374" s="205"/>
      <c r="AL1374" s="205"/>
      <c r="AM1374" s="205"/>
    </row>
    <row r="1375" spans="24:39" x14ac:dyDescent="0.3">
      <c r="X1375" s="17"/>
      <c r="AI1375" s="17"/>
      <c r="AJ1375" s="205"/>
      <c r="AK1375" s="205"/>
      <c r="AL1375" s="205"/>
      <c r="AM1375" s="205"/>
    </row>
    <row r="1376" spans="24:39" x14ac:dyDescent="0.3">
      <c r="X1376" s="17"/>
      <c r="AI1376" s="17"/>
      <c r="AJ1376" s="205"/>
      <c r="AK1376" s="205"/>
      <c r="AL1376" s="205"/>
      <c r="AM1376" s="205"/>
    </row>
    <row r="1377" spans="24:39" x14ac:dyDescent="0.3">
      <c r="X1377" s="17"/>
      <c r="AI1377" s="17"/>
      <c r="AJ1377" s="205"/>
      <c r="AK1377" s="205"/>
      <c r="AL1377" s="205"/>
      <c r="AM1377" s="205"/>
    </row>
    <row r="1378" spans="24:39" x14ac:dyDescent="0.3">
      <c r="X1378" s="17"/>
      <c r="AI1378" s="17"/>
      <c r="AJ1378" s="205"/>
      <c r="AK1378" s="205"/>
      <c r="AL1378" s="205"/>
      <c r="AM1378" s="205"/>
    </row>
    <row r="1379" spans="24:39" x14ac:dyDescent="0.3">
      <c r="X1379" s="17"/>
      <c r="AI1379" s="17"/>
      <c r="AJ1379" s="205"/>
      <c r="AK1379" s="205"/>
      <c r="AL1379" s="205"/>
      <c r="AM1379" s="205"/>
    </row>
    <row r="1380" spans="24:39" x14ac:dyDescent="0.3">
      <c r="X1380" s="17"/>
      <c r="AI1380" s="17"/>
      <c r="AJ1380" s="205"/>
      <c r="AK1380" s="205"/>
      <c r="AL1380" s="205"/>
      <c r="AM1380" s="205"/>
    </row>
    <row r="1381" spans="24:39" x14ac:dyDescent="0.3">
      <c r="X1381" s="17"/>
      <c r="AI1381" s="17"/>
      <c r="AJ1381" s="205"/>
      <c r="AK1381" s="205"/>
      <c r="AL1381" s="205"/>
      <c r="AM1381" s="205"/>
    </row>
    <row r="1382" spans="24:39" x14ac:dyDescent="0.3">
      <c r="X1382" s="17"/>
      <c r="AI1382" s="17"/>
      <c r="AJ1382" s="205"/>
      <c r="AK1382" s="205"/>
      <c r="AL1382" s="205"/>
      <c r="AM1382" s="205"/>
    </row>
    <row r="1383" spans="24:39" x14ac:dyDescent="0.3">
      <c r="X1383" s="17"/>
      <c r="AI1383" s="17"/>
      <c r="AJ1383" s="205"/>
      <c r="AK1383" s="205"/>
      <c r="AL1383" s="205"/>
      <c r="AM1383" s="205"/>
    </row>
    <row r="1384" spans="24:39" x14ac:dyDescent="0.3">
      <c r="X1384" s="17"/>
      <c r="AI1384" s="17"/>
      <c r="AJ1384" s="205"/>
      <c r="AK1384" s="205"/>
      <c r="AL1384" s="205"/>
      <c r="AM1384" s="205"/>
    </row>
    <row r="1385" spans="24:39" x14ac:dyDescent="0.3">
      <c r="X1385" s="17"/>
      <c r="AI1385" s="17"/>
      <c r="AJ1385" s="205"/>
      <c r="AK1385" s="205"/>
      <c r="AL1385" s="205"/>
      <c r="AM1385" s="205"/>
    </row>
    <row r="1386" spans="24:39" x14ac:dyDescent="0.3">
      <c r="X1386" s="17"/>
      <c r="AI1386" s="17"/>
      <c r="AJ1386" s="205"/>
      <c r="AK1386" s="205"/>
      <c r="AL1386" s="205"/>
      <c r="AM1386" s="205"/>
    </row>
    <row r="1387" spans="24:39" x14ac:dyDescent="0.3">
      <c r="X1387" s="17"/>
      <c r="AI1387" s="17"/>
      <c r="AJ1387" s="205"/>
      <c r="AK1387" s="205"/>
      <c r="AL1387" s="205"/>
      <c r="AM1387" s="205"/>
    </row>
    <row r="1388" spans="24:39" x14ac:dyDescent="0.3">
      <c r="X1388" s="17"/>
      <c r="AI1388" s="17"/>
      <c r="AJ1388" s="205"/>
      <c r="AK1388" s="205"/>
      <c r="AL1388" s="205"/>
      <c r="AM1388" s="205"/>
    </row>
    <row r="1389" spans="24:39" x14ac:dyDescent="0.3">
      <c r="X1389" s="17"/>
      <c r="AI1389" s="17"/>
      <c r="AJ1389" s="205"/>
      <c r="AK1389" s="205"/>
      <c r="AL1389" s="205"/>
      <c r="AM1389" s="205"/>
    </row>
    <row r="1390" spans="24:39" x14ac:dyDescent="0.3">
      <c r="X1390" s="17"/>
      <c r="AI1390" s="17"/>
      <c r="AJ1390" s="205"/>
      <c r="AK1390" s="205"/>
      <c r="AL1390" s="205"/>
      <c r="AM1390" s="205"/>
    </row>
    <row r="1391" spans="24:39" x14ac:dyDescent="0.3">
      <c r="X1391" s="17"/>
      <c r="AI1391" s="17"/>
      <c r="AJ1391" s="205"/>
      <c r="AK1391" s="205"/>
      <c r="AL1391" s="205"/>
      <c r="AM1391" s="205"/>
    </row>
    <row r="1392" spans="24:39" x14ac:dyDescent="0.3">
      <c r="X1392" s="17"/>
      <c r="AI1392" s="17"/>
      <c r="AJ1392" s="205"/>
      <c r="AK1392" s="205"/>
      <c r="AL1392" s="205"/>
      <c r="AM1392" s="205"/>
    </row>
    <row r="1393" spans="24:39" x14ac:dyDescent="0.3">
      <c r="X1393" s="17"/>
      <c r="AI1393" s="17"/>
      <c r="AJ1393" s="205"/>
      <c r="AK1393" s="205"/>
      <c r="AL1393" s="205"/>
      <c r="AM1393" s="205"/>
    </row>
    <row r="1394" spans="24:39" x14ac:dyDescent="0.3">
      <c r="X1394" s="17"/>
      <c r="AI1394" s="17"/>
      <c r="AJ1394" s="205"/>
      <c r="AK1394" s="205"/>
      <c r="AL1394" s="205"/>
      <c r="AM1394" s="205"/>
    </row>
    <row r="1395" spans="24:39" x14ac:dyDescent="0.3">
      <c r="X1395" s="17"/>
      <c r="AI1395" s="17"/>
      <c r="AJ1395" s="205"/>
      <c r="AK1395" s="205"/>
      <c r="AL1395" s="205"/>
      <c r="AM1395" s="205"/>
    </row>
    <row r="1396" spans="24:39" x14ac:dyDescent="0.3">
      <c r="X1396" s="17"/>
      <c r="AI1396" s="17"/>
      <c r="AJ1396" s="205"/>
      <c r="AK1396" s="205"/>
      <c r="AL1396" s="205"/>
      <c r="AM1396" s="205"/>
    </row>
    <row r="1397" spans="24:39" x14ac:dyDescent="0.3">
      <c r="X1397" s="17"/>
      <c r="AI1397" s="17"/>
      <c r="AJ1397" s="205"/>
      <c r="AK1397" s="205"/>
      <c r="AL1397" s="205"/>
      <c r="AM1397" s="205"/>
    </row>
    <row r="1398" spans="24:39" x14ac:dyDescent="0.3">
      <c r="X1398" s="17"/>
      <c r="AI1398" s="17"/>
      <c r="AJ1398" s="205"/>
      <c r="AK1398" s="205"/>
      <c r="AL1398" s="205"/>
      <c r="AM1398" s="205"/>
    </row>
    <row r="1399" spans="24:39" x14ac:dyDescent="0.3">
      <c r="X1399" s="17"/>
      <c r="AI1399" s="17"/>
      <c r="AJ1399" s="205"/>
      <c r="AK1399" s="205"/>
      <c r="AL1399" s="205"/>
      <c r="AM1399" s="205"/>
    </row>
    <row r="1400" spans="24:39" x14ac:dyDescent="0.3">
      <c r="X1400" s="17"/>
      <c r="AI1400" s="17"/>
      <c r="AJ1400" s="205"/>
      <c r="AK1400" s="205"/>
      <c r="AL1400" s="205"/>
      <c r="AM1400" s="205"/>
    </row>
    <row r="1401" spans="24:39" x14ac:dyDescent="0.3">
      <c r="X1401" s="17"/>
      <c r="AI1401" s="17"/>
      <c r="AJ1401" s="205"/>
      <c r="AK1401" s="205"/>
      <c r="AL1401" s="205"/>
      <c r="AM1401" s="205"/>
    </row>
    <row r="1402" spans="24:39" x14ac:dyDescent="0.3">
      <c r="X1402" s="17"/>
      <c r="AI1402" s="17"/>
      <c r="AJ1402" s="205"/>
      <c r="AK1402" s="205"/>
      <c r="AL1402" s="205"/>
      <c r="AM1402" s="205"/>
    </row>
    <row r="1403" spans="24:39" x14ac:dyDescent="0.3">
      <c r="X1403" s="17"/>
      <c r="AI1403" s="17"/>
      <c r="AJ1403" s="205"/>
      <c r="AK1403" s="205"/>
      <c r="AL1403" s="205"/>
      <c r="AM1403" s="205"/>
    </row>
    <row r="1404" spans="24:39" x14ac:dyDescent="0.3">
      <c r="X1404" s="17"/>
      <c r="AI1404" s="17"/>
      <c r="AJ1404" s="205"/>
      <c r="AK1404" s="205"/>
      <c r="AL1404" s="205"/>
      <c r="AM1404" s="205"/>
    </row>
    <row r="1405" spans="24:39" x14ac:dyDescent="0.3">
      <c r="X1405" s="17"/>
      <c r="AI1405" s="17"/>
      <c r="AJ1405" s="205"/>
      <c r="AK1405" s="205"/>
      <c r="AL1405" s="205"/>
      <c r="AM1405" s="205"/>
    </row>
    <row r="1406" spans="24:39" x14ac:dyDescent="0.3">
      <c r="X1406" s="17"/>
      <c r="AI1406" s="17"/>
      <c r="AJ1406" s="205"/>
      <c r="AK1406" s="205"/>
      <c r="AL1406" s="205"/>
      <c r="AM1406" s="205"/>
    </row>
    <row r="1407" spans="24:39" x14ac:dyDescent="0.3">
      <c r="X1407" s="17"/>
      <c r="AI1407" s="17"/>
      <c r="AJ1407" s="205"/>
      <c r="AK1407" s="205"/>
      <c r="AL1407" s="205"/>
      <c r="AM1407" s="205"/>
    </row>
    <row r="1408" spans="24:39" x14ac:dyDescent="0.3">
      <c r="X1408" s="17"/>
      <c r="AI1408" s="17"/>
      <c r="AJ1408" s="205"/>
      <c r="AK1408" s="205"/>
      <c r="AL1408" s="205"/>
      <c r="AM1408" s="205"/>
    </row>
    <row r="1409" spans="24:39" x14ac:dyDescent="0.3">
      <c r="X1409" s="17"/>
      <c r="AI1409" s="17"/>
      <c r="AJ1409" s="205"/>
      <c r="AK1409" s="205"/>
      <c r="AL1409" s="205"/>
      <c r="AM1409" s="205"/>
    </row>
    <row r="1410" spans="24:39" x14ac:dyDescent="0.3">
      <c r="X1410" s="17"/>
      <c r="AI1410" s="17"/>
      <c r="AJ1410" s="205"/>
      <c r="AK1410" s="205"/>
      <c r="AL1410" s="205"/>
      <c r="AM1410" s="205"/>
    </row>
    <row r="1411" spans="24:39" x14ac:dyDescent="0.3">
      <c r="X1411" s="17"/>
      <c r="AI1411" s="17"/>
      <c r="AJ1411" s="205"/>
      <c r="AK1411" s="205"/>
      <c r="AL1411" s="205"/>
      <c r="AM1411" s="205"/>
    </row>
    <row r="1412" spans="24:39" x14ac:dyDescent="0.3">
      <c r="X1412" s="17"/>
      <c r="AI1412" s="17"/>
      <c r="AJ1412" s="205"/>
      <c r="AK1412" s="205"/>
      <c r="AL1412" s="205"/>
      <c r="AM1412" s="205"/>
    </row>
    <row r="1413" spans="24:39" x14ac:dyDescent="0.3">
      <c r="X1413" s="17"/>
      <c r="AI1413" s="17"/>
      <c r="AJ1413" s="205"/>
      <c r="AK1413" s="205"/>
      <c r="AL1413" s="205"/>
      <c r="AM1413" s="205"/>
    </row>
    <row r="1414" spans="24:39" x14ac:dyDescent="0.3">
      <c r="X1414" s="17"/>
      <c r="AI1414" s="17"/>
      <c r="AJ1414" s="205"/>
      <c r="AK1414" s="205"/>
      <c r="AL1414" s="205"/>
      <c r="AM1414" s="205"/>
    </row>
    <row r="1415" spans="24:39" x14ac:dyDescent="0.3">
      <c r="X1415" s="17"/>
      <c r="AI1415" s="17"/>
      <c r="AJ1415" s="205"/>
      <c r="AK1415" s="205"/>
      <c r="AL1415" s="205"/>
      <c r="AM1415" s="205"/>
    </row>
    <row r="1416" spans="24:39" x14ac:dyDescent="0.3">
      <c r="X1416" s="17"/>
      <c r="AI1416" s="17"/>
      <c r="AJ1416" s="205"/>
      <c r="AK1416" s="205"/>
      <c r="AL1416" s="205"/>
      <c r="AM1416" s="205"/>
    </row>
    <row r="1417" spans="24:39" x14ac:dyDescent="0.3">
      <c r="X1417" s="17"/>
      <c r="AI1417" s="17"/>
      <c r="AJ1417" s="205"/>
      <c r="AK1417" s="205"/>
      <c r="AL1417" s="205"/>
      <c r="AM1417" s="205"/>
    </row>
    <row r="1418" spans="24:39" x14ac:dyDescent="0.3">
      <c r="X1418" s="17"/>
      <c r="AI1418" s="17"/>
      <c r="AJ1418" s="205"/>
      <c r="AK1418" s="205"/>
      <c r="AL1418" s="205"/>
      <c r="AM1418" s="205"/>
    </row>
    <row r="1419" spans="24:39" x14ac:dyDescent="0.3">
      <c r="X1419" s="17"/>
      <c r="AI1419" s="17"/>
      <c r="AJ1419" s="205"/>
      <c r="AK1419" s="205"/>
      <c r="AL1419" s="205"/>
      <c r="AM1419" s="205"/>
    </row>
    <row r="1420" spans="24:39" x14ac:dyDescent="0.3">
      <c r="X1420" s="17"/>
      <c r="AI1420" s="17"/>
      <c r="AJ1420" s="205"/>
      <c r="AK1420" s="205"/>
      <c r="AL1420" s="205"/>
      <c r="AM1420" s="205"/>
    </row>
    <row r="1421" spans="24:39" x14ac:dyDescent="0.3">
      <c r="X1421" s="17"/>
      <c r="AI1421" s="17"/>
      <c r="AJ1421" s="205"/>
      <c r="AK1421" s="205"/>
      <c r="AL1421" s="205"/>
      <c r="AM1421" s="205"/>
    </row>
    <row r="1422" spans="24:39" x14ac:dyDescent="0.3">
      <c r="X1422" s="17"/>
      <c r="AI1422" s="17"/>
      <c r="AJ1422" s="205"/>
      <c r="AK1422" s="205"/>
      <c r="AL1422" s="205"/>
      <c r="AM1422" s="205"/>
    </row>
    <row r="1423" spans="24:39" x14ac:dyDescent="0.3">
      <c r="X1423" s="17"/>
      <c r="AI1423" s="17"/>
      <c r="AJ1423" s="205"/>
      <c r="AK1423" s="205"/>
      <c r="AL1423" s="205"/>
      <c r="AM1423" s="205"/>
    </row>
    <row r="1424" spans="24:39" x14ac:dyDescent="0.3">
      <c r="X1424" s="17"/>
      <c r="AI1424" s="17"/>
      <c r="AJ1424" s="205"/>
      <c r="AK1424" s="205"/>
      <c r="AL1424" s="205"/>
      <c r="AM1424" s="205"/>
    </row>
    <row r="1425" spans="24:39" x14ac:dyDescent="0.3">
      <c r="X1425" s="17"/>
      <c r="AI1425" s="17"/>
      <c r="AJ1425" s="205"/>
      <c r="AK1425" s="205"/>
      <c r="AL1425" s="205"/>
      <c r="AM1425" s="205"/>
    </row>
    <row r="1426" spans="24:39" x14ac:dyDescent="0.3">
      <c r="X1426" s="17"/>
      <c r="AI1426" s="17"/>
      <c r="AJ1426" s="205"/>
      <c r="AK1426" s="205"/>
      <c r="AL1426" s="205"/>
      <c r="AM1426" s="205"/>
    </row>
    <row r="1427" spans="24:39" x14ac:dyDescent="0.3">
      <c r="X1427" s="17"/>
      <c r="AI1427" s="17"/>
      <c r="AJ1427" s="205"/>
      <c r="AK1427" s="205"/>
      <c r="AL1427" s="205"/>
      <c r="AM1427" s="205"/>
    </row>
    <row r="1428" spans="24:39" x14ac:dyDescent="0.3">
      <c r="X1428" s="17"/>
      <c r="AI1428" s="17"/>
      <c r="AJ1428" s="205"/>
      <c r="AK1428" s="205"/>
      <c r="AL1428" s="205"/>
      <c r="AM1428" s="205"/>
    </row>
    <row r="1429" spans="24:39" x14ac:dyDescent="0.3">
      <c r="X1429" s="17"/>
      <c r="AI1429" s="17"/>
      <c r="AJ1429" s="205"/>
      <c r="AK1429" s="205"/>
      <c r="AL1429" s="205"/>
      <c r="AM1429" s="205"/>
    </row>
    <row r="1430" spans="24:39" x14ac:dyDescent="0.3">
      <c r="X1430" s="17"/>
      <c r="AI1430" s="17"/>
      <c r="AJ1430" s="205"/>
      <c r="AK1430" s="205"/>
      <c r="AL1430" s="205"/>
      <c r="AM1430" s="205"/>
    </row>
    <row r="1431" spans="24:39" x14ac:dyDescent="0.3">
      <c r="X1431" s="17"/>
      <c r="AI1431" s="17"/>
      <c r="AJ1431" s="205"/>
      <c r="AK1431" s="205"/>
      <c r="AL1431" s="205"/>
      <c r="AM1431" s="205"/>
    </row>
    <row r="1432" spans="24:39" x14ac:dyDescent="0.3">
      <c r="X1432" s="17"/>
      <c r="AI1432" s="17"/>
      <c r="AJ1432" s="205"/>
      <c r="AK1432" s="205"/>
      <c r="AL1432" s="205"/>
      <c r="AM1432" s="205"/>
    </row>
    <row r="1433" spans="24:39" x14ac:dyDescent="0.3">
      <c r="X1433" s="17"/>
      <c r="AI1433" s="17"/>
      <c r="AJ1433" s="205"/>
      <c r="AK1433" s="205"/>
      <c r="AL1433" s="205"/>
      <c r="AM1433" s="205"/>
    </row>
    <row r="1434" spans="24:39" x14ac:dyDescent="0.3">
      <c r="X1434" s="17"/>
      <c r="AI1434" s="17"/>
      <c r="AJ1434" s="205"/>
      <c r="AK1434" s="205"/>
      <c r="AL1434" s="205"/>
      <c r="AM1434" s="205"/>
    </row>
    <row r="1435" spans="24:39" x14ac:dyDescent="0.3">
      <c r="X1435" s="17"/>
      <c r="AI1435" s="17"/>
      <c r="AJ1435" s="205"/>
      <c r="AK1435" s="205"/>
      <c r="AL1435" s="205"/>
      <c r="AM1435" s="205"/>
    </row>
    <row r="1436" spans="24:39" x14ac:dyDescent="0.3">
      <c r="X1436" s="17"/>
      <c r="AI1436" s="17"/>
      <c r="AJ1436" s="205"/>
      <c r="AK1436" s="205"/>
      <c r="AL1436" s="205"/>
      <c r="AM1436" s="205"/>
    </row>
    <row r="1437" spans="24:39" x14ac:dyDescent="0.3">
      <c r="X1437" s="17"/>
      <c r="AI1437" s="17"/>
      <c r="AJ1437" s="205"/>
      <c r="AK1437" s="205"/>
      <c r="AL1437" s="205"/>
      <c r="AM1437" s="205"/>
    </row>
    <row r="1438" spans="24:39" x14ac:dyDescent="0.3">
      <c r="X1438" s="17"/>
      <c r="AI1438" s="17"/>
      <c r="AJ1438" s="205"/>
      <c r="AK1438" s="205"/>
      <c r="AL1438" s="205"/>
      <c r="AM1438" s="205"/>
    </row>
    <row r="1439" spans="24:39" x14ac:dyDescent="0.3">
      <c r="X1439" s="17"/>
      <c r="AI1439" s="17"/>
      <c r="AJ1439" s="205"/>
      <c r="AK1439" s="205"/>
      <c r="AL1439" s="205"/>
      <c r="AM1439" s="205"/>
    </row>
    <row r="1440" spans="24:39" x14ac:dyDescent="0.3">
      <c r="X1440" s="17"/>
      <c r="AI1440" s="17"/>
      <c r="AJ1440" s="205"/>
      <c r="AK1440" s="205"/>
      <c r="AL1440" s="205"/>
      <c r="AM1440" s="205"/>
    </row>
    <row r="1441" spans="24:39" x14ac:dyDescent="0.3">
      <c r="X1441" s="17"/>
      <c r="AI1441" s="17"/>
      <c r="AJ1441" s="205"/>
      <c r="AK1441" s="205"/>
      <c r="AL1441" s="205"/>
      <c r="AM1441" s="205"/>
    </row>
    <row r="1442" spans="24:39" x14ac:dyDescent="0.3">
      <c r="X1442" s="17"/>
      <c r="AI1442" s="17"/>
      <c r="AJ1442" s="205"/>
      <c r="AK1442" s="205"/>
      <c r="AL1442" s="205"/>
      <c r="AM1442" s="205"/>
    </row>
    <row r="1443" spans="24:39" x14ac:dyDescent="0.3">
      <c r="X1443" s="17"/>
      <c r="AI1443" s="17"/>
      <c r="AJ1443" s="205"/>
      <c r="AK1443" s="205"/>
      <c r="AL1443" s="205"/>
      <c r="AM1443" s="205"/>
    </row>
    <row r="1444" spans="24:39" x14ac:dyDescent="0.3">
      <c r="X1444" s="17"/>
      <c r="AI1444" s="17"/>
      <c r="AJ1444" s="205"/>
      <c r="AK1444" s="205"/>
      <c r="AL1444" s="205"/>
      <c r="AM1444" s="205"/>
    </row>
    <row r="1445" spans="24:39" x14ac:dyDescent="0.3">
      <c r="X1445" s="17"/>
      <c r="AI1445" s="17"/>
      <c r="AJ1445" s="205"/>
      <c r="AK1445" s="205"/>
      <c r="AL1445" s="205"/>
      <c r="AM1445" s="205"/>
    </row>
    <row r="1446" spans="24:39" x14ac:dyDescent="0.3">
      <c r="X1446" s="17"/>
      <c r="AI1446" s="17"/>
      <c r="AJ1446" s="205"/>
      <c r="AK1446" s="205"/>
      <c r="AL1446" s="205"/>
      <c r="AM1446" s="205"/>
    </row>
    <row r="1447" spans="24:39" x14ac:dyDescent="0.3">
      <c r="X1447" s="17"/>
      <c r="AI1447" s="17"/>
      <c r="AJ1447" s="205"/>
      <c r="AK1447" s="205"/>
      <c r="AL1447" s="205"/>
      <c r="AM1447" s="205"/>
    </row>
    <row r="1448" spans="24:39" x14ac:dyDescent="0.3">
      <c r="X1448" s="17"/>
      <c r="AI1448" s="17"/>
      <c r="AJ1448" s="205"/>
      <c r="AK1448" s="205"/>
      <c r="AL1448" s="205"/>
      <c r="AM1448" s="205"/>
    </row>
    <row r="1449" spans="24:39" x14ac:dyDescent="0.3">
      <c r="X1449" s="17"/>
      <c r="AI1449" s="17"/>
      <c r="AJ1449" s="205"/>
      <c r="AK1449" s="205"/>
      <c r="AL1449" s="205"/>
      <c r="AM1449" s="205"/>
    </row>
    <row r="1450" spans="24:39" x14ac:dyDescent="0.3">
      <c r="X1450" s="17"/>
      <c r="AI1450" s="17"/>
      <c r="AJ1450" s="205"/>
      <c r="AK1450" s="205"/>
      <c r="AL1450" s="205"/>
      <c r="AM1450" s="205"/>
    </row>
    <row r="1451" spans="24:39" x14ac:dyDescent="0.3">
      <c r="X1451" s="17"/>
      <c r="AI1451" s="17"/>
      <c r="AJ1451" s="205"/>
      <c r="AK1451" s="205"/>
      <c r="AL1451" s="205"/>
      <c r="AM1451" s="205"/>
    </row>
    <row r="1452" spans="24:39" x14ac:dyDescent="0.3">
      <c r="X1452" s="17"/>
      <c r="AI1452" s="17"/>
      <c r="AJ1452" s="205"/>
      <c r="AK1452" s="205"/>
      <c r="AL1452" s="205"/>
      <c r="AM1452" s="205"/>
    </row>
    <row r="1453" spans="24:39" x14ac:dyDescent="0.3">
      <c r="X1453" s="17"/>
      <c r="AI1453" s="17"/>
      <c r="AJ1453" s="205"/>
      <c r="AK1453" s="205"/>
      <c r="AL1453" s="205"/>
      <c r="AM1453" s="205"/>
    </row>
    <row r="1454" spans="24:39" x14ac:dyDescent="0.3">
      <c r="X1454" s="17"/>
      <c r="AI1454" s="17"/>
      <c r="AJ1454" s="205"/>
      <c r="AK1454" s="205"/>
      <c r="AL1454" s="205"/>
      <c r="AM1454" s="205"/>
    </row>
    <row r="1455" spans="24:39" x14ac:dyDescent="0.3">
      <c r="X1455" s="17"/>
      <c r="AI1455" s="17"/>
      <c r="AJ1455" s="205"/>
      <c r="AK1455" s="205"/>
      <c r="AL1455" s="205"/>
      <c r="AM1455" s="205"/>
    </row>
    <row r="1456" spans="24:39" x14ac:dyDescent="0.3">
      <c r="X1456" s="17"/>
      <c r="AI1456" s="17"/>
      <c r="AJ1456" s="205"/>
      <c r="AK1456" s="205"/>
      <c r="AL1456" s="205"/>
      <c r="AM1456" s="205"/>
    </row>
    <row r="1457" spans="24:39" x14ac:dyDescent="0.3">
      <c r="X1457" s="17"/>
      <c r="AI1457" s="17"/>
      <c r="AJ1457" s="205"/>
      <c r="AK1457" s="205"/>
      <c r="AL1457" s="205"/>
      <c r="AM1457" s="205"/>
    </row>
    <row r="1458" spans="24:39" x14ac:dyDescent="0.3">
      <c r="X1458" s="17"/>
      <c r="AI1458" s="17"/>
      <c r="AJ1458" s="205"/>
      <c r="AK1458" s="205"/>
      <c r="AL1458" s="205"/>
      <c r="AM1458" s="205"/>
    </row>
    <row r="1459" spans="24:39" x14ac:dyDescent="0.3">
      <c r="X1459" s="17"/>
      <c r="AI1459" s="17"/>
      <c r="AJ1459" s="205"/>
      <c r="AK1459" s="205"/>
      <c r="AL1459" s="205"/>
      <c r="AM1459" s="205"/>
    </row>
    <row r="1460" spans="24:39" x14ac:dyDescent="0.3">
      <c r="X1460" s="17"/>
      <c r="AI1460" s="17"/>
      <c r="AJ1460" s="205"/>
      <c r="AK1460" s="205"/>
      <c r="AL1460" s="205"/>
      <c r="AM1460" s="205"/>
    </row>
    <row r="1461" spans="24:39" x14ac:dyDescent="0.3">
      <c r="X1461" s="17"/>
      <c r="AI1461" s="17"/>
      <c r="AJ1461" s="205"/>
      <c r="AK1461" s="205"/>
      <c r="AL1461" s="205"/>
      <c r="AM1461" s="205"/>
    </row>
    <row r="1462" spans="24:39" x14ac:dyDescent="0.3">
      <c r="X1462" s="17"/>
      <c r="AI1462" s="17"/>
      <c r="AJ1462" s="205"/>
      <c r="AK1462" s="205"/>
      <c r="AL1462" s="205"/>
      <c r="AM1462" s="205"/>
    </row>
    <row r="1463" spans="24:39" x14ac:dyDescent="0.3">
      <c r="X1463" s="17"/>
      <c r="AI1463" s="17"/>
      <c r="AJ1463" s="205"/>
      <c r="AK1463" s="205"/>
      <c r="AL1463" s="205"/>
      <c r="AM1463" s="205"/>
    </row>
    <row r="1464" spans="24:39" x14ac:dyDescent="0.3">
      <c r="X1464" s="17"/>
      <c r="AI1464" s="17"/>
      <c r="AJ1464" s="205"/>
      <c r="AK1464" s="205"/>
      <c r="AL1464" s="205"/>
      <c r="AM1464" s="205"/>
    </row>
    <row r="1465" spans="24:39" x14ac:dyDescent="0.3">
      <c r="X1465" s="17"/>
      <c r="AI1465" s="17"/>
      <c r="AJ1465" s="205"/>
      <c r="AK1465" s="205"/>
      <c r="AL1465" s="205"/>
      <c r="AM1465" s="205"/>
    </row>
    <row r="1466" spans="24:39" x14ac:dyDescent="0.3">
      <c r="X1466" s="17"/>
      <c r="AI1466" s="17"/>
      <c r="AJ1466" s="205"/>
      <c r="AK1466" s="205"/>
      <c r="AL1466" s="205"/>
      <c r="AM1466" s="205"/>
    </row>
    <row r="1467" spans="24:39" x14ac:dyDescent="0.3">
      <c r="X1467" s="17"/>
      <c r="AI1467" s="17"/>
      <c r="AJ1467" s="205"/>
      <c r="AK1467" s="205"/>
      <c r="AL1467" s="205"/>
      <c r="AM1467" s="205"/>
    </row>
    <row r="1468" spans="24:39" x14ac:dyDescent="0.3">
      <c r="X1468" s="17"/>
      <c r="AI1468" s="17"/>
      <c r="AJ1468" s="205"/>
      <c r="AK1468" s="205"/>
      <c r="AL1468" s="205"/>
      <c r="AM1468" s="205"/>
    </row>
    <row r="1469" spans="24:39" x14ac:dyDescent="0.3">
      <c r="X1469" s="17"/>
      <c r="AI1469" s="17"/>
      <c r="AJ1469" s="205"/>
      <c r="AK1469" s="205"/>
      <c r="AL1469" s="205"/>
      <c r="AM1469" s="205"/>
    </row>
    <row r="1470" spans="24:39" x14ac:dyDescent="0.3">
      <c r="X1470" s="17"/>
      <c r="AI1470" s="17"/>
      <c r="AJ1470" s="205"/>
      <c r="AK1470" s="205"/>
      <c r="AL1470" s="205"/>
      <c r="AM1470" s="205"/>
    </row>
    <row r="1471" spans="24:39" x14ac:dyDescent="0.3">
      <c r="X1471" s="17"/>
      <c r="AI1471" s="17"/>
      <c r="AJ1471" s="205"/>
      <c r="AK1471" s="205"/>
      <c r="AL1471" s="205"/>
      <c r="AM1471" s="205"/>
    </row>
    <row r="1472" spans="24:39" x14ac:dyDescent="0.3">
      <c r="X1472" s="17"/>
      <c r="AI1472" s="17"/>
      <c r="AJ1472" s="205"/>
      <c r="AK1472" s="205"/>
      <c r="AL1472" s="205"/>
      <c r="AM1472" s="205"/>
    </row>
    <row r="1473" spans="24:39" x14ac:dyDescent="0.3">
      <c r="X1473" s="17"/>
      <c r="AI1473" s="17"/>
      <c r="AJ1473" s="205"/>
      <c r="AK1473" s="205"/>
      <c r="AL1473" s="205"/>
      <c r="AM1473" s="205"/>
    </row>
    <row r="1474" spans="24:39" x14ac:dyDescent="0.3">
      <c r="X1474" s="17"/>
      <c r="AI1474" s="17"/>
      <c r="AJ1474" s="205"/>
      <c r="AK1474" s="205"/>
      <c r="AL1474" s="205"/>
      <c r="AM1474" s="205"/>
    </row>
    <row r="1475" spans="24:39" x14ac:dyDescent="0.3">
      <c r="X1475" s="17"/>
      <c r="AI1475" s="17"/>
      <c r="AJ1475" s="205"/>
      <c r="AK1475" s="205"/>
      <c r="AL1475" s="205"/>
      <c r="AM1475" s="205"/>
    </row>
    <row r="1476" spans="24:39" x14ac:dyDescent="0.3">
      <c r="X1476" s="17"/>
      <c r="AI1476" s="17"/>
      <c r="AJ1476" s="205"/>
      <c r="AK1476" s="205"/>
      <c r="AL1476" s="205"/>
      <c r="AM1476" s="205"/>
    </row>
    <row r="1477" spans="24:39" x14ac:dyDescent="0.3">
      <c r="X1477" s="17"/>
      <c r="AI1477" s="17"/>
      <c r="AJ1477" s="205"/>
      <c r="AK1477" s="205"/>
      <c r="AL1477" s="205"/>
      <c r="AM1477" s="205"/>
    </row>
    <row r="1478" spans="24:39" x14ac:dyDescent="0.3">
      <c r="X1478" s="17"/>
      <c r="AI1478" s="17"/>
      <c r="AJ1478" s="205"/>
      <c r="AK1478" s="205"/>
      <c r="AL1478" s="205"/>
      <c r="AM1478" s="205"/>
    </row>
    <row r="1479" spans="24:39" x14ac:dyDescent="0.3">
      <c r="X1479" s="17"/>
      <c r="AI1479" s="17"/>
      <c r="AJ1479" s="205"/>
      <c r="AK1479" s="205"/>
      <c r="AL1479" s="205"/>
      <c r="AM1479" s="205"/>
    </row>
    <row r="1480" spans="24:39" x14ac:dyDescent="0.3">
      <c r="X1480" s="17"/>
      <c r="AI1480" s="17"/>
      <c r="AJ1480" s="205"/>
      <c r="AK1480" s="205"/>
      <c r="AL1480" s="205"/>
      <c r="AM1480" s="205"/>
    </row>
    <row r="1481" spans="24:39" x14ac:dyDescent="0.3">
      <c r="X1481" s="17"/>
      <c r="AI1481" s="17"/>
      <c r="AJ1481" s="205"/>
      <c r="AK1481" s="205"/>
      <c r="AL1481" s="205"/>
      <c r="AM1481" s="205"/>
    </row>
    <row r="1482" spans="24:39" x14ac:dyDescent="0.3">
      <c r="X1482" s="17"/>
      <c r="AI1482" s="17"/>
      <c r="AJ1482" s="205"/>
      <c r="AK1482" s="205"/>
      <c r="AL1482" s="205"/>
      <c r="AM1482" s="205"/>
    </row>
    <row r="1483" spans="24:39" x14ac:dyDescent="0.3">
      <c r="X1483" s="17"/>
      <c r="AI1483" s="17"/>
      <c r="AJ1483" s="205"/>
      <c r="AK1483" s="205"/>
      <c r="AL1483" s="205"/>
      <c r="AM1483" s="205"/>
    </row>
    <row r="1484" spans="24:39" x14ac:dyDescent="0.3">
      <c r="X1484" s="17"/>
      <c r="AI1484" s="17"/>
      <c r="AJ1484" s="205"/>
      <c r="AK1484" s="205"/>
      <c r="AL1484" s="205"/>
      <c r="AM1484" s="205"/>
    </row>
    <row r="1485" spans="24:39" x14ac:dyDescent="0.3">
      <c r="X1485" s="17"/>
      <c r="AI1485" s="17"/>
      <c r="AJ1485" s="205"/>
      <c r="AK1485" s="205"/>
      <c r="AL1485" s="205"/>
      <c r="AM1485" s="205"/>
    </row>
    <row r="1486" spans="24:39" x14ac:dyDescent="0.3">
      <c r="X1486" s="17"/>
      <c r="AI1486" s="17"/>
      <c r="AJ1486" s="205"/>
      <c r="AK1486" s="205"/>
      <c r="AL1486" s="205"/>
      <c r="AM1486" s="205"/>
    </row>
    <row r="1487" spans="24:39" x14ac:dyDescent="0.3">
      <c r="X1487" s="17"/>
      <c r="AI1487" s="17"/>
      <c r="AJ1487" s="205"/>
      <c r="AK1487" s="205"/>
      <c r="AL1487" s="205"/>
      <c r="AM1487" s="205"/>
    </row>
    <row r="1488" spans="24:39" x14ac:dyDescent="0.3">
      <c r="X1488" s="17"/>
      <c r="AI1488" s="17"/>
      <c r="AJ1488" s="205"/>
      <c r="AK1488" s="205"/>
      <c r="AL1488" s="205"/>
      <c r="AM1488" s="205"/>
    </row>
    <row r="1489" spans="24:39" x14ac:dyDescent="0.3">
      <c r="X1489" s="17"/>
      <c r="AI1489" s="17"/>
      <c r="AJ1489" s="205"/>
      <c r="AK1489" s="205"/>
      <c r="AL1489" s="205"/>
      <c r="AM1489" s="205"/>
    </row>
    <row r="1490" spans="24:39" x14ac:dyDescent="0.3">
      <c r="X1490" s="17"/>
      <c r="AI1490" s="17"/>
      <c r="AJ1490" s="205"/>
      <c r="AK1490" s="205"/>
      <c r="AL1490" s="205"/>
      <c r="AM1490" s="205"/>
    </row>
    <row r="1491" spans="24:39" x14ac:dyDescent="0.3">
      <c r="X1491" s="17"/>
      <c r="AI1491" s="17"/>
      <c r="AJ1491" s="205"/>
      <c r="AK1491" s="205"/>
      <c r="AL1491" s="205"/>
      <c r="AM1491" s="205"/>
    </row>
    <row r="1492" spans="24:39" x14ac:dyDescent="0.3">
      <c r="X1492" s="17"/>
      <c r="AI1492" s="17"/>
      <c r="AJ1492" s="205"/>
      <c r="AK1492" s="205"/>
      <c r="AL1492" s="205"/>
      <c r="AM1492" s="205"/>
    </row>
    <row r="1493" spans="24:39" x14ac:dyDescent="0.3">
      <c r="X1493" s="17"/>
      <c r="AI1493" s="17"/>
      <c r="AJ1493" s="205"/>
      <c r="AK1493" s="205"/>
      <c r="AL1493" s="205"/>
      <c r="AM1493" s="205"/>
    </row>
    <row r="1494" spans="24:39" x14ac:dyDescent="0.3">
      <c r="X1494" s="17"/>
      <c r="AI1494" s="17"/>
      <c r="AJ1494" s="205"/>
      <c r="AK1494" s="205"/>
      <c r="AL1494" s="205"/>
      <c r="AM1494" s="205"/>
    </row>
    <row r="1495" spans="24:39" x14ac:dyDescent="0.3">
      <c r="X1495" s="17"/>
      <c r="AI1495" s="17"/>
      <c r="AJ1495" s="205"/>
      <c r="AK1495" s="205"/>
      <c r="AL1495" s="205"/>
      <c r="AM1495" s="205"/>
    </row>
    <row r="1496" spans="24:39" x14ac:dyDescent="0.3">
      <c r="X1496" s="17"/>
      <c r="AI1496" s="17"/>
      <c r="AJ1496" s="205"/>
      <c r="AK1496" s="205"/>
      <c r="AL1496" s="205"/>
      <c r="AM1496" s="205"/>
    </row>
    <row r="1497" spans="24:39" x14ac:dyDescent="0.3">
      <c r="X1497" s="17"/>
      <c r="AI1497" s="17"/>
      <c r="AJ1497" s="205"/>
      <c r="AK1497" s="205"/>
      <c r="AL1497" s="205"/>
      <c r="AM1497" s="205"/>
    </row>
    <row r="1498" spans="24:39" x14ac:dyDescent="0.3">
      <c r="X1498" s="17"/>
      <c r="AI1498" s="17"/>
      <c r="AJ1498" s="205"/>
      <c r="AK1498" s="205"/>
      <c r="AL1498" s="205"/>
      <c r="AM1498" s="205"/>
    </row>
    <row r="1499" spans="24:39" x14ac:dyDescent="0.3">
      <c r="X1499" s="17"/>
      <c r="AI1499" s="17"/>
      <c r="AJ1499" s="205"/>
      <c r="AK1499" s="205"/>
      <c r="AL1499" s="205"/>
      <c r="AM1499" s="205"/>
    </row>
    <row r="1500" spans="24:39" x14ac:dyDescent="0.3">
      <c r="X1500" s="17"/>
      <c r="AI1500" s="17"/>
      <c r="AJ1500" s="205"/>
      <c r="AK1500" s="205"/>
      <c r="AL1500" s="205"/>
      <c r="AM1500" s="205"/>
    </row>
    <row r="1501" spans="24:39" x14ac:dyDescent="0.3">
      <c r="X1501" s="17"/>
      <c r="AI1501" s="17"/>
      <c r="AJ1501" s="205"/>
      <c r="AK1501" s="205"/>
      <c r="AL1501" s="205"/>
      <c r="AM1501" s="205"/>
    </row>
    <row r="1502" spans="24:39" x14ac:dyDescent="0.3">
      <c r="X1502" s="17"/>
      <c r="AI1502" s="17"/>
      <c r="AJ1502" s="205"/>
      <c r="AK1502" s="205"/>
      <c r="AL1502" s="205"/>
      <c r="AM1502" s="205"/>
    </row>
    <row r="1503" spans="24:39" x14ac:dyDescent="0.3">
      <c r="X1503" s="17"/>
      <c r="AI1503" s="17"/>
      <c r="AJ1503" s="205"/>
      <c r="AK1503" s="205"/>
      <c r="AL1503" s="205"/>
      <c r="AM1503" s="205"/>
    </row>
    <row r="1504" spans="24:39" x14ac:dyDescent="0.3">
      <c r="X1504" s="17"/>
      <c r="AI1504" s="17"/>
      <c r="AJ1504" s="205"/>
      <c r="AK1504" s="205"/>
      <c r="AL1504" s="205"/>
      <c r="AM1504" s="205"/>
    </row>
    <row r="1505" spans="24:39" x14ac:dyDescent="0.3">
      <c r="X1505" s="17"/>
      <c r="AI1505" s="17"/>
      <c r="AJ1505" s="205"/>
      <c r="AK1505" s="205"/>
      <c r="AL1505" s="205"/>
      <c r="AM1505" s="205"/>
    </row>
    <row r="1506" spans="24:39" x14ac:dyDescent="0.3">
      <c r="X1506" s="17"/>
      <c r="AI1506" s="17"/>
      <c r="AJ1506" s="205"/>
      <c r="AK1506" s="205"/>
      <c r="AL1506" s="205"/>
      <c r="AM1506" s="205"/>
    </row>
    <row r="1507" spans="24:39" x14ac:dyDescent="0.3">
      <c r="X1507" s="17"/>
      <c r="AI1507" s="17"/>
      <c r="AJ1507" s="205"/>
      <c r="AK1507" s="205"/>
      <c r="AL1507" s="205"/>
      <c r="AM1507" s="205"/>
    </row>
    <row r="1508" spans="24:39" x14ac:dyDescent="0.3">
      <c r="X1508" s="17"/>
      <c r="AI1508" s="17"/>
      <c r="AJ1508" s="205"/>
      <c r="AK1508" s="205"/>
      <c r="AL1508" s="205"/>
      <c r="AM1508" s="205"/>
    </row>
    <row r="1509" spans="24:39" x14ac:dyDescent="0.3">
      <c r="X1509" s="17"/>
      <c r="AI1509" s="17"/>
      <c r="AJ1509" s="205"/>
      <c r="AK1509" s="205"/>
      <c r="AL1509" s="205"/>
      <c r="AM1509" s="205"/>
    </row>
    <row r="1510" spans="24:39" x14ac:dyDescent="0.3">
      <c r="X1510" s="17"/>
      <c r="AI1510" s="17"/>
      <c r="AJ1510" s="205"/>
      <c r="AK1510" s="205"/>
      <c r="AL1510" s="205"/>
      <c r="AM1510" s="205"/>
    </row>
    <row r="1511" spans="24:39" x14ac:dyDescent="0.3">
      <c r="X1511" s="17"/>
      <c r="AI1511" s="17"/>
      <c r="AJ1511" s="205"/>
      <c r="AK1511" s="205"/>
      <c r="AL1511" s="205"/>
      <c r="AM1511" s="205"/>
    </row>
    <row r="1512" spans="24:39" x14ac:dyDescent="0.3">
      <c r="X1512" s="17"/>
      <c r="AI1512" s="17"/>
      <c r="AJ1512" s="205"/>
      <c r="AK1512" s="205"/>
      <c r="AL1512" s="205"/>
      <c r="AM1512" s="205"/>
    </row>
    <row r="1513" spans="24:39" x14ac:dyDescent="0.3">
      <c r="X1513" s="17"/>
      <c r="AI1513" s="17"/>
      <c r="AJ1513" s="205"/>
      <c r="AK1513" s="205"/>
      <c r="AL1513" s="205"/>
      <c r="AM1513" s="205"/>
    </row>
    <row r="1514" spans="24:39" x14ac:dyDescent="0.3">
      <c r="X1514" s="17"/>
      <c r="AI1514" s="17"/>
      <c r="AJ1514" s="205"/>
      <c r="AK1514" s="205"/>
      <c r="AL1514" s="205"/>
      <c r="AM1514" s="205"/>
    </row>
    <row r="1515" spans="24:39" x14ac:dyDescent="0.3">
      <c r="X1515" s="17"/>
      <c r="AI1515" s="17"/>
      <c r="AJ1515" s="205"/>
      <c r="AK1515" s="205"/>
      <c r="AL1515" s="205"/>
      <c r="AM1515" s="205"/>
    </row>
    <row r="1516" spans="24:39" x14ac:dyDescent="0.3">
      <c r="X1516" s="17"/>
      <c r="AI1516" s="17"/>
      <c r="AJ1516" s="205"/>
      <c r="AK1516" s="205"/>
      <c r="AL1516" s="205"/>
      <c r="AM1516" s="205"/>
    </row>
    <row r="1517" spans="24:39" x14ac:dyDescent="0.3">
      <c r="X1517" s="17"/>
      <c r="AI1517" s="17"/>
      <c r="AJ1517" s="205"/>
      <c r="AK1517" s="205"/>
      <c r="AL1517" s="205"/>
      <c r="AM1517" s="205"/>
    </row>
    <row r="1518" spans="24:39" x14ac:dyDescent="0.3">
      <c r="X1518" s="17"/>
      <c r="AI1518" s="17"/>
      <c r="AJ1518" s="205"/>
      <c r="AK1518" s="205"/>
      <c r="AL1518" s="205"/>
      <c r="AM1518" s="205"/>
    </row>
    <row r="1519" spans="24:39" x14ac:dyDescent="0.3">
      <c r="X1519" s="17"/>
      <c r="AI1519" s="17"/>
      <c r="AJ1519" s="205"/>
      <c r="AK1519" s="205"/>
      <c r="AL1519" s="205"/>
      <c r="AM1519" s="205"/>
    </row>
    <row r="1520" spans="24:39" x14ac:dyDescent="0.3">
      <c r="X1520" s="17"/>
      <c r="AI1520" s="17"/>
      <c r="AJ1520" s="205"/>
      <c r="AK1520" s="205"/>
      <c r="AL1520" s="205"/>
      <c r="AM1520" s="205"/>
    </row>
    <row r="1521" spans="24:39" x14ac:dyDescent="0.3">
      <c r="X1521" s="17"/>
      <c r="AI1521" s="17"/>
      <c r="AJ1521" s="205"/>
      <c r="AK1521" s="205"/>
      <c r="AL1521" s="205"/>
      <c r="AM1521" s="205"/>
    </row>
    <row r="1522" spans="24:39" x14ac:dyDescent="0.3">
      <c r="X1522" s="17"/>
      <c r="AI1522" s="17"/>
      <c r="AJ1522" s="205"/>
      <c r="AK1522" s="205"/>
      <c r="AL1522" s="205"/>
      <c r="AM1522" s="205"/>
    </row>
    <row r="1523" spans="24:39" x14ac:dyDescent="0.3">
      <c r="X1523" s="17"/>
      <c r="AI1523" s="17"/>
      <c r="AJ1523" s="205"/>
      <c r="AK1523" s="205"/>
      <c r="AL1523" s="205"/>
      <c r="AM1523" s="205"/>
    </row>
    <row r="1524" spans="24:39" x14ac:dyDescent="0.3">
      <c r="X1524" s="17"/>
      <c r="AI1524" s="17"/>
      <c r="AJ1524" s="205"/>
      <c r="AK1524" s="205"/>
      <c r="AL1524" s="205"/>
      <c r="AM1524" s="205"/>
    </row>
    <row r="1525" spans="24:39" x14ac:dyDescent="0.3">
      <c r="X1525" s="17"/>
      <c r="AI1525" s="17"/>
      <c r="AJ1525" s="205"/>
      <c r="AK1525" s="205"/>
      <c r="AL1525" s="205"/>
      <c r="AM1525" s="205"/>
    </row>
    <row r="1526" spans="24:39" x14ac:dyDescent="0.3">
      <c r="X1526" s="17"/>
      <c r="AI1526" s="17"/>
      <c r="AJ1526" s="205"/>
      <c r="AK1526" s="205"/>
      <c r="AL1526" s="205"/>
      <c r="AM1526" s="205"/>
    </row>
    <row r="1527" spans="24:39" x14ac:dyDescent="0.3">
      <c r="X1527" s="17"/>
      <c r="AI1527" s="17"/>
      <c r="AJ1527" s="205"/>
      <c r="AK1527" s="205"/>
      <c r="AL1527" s="205"/>
      <c r="AM1527" s="205"/>
    </row>
    <row r="1528" spans="24:39" x14ac:dyDescent="0.3">
      <c r="X1528" s="17"/>
      <c r="AI1528" s="17"/>
      <c r="AJ1528" s="205"/>
      <c r="AK1528" s="205"/>
      <c r="AL1528" s="205"/>
      <c r="AM1528" s="205"/>
    </row>
    <row r="1529" spans="24:39" x14ac:dyDescent="0.3">
      <c r="X1529" s="17"/>
      <c r="AI1529" s="17"/>
      <c r="AJ1529" s="205"/>
      <c r="AK1529" s="205"/>
      <c r="AL1529" s="205"/>
      <c r="AM1529" s="205"/>
    </row>
    <row r="1530" spans="24:39" x14ac:dyDescent="0.3">
      <c r="X1530" s="17"/>
      <c r="AI1530" s="17"/>
      <c r="AJ1530" s="205"/>
      <c r="AK1530" s="205"/>
      <c r="AL1530" s="205"/>
      <c r="AM1530" s="205"/>
    </row>
    <row r="1531" spans="24:39" x14ac:dyDescent="0.3">
      <c r="X1531" s="17"/>
      <c r="AI1531" s="17"/>
      <c r="AJ1531" s="205"/>
      <c r="AK1531" s="205"/>
      <c r="AL1531" s="205"/>
      <c r="AM1531" s="205"/>
    </row>
    <row r="1532" spans="24:39" x14ac:dyDescent="0.3">
      <c r="X1532" s="17"/>
      <c r="AI1532" s="17"/>
      <c r="AJ1532" s="205"/>
      <c r="AK1532" s="205"/>
      <c r="AL1532" s="205"/>
      <c r="AM1532" s="205"/>
    </row>
    <row r="1533" spans="24:39" x14ac:dyDescent="0.3">
      <c r="X1533" s="17"/>
      <c r="AI1533" s="17"/>
      <c r="AJ1533" s="205"/>
      <c r="AK1533" s="205"/>
      <c r="AL1533" s="205"/>
      <c r="AM1533" s="205"/>
    </row>
    <row r="1534" spans="24:39" x14ac:dyDescent="0.3">
      <c r="X1534" s="17"/>
      <c r="AI1534" s="17"/>
      <c r="AJ1534" s="205"/>
      <c r="AK1534" s="205"/>
      <c r="AL1534" s="205"/>
      <c r="AM1534" s="205"/>
    </row>
    <row r="1535" spans="24:39" x14ac:dyDescent="0.3">
      <c r="X1535" s="17"/>
      <c r="AI1535" s="17"/>
      <c r="AJ1535" s="205"/>
      <c r="AK1535" s="205"/>
      <c r="AL1535" s="205"/>
      <c r="AM1535" s="205"/>
    </row>
    <row r="1536" spans="24:39" x14ac:dyDescent="0.3">
      <c r="X1536" s="17"/>
      <c r="AI1536" s="17"/>
      <c r="AJ1536" s="205"/>
      <c r="AK1536" s="205"/>
      <c r="AL1536" s="205"/>
      <c r="AM1536" s="205"/>
    </row>
    <row r="1537" spans="24:39" x14ac:dyDescent="0.3">
      <c r="X1537" s="17"/>
      <c r="AI1537" s="17"/>
      <c r="AJ1537" s="205"/>
      <c r="AK1537" s="205"/>
      <c r="AL1537" s="205"/>
      <c r="AM1537" s="205"/>
    </row>
    <row r="1538" spans="24:39" x14ac:dyDescent="0.3">
      <c r="X1538" s="17"/>
      <c r="AI1538" s="17"/>
      <c r="AJ1538" s="205"/>
      <c r="AK1538" s="205"/>
      <c r="AL1538" s="205"/>
      <c r="AM1538" s="205"/>
    </row>
    <row r="1539" spans="24:39" x14ac:dyDescent="0.3">
      <c r="X1539" s="17"/>
      <c r="AI1539" s="17"/>
      <c r="AJ1539" s="205"/>
      <c r="AK1539" s="205"/>
      <c r="AL1539" s="205"/>
      <c r="AM1539" s="205"/>
    </row>
    <row r="1540" spans="24:39" x14ac:dyDescent="0.3">
      <c r="X1540" s="17"/>
      <c r="AI1540" s="17"/>
      <c r="AJ1540" s="205"/>
      <c r="AK1540" s="205"/>
      <c r="AL1540" s="205"/>
      <c r="AM1540" s="205"/>
    </row>
    <row r="1541" spans="24:39" x14ac:dyDescent="0.3">
      <c r="X1541" s="17"/>
      <c r="AI1541" s="17"/>
      <c r="AJ1541" s="205"/>
      <c r="AK1541" s="205"/>
      <c r="AL1541" s="205"/>
      <c r="AM1541" s="205"/>
    </row>
    <row r="1542" spans="24:39" x14ac:dyDescent="0.3">
      <c r="X1542" s="17"/>
      <c r="AI1542" s="17"/>
      <c r="AJ1542" s="205"/>
      <c r="AK1542" s="205"/>
      <c r="AL1542" s="205"/>
      <c r="AM1542" s="205"/>
    </row>
    <row r="1543" spans="24:39" x14ac:dyDescent="0.3">
      <c r="X1543" s="17"/>
      <c r="AI1543" s="17"/>
      <c r="AJ1543" s="205"/>
      <c r="AK1543" s="205"/>
      <c r="AL1543" s="205"/>
      <c r="AM1543" s="205"/>
    </row>
    <row r="1544" spans="24:39" x14ac:dyDescent="0.3">
      <c r="X1544" s="17"/>
      <c r="AI1544" s="17"/>
      <c r="AJ1544" s="205"/>
      <c r="AK1544" s="205"/>
      <c r="AL1544" s="205"/>
      <c r="AM1544" s="205"/>
    </row>
    <row r="1545" spans="24:39" x14ac:dyDescent="0.3">
      <c r="X1545" s="17"/>
      <c r="AI1545" s="17"/>
      <c r="AJ1545" s="205"/>
      <c r="AK1545" s="205"/>
      <c r="AL1545" s="205"/>
      <c r="AM1545" s="205"/>
    </row>
    <row r="1546" spans="24:39" x14ac:dyDescent="0.3">
      <c r="X1546" s="17"/>
      <c r="AI1546" s="17"/>
      <c r="AJ1546" s="205"/>
      <c r="AK1546" s="205"/>
      <c r="AL1546" s="205"/>
      <c r="AM1546" s="205"/>
    </row>
    <row r="1547" spans="24:39" x14ac:dyDescent="0.3">
      <c r="X1547" s="17"/>
      <c r="AI1547" s="17"/>
      <c r="AJ1547" s="205"/>
      <c r="AK1547" s="205"/>
      <c r="AL1547" s="205"/>
      <c r="AM1547" s="205"/>
    </row>
    <row r="1548" spans="24:39" x14ac:dyDescent="0.3">
      <c r="X1548" s="17"/>
      <c r="AI1548" s="17"/>
      <c r="AJ1548" s="205"/>
      <c r="AK1548" s="205"/>
      <c r="AL1548" s="205"/>
      <c r="AM1548" s="205"/>
    </row>
    <row r="1549" spans="24:39" x14ac:dyDescent="0.3">
      <c r="X1549" s="17"/>
      <c r="AI1549" s="17"/>
      <c r="AJ1549" s="205"/>
      <c r="AK1549" s="205"/>
      <c r="AL1549" s="205"/>
      <c r="AM1549" s="205"/>
    </row>
    <row r="1550" spans="24:39" x14ac:dyDescent="0.3">
      <c r="X1550" s="17"/>
      <c r="AI1550" s="17"/>
      <c r="AJ1550" s="205"/>
      <c r="AK1550" s="205"/>
      <c r="AL1550" s="205"/>
      <c r="AM1550" s="205"/>
    </row>
    <row r="1551" spans="24:39" x14ac:dyDescent="0.3">
      <c r="X1551" s="17"/>
      <c r="AI1551" s="17"/>
      <c r="AJ1551" s="205"/>
      <c r="AK1551" s="205"/>
      <c r="AL1551" s="205"/>
      <c r="AM1551" s="205"/>
    </row>
    <row r="1552" spans="24:39" x14ac:dyDescent="0.3">
      <c r="X1552" s="17"/>
      <c r="AI1552" s="17"/>
      <c r="AJ1552" s="205"/>
      <c r="AK1552" s="205"/>
      <c r="AL1552" s="205"/>
      <c r="AM1552" s="205"/>
    </row>
    <row r="1553" spans="24:39" x14ac:dyDescent="0.3">
      <c r="X1553" s="17"/>
      <c r="AI1553" s="17"/>
      <c r="AJ1553" s="205"/>
      <c r="AK1553" s="205"/>
      <c r="AL1553" s="205"/>
      <c r="AM1553" s="205"/>
    </row>
    <row r="1554" spans="24:39" x14ac:dyDescent="0.3">
      <c r="X1554" s="17"/>
      <c r="AI1554" s="17"/>
      <c r="AJ1554" s="205"/>
      <c r="AK1554" s="205"/>
      <c r="AL1554" s="205"/>
      <c r="AM1554" s="205"/>
    </row>
    <row r="1555" spans="24:39" x14ac:dyDescent="0.3">
      <c r="X1555" s="17"/>
      <c r="AI1555" s="17"/>
      <c r="AJ1555" s="205"/>
      <c r="AK1555" s="205"/>
      <c r="AL1555" s="205"/>
      <c r="AM1555" s="205"/>
    </row>
    <row r="1556" spans="24:39" x14ac:dyDescent="0.3">
      <c r="X1556" s="17"/>
      <c r="AI1556" s="17"/>
      <c r="AJ1556" s="205"/>
      <c r="AK1556" s="205"/>
      <c r="AL1556" s="205"/>
      <c r="AM1556" s="205"/>
    </row>
    <row r="1557" spans="24:39" x14ac:dyDescent="0.3">
      <c r="X1557" s="17"/>
      <c r="AI1557" s="17"/>
      <c r="AJ1557" s="205"/>
      <c r="AK1557" s="205"/>
      <c r="AL1557" s="205"/>
      <c r="AM1557" s="205"/>
    </row>
    <row r="1558" spans="24:39" x14ac:dyDescent="0.3">
      <c r="X1558" s="17"/>
      <c r="AI1558" s="17"/>
      <c r="AJ1558" s="205"/>
      <c r="AK1558" s="205"/>
      <c r="AL1558" s="205"/>
      <c r="AM1558" s="205"/>
    </row>
    <row r="1559" spans="24:39" x14ac:dyDescent="0.3">
      <c r="X1559" s="17"/>
      <c r="AI1559" s="17"/>
      <c r="AJ1559" s="205"/>
      <c r="AK1559" s="205"/>
      <c r="AL1559" s="205"/>
      <c r="AM1559" s="205"/>
    </row>
    <row r="1560" spans="24:39" x14ac:dyDescent="0.3">
      <c r="X1560" s="17"/>
      <c r="AI1560" s="17"/>
      <c r="AJ1560" s="205"/>
      <c r="AK1560" s="205"/>
      <c r="AL1560" s="205"/>
      <c r="AM1560" s="205"/>
    </row>
    <row r="1561" spans="24:39" x14ac:dyDescent="0.3">
      <c r="X1561" s="17"/>
      <c r="AI1561" s="17"/>
      <c r="AJ1561" s="205"/>
      <c r="AK1561" s="205"/>
      <c r="AL1561" s="205"/>
      <c r="AM1561" s="205"/>
    </row>
    <row r="1562" spans="24:39" x14ac:dyDescent="0.3">
      <c r="X1562" s="17"/>
      <c r="AI1562" s="17"/>
      <c r="AJ1562" s="205"/>
      <c r="AK1562" s="205"/>
      <c r="AL1562" s="205"/>
      <c r="AM1562" s="205"/>
    </row>
    <row r="1563" spans="24:39" x14ac:dyDescent="0.3">
      <c r="X1563" s="17"/>
      <c r="AI1563" s="17"/>
      <c r="AJ1563" s="205"/>
      <c r="AK1563" s="205"/>
      <c r="AL1563" s="205"/>
      <c r="AM1563" s="205"/>
    </row>
    <row r="1564" spans="24:39" x14ac:dyDescent="0.3">
      <c r="X1564" s="17"/>
      <c r="AI1564" s="17"/>
      <c r="AJ1564" s="205"/>
      <c r="AK1564" s="205"/>
      <c r="AL1564" s="205"/>
      <c r="AM1564" s="205"/>
    </row>
    <row r="1565" spans="24:39" x14ac:dyDescent="0.3">
      <c r="X1565" s="17"/>
      <c r="AI1565" s="17"/>
      <c r="AJ1565" s="205"/>
      <c r="AK1565" s="205"/>
      <c r="AL1565" s="205"/>
      <c r="AM1565" s="205"/>
    </row>
    <row r="1566" spans="24:39" x14ac:dyDescent="0.3">
      <c r="X1566" s="17"/>
      <c r="AI1566" s="17"/>
      <c r="AJ1566" s="205"/>
      <c r="AK1566" s="205"/>
      <c r="AL1566" s="205"/>
      <c r="AM1566" s="205"/>
    </row>
    <row r="1567" spans="24:39" x14ac:dyDescent="0.3">
      <c r="X1567" s="17"/>
      <c r="AI1567" s="17"/>
      <c r="AJ1567" s="205"/>
      <c r="AK1567" s="205"/>
      <c r="AL1567" s="205"/>
      <c r="AM1567" s="205"/>
    </row>
    <row r="1568" spans="24:39" x14ac:dyDescent="0.3">
      <c r="X1568" s="17"/>
      <c r="AI1568" s="17"/>
      <c r="AJ1568" s="205"/>
      <c r="AK1568" s="205"/>
      <c r="AL1568" s="205"/>
      <c r="AM1568" s="205"/>
    </row>
    <row r="1569" spans="24:39" x14ac:dyDescent="0.3">
      <c r="X1569" s="17"/>
      <c r="AI1569" s="17"/>
      <c r="AJ1569" s="205"/>
      <c r="AK1569" s="205"/>
      <c r="AL1569" s="205"/>
      <c r="AM1569" s="205"/>
    </row>
    <row r="1570" spans="24:39" x14ac:dyDescent="0.3">
      <c r="X1570" s="17"/>
      <c r="AI1570" s="17"/>
      <c r="AJ1570" s="205"/>
      <c r="AK1570" s="205"/>
      <c r="AL1570" s="205"/>
      <c r="AM1570" s="205"/>
    </row>
    <row r="1571" spans="24:39" x14ac:dyDescent="0.3">
      <c r="X1571" s="17"/>
      <c r="AI1571" s="17"/>
      <c r="AJ1571" s="205"/>
      <c r="AK1571" s="205"/>
      <c r="AL1571" s="205"/>
      <c r="AM1571" s="205"/>
    </row>
    <row r="1572" spans="24:39" x14ac:dyDescent="0.3">
      <c r="X1572" s="17"/>
      <c r="AI1572" s="17"/>
      <c r="AJ1572" s="205"/>
      <c r="AK1572" s="205"/>
      <c r="AL1572" s="205"/>
      <c r="AM1572" s="205"/>
    </row>
    <row r="1573" spans="24:39" x14ac:dyDescent="0.3">
      <c r="X1573" s="17"/>
      <c r="AI1573" s="17"/>
      <c r="AJ1573" s="205"/>
      <c r="AK1573" s="205"/>
      <c r="AL1573" s="205"/>
      <c r="AM1573" s="205"/>
    </row>
    <row r="1574" spans="24:39" x14ac:dyDescent="0.3">
      <c r="X1574" s="17"/>
      <c r="AI1574" s="17"/>
      <c r="AJ1574" s="205"/>
      <c r="AK1574" s="205"/>
      <c r="AL1574" s="205"/>
      <c r="AM1574" s="205"/>
    </row>
    <row r="1575" spans="24:39" x14ac:dyDescent="0.3">
      <c r="X1575" s="17"/>
      <c r="AI1575" s="17"/>
      <c r="AJ1575" s="205"/>
      <c r="AK1575" s="205"/>
      <c r="AL1575" s="205"/>
      <c r="AM1575" s="205"/>
    </row>
    <row r="1576" spans="24:39" x14ac:dyDescent="0.3">
      <c r="X1576" s="17"/>
      <c r="AI1576" s="17"/>
      <c r="AJ1576" s="205"/>
      <c r="AK1576" s="205"/>
      <c r="AL1576" s="205"/>
      <c r="AM1576" s="205"/>
    </row>
    <row r="1577" spans="24:39" x14ac:dyDescent="0.3">
      <c r="X1577" s="17"/>
      <c r="AI1577" s="17"/>
      <c r="AJ1577" s="205"/>
      <c r="AK1577" s="205"/>
      <c r="AL1577" s="205"/>
      <c r="AM1577" s="205"/>
    </row>
    <row r="1578" spans="24:39" x14ac:dyDescent="0.3">
      <c r="X1578" s="17"/>
      <c r="AI1578" s="17"/>
      <c r="AJ1578" s="205"/>
      <c r="AK1578" s="205"/>
      <c r="AL1578" s="205"/>
      <c r="AM1578" s="205"/>
    </row>
    <row r="1579" spans="24:39" x14ac:dyDescent="0.3">
      <c r="X1579" s="17"/>
      <c r="AI1579" s="17"/>
      <c r="AJ1579" s="205"/>
      <c r="AK1579" s="205"/>
      <c r="AL1579" s="205"/>
      <c r="AM1579" s="205"/>
    </row>
    <row r="1580" spans="24:39" x14ac:dyDescent="0.3">
      <c r="X1580" s="17"/>
      <c r="AI1580" s="17"/>
      <c r="AJ1580" s="205"/>
      <c r="AK1580" s="205"/>
      <c r="AL1580" s="205"/>
      <c r="AM1580" s="205"/>
    </row>
    <row r="1581" spans="24:39" x14ac:dyDescent="0.3">
      <c r="X1581" s="17"/>
      <c r="AI1581" s="17"/>
      <c r="AJ1581" s="205"/>
      <c r="AK1581" s="205"/>
      <c r="AL1581" s="205"/>
      <c r="AM1581" s="205"/>
    </row>
    <row r="1582" spans="24:39" x14ac:dyDescent="0.3">
      <c r="X1582" s="17"/>
      <c r="AI1582" s="17"/>
      <c r="AJ1582" s="205"/>
      <c r="AK1582" s="205"/>
      <c r="AL1582" s="205"/>
      <c r="AM1582" s="205"/>
    </row>
    <row r="1583" spans="24:39" x14ac:dyDescent="0.3">
      <c r="X1583" s="17"/>
      <c r="AI1583" s="17"/>
      <c r="AJ1583" s="205"/>
      <c r="AK1583" s="205"/>
      <c r="AL1583" s="205"/>
      <c r="AM1583" s="205"/>
    </row>
    <row r="1584" spans="24:39" x14ac:dyDescent="0.3">
      <c r="X1584" s="17"/>
      <c r="AI1584" s="17"/>
      <c r="AJ1584" s="205"/>
      <c r="AK1584" s="205"/>
      <c r="AL1584" s="205"/>
      <c r="AM1584" s="205"/>
    </row>
    <row r="1585" spans="24:39" x14ac:dyDescent="0.3">
      <c r="X1585" s="17"/>
      <c r="AI1585" s="17"/>
      <c r="AJ1585" s="205"/>
      <c r="AK1585" s="205"/>
      <c r="AL1585" s="205"/>
      <c r="AM1585" s="205"/>
    </row>
    <row r="1586" spans="24:39" x14ac:dyDescent="0.3">
      <c r="X1586" s="17"/>
      <c r="AI1586" s="17"/>
      <c r="AJ1586" s="205"/>
      <c r="AK1586" s="205"/>
      <c r="AL1586" s="205"/>
      <c r="AM1586" s="205"/>
    </row>
    <row r="1587" spans="24:39" x14ac:dyDescent="0.3">
      <c r="X1587" s="17"/>
      <c r="AI1587" s="17"/>
      <c r="AJ1587" s="205"/>
      <c r="AK1587" s="205"/>
      <c r="AL1587" s="205"/>
      <c r="AM1587" s="205"/>
    </row>
    <row r="1588" spans="24:39" x14ac:dyDescent="0.3">
      <c r="X1588" s="17"/>
      <c r="AI1588" s="17"/>
      <c r="AJ1588" s="205"/>
      <c r="AK1588" s="205"/>
      <c r="AL1588" s="205"/>
      <c r="AM1588" s="205"/>
    </row>
    <row r="1589" spans="24:39" x14ac:dyDescent="0.3">
      <c r="X1589" s="17"/>
      <c r="AI1589" s="17"/>
      <c r="AJ1589" s="205"/>
      <c r="AK1589" s="205"/>
      <c r="AL1589" s="205"/>
      <c r="AM1589" s="205"/>
    </row>
    <row r="1590" spans="24:39" x14ac:dyDescent="0.3">
      <c r="X1590" s="17"/>
      <c r="AI1590" s="17"/>
      <c r="AJ1590" s="205"/>
      <c r="AK1590" s="205"/>
      <c r="AL1590" s="205"/>
      <c r="AM1590" s="205"/>
    </row>
    <row r="1591" spans="24:39" x14ac:dyDescent="0.3">
      <c r="X1591" s="17"/>
      <c r="AI1591" s="17"/>
      <c r="AJ1591" s="205"/>
      <c r="AK1591" s="205"/>
      <c r="AL1591" s="205"/>
      <c r="AM1591" s="205"/>
    </row>
    <row r="1592" spans="24:39" x14ac:dyDescent="0.3">
      <c r="X1592" s="17"/>
      <c r="AI1592" s="17"/>
      <c r="AJ1592" s="205"/>
      <c r="AK1592" s="205"/>
      <c r="AL1592" s="205"/>
      <c r="AM1592" s="205"/>
    </row>
    <row r="1593" spans="24:39" x14ac:dyDescent="0.3">
      <c r="X1593" s="17"/>
      <c r="AI1593" s="17"/>
      <c r="AJ1593" s="205"/>
      <c r="AK1593" s="205"/>
      <c r="AL1593" s="205"/>
      <c r="AM1593" s="205"/>
    </row>
    <row r="1594" spans="24:39" x14ac:dyDescent="0.3">
      <c r="X1594" s="17"/>
      <c r="AI1594" s="17"/>
      <c r="AJ1594" s="205"/>
      <c r="AK1594" s="205"/>
      <c r="AL1594" s="205"/>
      <c r="AM1594" s="205"/>
    </row>
    <row r="1595" spans="24:39" x14ac:dyDescent="0.3">
      <c r="X1595" s="17"/>
      <c r="AI1595" s="17"/>
      <c r="AJ1595" s="205"/>
      <c r="AK1595" s="205"/>
      <c r="AL1595" s="205"/>
      <c r="AM1595" s="205"/>
    </row>
    <row r="1596" spans="24:39" x14ac:dyDescent="0.3">
      <c r="X1596" s="17"/>
      <c r="AI1596" s="17"/>
      <c r="AJ1596" s="205"/>
      <c r="AK1596" s="205"/>
      <c r="AL1596" s="205"/>
      <c r="AM1596" s="205"/>
    </row>
    <row r="1597" spans="24:39" x14ac:dyDescent="0.3">
      <c r="X1597" s="17"/>
      <c r="AI1597" s="17"/>
      <c r="AJ1597" s="205"/>
      <c r="AK1597" s="205"/>
      <c r="AL1597" s="205"/>
      <c r="AM1597" s="205"/>
    </row>
    <row r="1598" spans="24:39" x14ac:dyDescent="0.3">
      <c r="X1598" s="17"/>
      <c r="AI1598" s="17"/>
      <c r="AJ1598" s="205"/>
      <c r="AK1598" s="205"/>
      <c r="AL1598" s="205"/>
      <c r="AM1598" s="205"/>
    </row>
    <row r="1599" spans="24:39" x14ac:dyDescent="0.3">
      <c r="X1599" s="17"/>
      <c r="AI1599" s="17"/>
      <c r="AJ1599" s="205"/>
      <c r="AK1599" s="205"/>
      <c r="AL1599" s="205"/>
      <c r="AM1599" s="205"/>
    </row>
    <row r="1600" spans="24:39" x14ac:dyDescent="0.3">
      <c r="X1600" s="17"/>
      <c r="AI1600" s="17"/>
      <c r="AJ1600" s="205"/>
      <c r="AK1600" s="205"/>
      <c r="AL1600" s="205"/>
      <c r="AM1600" s="205"/>
    </row>
    <row r="1601" spans="24:39" x14ac:dyDescent="0.3">
      <c r="X1601" s="17"/>
      <c r="AI1601" s="17"/>
      <c r="AJ1601" s="205"/>
      <c r="AK1601" s="205"/>
      <c r="AL1601" s="205"/>
      <c r="AM1601" s="205"/>
    </row>
    <row r="1602" spans="24:39" x14ac:dyDescent="0.3">
      <c r="X1602" s="17"/>
      <c r="AI1602" s="17"/>
      <c r="AJ1602" s="205"/>
      <c r="AK1602" s="205"/>
      <c r="AL1602" s="205"/>
      <c r="AM1602" s="205"/>
    </row>
    <row r="1603" spans="24:39" x14ac:dyDescent="0.3">
      <c r="X1603" s="17"/>
      <c r="AI1603" s="17"/>
      <c r="AJ1603" s="205"/>
      <c r="AK1603" s="205"/>
      <c r="AL1603" s="205"/>
      <c r="AM1603" s="205"/>
    </row>
    <row r="1604" spans="24:39" x14ac:dyDescent="0.3">
      <c r="X1604" s="17"/>
      <c r="AI1604" s="17"/>
      <c r="AJ1604" s="205"/>
      <c r="AK1604" s="205"/>
      <c r="AL1604" s="205"/>
      <c r="AM1604" s="205"/>
    </row>
    <row r="1605" spans="24:39" x14ac:dyDescent="0.3">
      <c r="X1605" s="17"/>
      <c r="AI1605" s="17"/>
      <c r="AJ1605" s="205"/>
      <c r="AK1605" s="205"/>
      <c r="AL1605" s="205"/>
      <c r="AM1605" s="205"/>
    </row>
    <row r="1606" spans="24:39" x14ac:dyDescent="0.3">
      <c r="X1606" s="17"/>
      <c r="AI1606" s="17"/>
      <c r="AJ1606" s="205"/>
      <c r="AK1606" s="205"/>
      <c r="AL1606" s="205"/>
      <c r="AM1606" s="205"/>
    </row>
    <row r="1607" spans="24:39" x14ac:dyDescent="0.3">
      <c r="X1607" s="17"/>
      <c r="AI1607" s="17"/>
      <c r="AJ1607" s="205"/>
      <c r="AK1607" s="205"/>
      <c r="AL1607" s="205"/>
      <c r="AM1607" s="205"/>
    </row>
    <row r="1608" spans="24:39" x14ac:dyDescent="0.3">
      <c r="X1608" s="17"/>
      <c r="AI1608" s="17"/>
      <c r="AJ1608" s="205"/>
      <c r="AK1608" s="205"/>
      <c r="AL1608" s="205"/>
      <c r="AM1608" s="205"/>
    </row>
    <row r="1609" spans="24:39" x14ac:dyDescent="0.3">
      <c r="X1609" s="17"/>
      <c r="AI1609" s="17"/>
      <c r="AJ1609" s="205"/>
      <c r="AK1609" s="205"/>
      <c r="AL1609" s="205"/>
      <c r="AM1609" s="205"/>
    </row>
    <row r="1610" spans="24:39" x14ac:dyDescent="0.3">
      <c r="X1610" s="17"/>
      <c r="AI1610" s="17"/>
      <c r="AJ1610" s="205"/>
      <c r="AK1610" s="205"/>
      <c r="AL1610" s="205"/>
      <c r="AM1610" s="205"/>
    </row>
    <row r="1611" spans="24:39" x14ac:dyDescent="0.3">
      <c r="X1611" s="17"/>
      <c r="AI1611" s="17"/>
      <c r="AJ1611" s="205"/>
      <c r="AK1611" s="205"/>
      <c r="AL1611" s="205"/>
      <c r="AM1611" s="205"/>
    </row>
    <row r="1612" spans="24:39" x14ac:dyDescent="0.3">
      <c r="X1612" s="17"/>
      <c r="AI1612" s="17"/>
      <c r="AJ1612" s="205"/>
      <c r="AK1612" s="205"/>
      <c r="AL1612" s="205"/>
      <c r="AM1612" s="205"/>
    </row>
    <row r="1613" spans="24:39" x14ac:dyDescent="0.3">
      <c r="X1613" s="17"/>
      <c r="AI1613" s="17"/>
      <c r="AJ1613" s="205"/>
      <c r="AK1613" s="205"/>
      <c r="AL1613" s="205"/>
      <c r="AM1613" s="205"/>
    </row>
    <row r="1614" spans="24:39" x14ac:dyDescent="0.3">
      <c r="X1614" s="17"/>
      <c r="AI1614" s="17"/>
      <c r="AJ1614" s="205"/>
      <c r="AK1614" s="205"/>
      <c r="AL1614" s="205"/>
      <c r="AM1614" s="205"/>
    </row>
    <row r="1615" spans="24:39" x14ac:dyDescent="0.3">
      <c r="X1615" s="17"/>
      <c r="AI1615" s="17"/>
      <c r="AJ1615" s="205"/>
      <c r="AK1615" s="205"/>
      <c r="AL1615" s="205"/>
      <c r="AM1615" s="205"/>
    </row>
    <row r="1616" spans="24:39" x14ac:dyDescent="0.3">
      <c r="X1616" s="17"/>
      <c r="AI1616" s="17"/>
      <c r="AJ1616" s="205"/>
      <c r="AK1616" s="205"/>
      <c r="AL1616" s="205"/>
      <c r="AM1616" s="205"/>
    </row>
    <row r="1617" spans="24:39" x14ac:dyDescent="0.3">
      <c r="X1617" s="17"/>
      <c r="AI1617" s="17"/>
      <c r="AJ1617" s="205"/>
      <c r="AK1617" s="205"/>
      <c r="AL1617" s="205"/>
      <c r="AM1617" s="205"/>
    </row>
    <row r="1618" spans="24:39" x14ac:dyDescent="0.3">
      <c r="X1618" s="17"/>
      <c r="AI1618" s="17"/>
      <c r="AJ1618" s="205"/>
      <c r="AK1618" s="205"/>
      <c r="AL1618" s="205"/>
      <c r="AM1618" s="205"/>
    </row>
    <row r="1619" spans="24:39" x14ac:dyDescent="0.3">
      <c r="X1619" s="17"/>
      <c r="AI1619" s="17"/>
      <c r="AJ1619" s="205"/>
      <c r="AK1619" s="205"/>
      <c r="AL1619" s="205"/>
      <c r="AM1619" s="205"/>
    </row>
    <row r="1620" spans="24:39" x14ac:dyDescent="0.3">
      <c r="X1620" s="17"/>
      <c r="AI1620" s="17"/>
      <c r="AJ1620" s="205"/>
      <c r="AK1620" s="205"/>
      <c r="AL1620" s="205"/>
      <c r="AM1620" s="205"/>
    </row>
    <row r="1621" spans="24:39" x14ac:dyDescent="0.3">
      <c r="X1621" s="17"/>
      <c r="AI1621" s="17"/>
      <c r="AJ1621" s="205"/>
      <c r="AK1621" s="205"/>
      <c r="AL1621" s="205"/>
      <c r="AM1621" s="205"/>
    </row>
    <row r="1622" spans="24:39" x14ac:dyDescent="0.3">
      <c r="X1622" s="17"/>
      <c r="AI1622" s="17"/>
      <c r="AJ1622" s="205"/>
      <c r="AK1622" s="205"/>
      <c r="AL1622" s="205"/>
      <c r="AM1622" s="205"/>
    </row>
    <row r="1623" spans="24:39" x14ac:dyDescent="0.3">
      <c r="X1623" s="17"/>
      <c r="AI1623" s="17"/>
      <c r="AJ1623" s="205"/>
      <c r="AK1623" s="205"/>
      <c r="AL1623" s="205"/>
      <c r="AM1623" s="205"/>
    </row>
    <row r="1624" spans="24:39" x14ac:dyDescent="0.3">
      <c r="X1624" s="17"/>
      <c r="AI1624" s="17"/>
      <c r="AJ1624" s="205"/>
      <c r="AK1624" s="205"/>
      <c r="AL1624" s="205"/>
      <c r="AM1624" s="205"/>
    </row>
    <row r="1625" spans="24:39" x14ac:dyDescent="0.3">
      <c r="X1625" s="17"/>
      <c r="AI1625" s="17"/>
      <c r="AJ1625" s="205"/>
      <c r="AK1625" s="205"/>
      <c r="AL1625" s="205"/>
      <c r="AM1625" s="205"/>
    </row>
    <row r="1626" spans="24:39" x14ac:dyDescent="0.3">
      <c r="X1626" s="17"/>
      <c r="AI1626" s="17"/>
      <c r="AJ1626" s="205"/>
      <c r="AK1626" s="205"/>
      <c r="AL1626" s="205"/>
      <c r="AM1626" s="205"/>
    </row>
    <row r="1627" spans="24:39" x14ac:dyDescent="0.3">
      <c r="X1627" s="17"/>
      <c r="AI1627" s="17"/>
      <c r="AJ1627" s="205"/>
      <c r="AK1627" s="205"/>
      <c r="AL1627" s="205"/>
      <c r="AM1627" s="205"/>
    </row>
    <row r="1628" spans="24:39" x14ac:dyDescent="0.3">
      <c r="X1628" s="17"/>
      <c r="AI1628" s="17"/>
      <c r="AJ1628" s="205"/>
      <c r="AK1628" s="205"/>
      <c r="AL1628" s="205"/>
      <c r="AM1628" s="205"/>
    </row>
    <row r="1629" spans="24:39" x14ac:dyDescent="0.3">
      <c r="X1629" s="17"/>
      <c r="AI1629" s="17"/>
      <c r="AJ1629" s="205"/>
      <c r="AK1629" s="205"/>
      <c r="AL1629" s="205"/>
      <c r="AM1629" s="205"/>
    </row>
    <row r="1630" spans="24:39" x14ac:dyDescent="0.3">
      <c r="X1630" s="17"/>
      <c r="AI1630" s="17"/>
      <c r="AJ1630" s="205"/>
      <c r="AK1630" s="205"/>
      <c r="AL1630" s="205"/>
      <c r="AM1630" s="205"/>
    </row>
    <row r="1631" spans="24:39" x14ac:dyDescent="0.3">
      <c r="X1631" s="17"/>
      <c r="AI1631" s="17"/>
      <c r="AJ1631" s="205"/>
      <c r="AK1631" s="205"/>
      <c r="AL1631" s="205"/>
      <c r="AM1631" s="205"/>
    </row>
    <row r="1632" spans="24:39" x14ac:dyDescent="0.3">
      <c r="X1632" s="17"/>
      <c r="AI1632" s="17"/>
      <c r="AJ1632" s="205"/>
      <c r="AK1632" s="205"/>
      <c r="AL1632" s="205"/>
      <c r="AM1632" s="205"/>
    </row>
    <row r="1633" spans="24:39" x14ac:dyDescent="0.3">
      <c r="X1633" s="17"/>
      <c r="AI1633" s="17"/>
      <c r="AJ1633" s="205"/>
      <c r="AK1633" s="205"/>
      <c r="AL1633" s="205"/>
      <c r="AM1633" s="205"/>
    </row>
    <row r="1634" spans="24:39" x14ac:dyDescent="0.3">
      <c r="X1634" s="17"/>
      <c r="AI1634" s="17"/>
      <c r="AJ1634" s="205"/>
      <c r="AK1634" s="205"/>
      <c r="AL1634" s="205"/>
      <c r="AM1634" s="205"/>
    </row>
    <row r="1635" spans="24:39" x14ac:dyDescent="0.3">
      <c r="X1635" s="17"/>
      <c r="AI1635" s="17"/>
      <c r="AJ1635" s="205"/>
      <c r="AK1635" s="205"/>
      <c r="AL1635" s="205"/>
      <c r="AM1635" s="205"/>
    </row>
    <row r="1636" spans="24:39" x14ac:dyDescent="0.3">
      <c r="X1636" s="17"/>
      <c r="AI1636" s="17"/>
      <c r="AJ1636" s="205"/>
      <c r="AK1636" s="205"/>
      <c r="AL1636" s="205"/>
      <c r="AM1636" s="205"/>
    </row>
    <row r="1637" spans="24:39" x14ac:dyDescent="0.3">
      <c r="X1637" s="17"/>
      <c r="AI1637" s="17"/>
      <c r="AJ1637" s="205"/>
      <c r="AK1637" s="205"/>
      <c r="AL1637" s="205"/>
      <c r="AM1637" s="205"/>
    </row>
    <row r="1638" spans="24:39" x14ac:dyDescent="0.3">
      <c r="X1638" s="17"/>
      <c r="AI1638" s="17"/>
      <c r="AJ1638" s="205"/>
      <c r="AK1638" s="205"/>
      <c r="AL1638" s="205"/>
      <c r="AM1638" s="205"/>
    </row>
    <row r="1639" spans="24:39" x14ac:dyDescent="0.3">
      <c r="X1639" s="17"/>
      <c r="AI1639" s="17"/>
      <c r="AJ1639" s="205"/>
      <c r="AK1639" s="205"/>
      <c r="AL1639" s="205"/>
      <c r="AM1639" s="205"/>
    </row>
    <row r="1640" spans="24:39" x14ac:dyDescent="0.3">
      <c r="X1640" s="17"/>
      <c r="AI1640" s="17"/>
      <c r="AJ1640" s="205"/>
      <c r="AK1640" s="205"/>
      <c r="AL1640" s="205"/>
      <c r="AM1640" s="205"/>
    </row>
    <row r="1641" spans="24:39" x14ac:dyDescent="0.3">
      <c r="X1641" s="17"/>
      <c r="AI1641" s="17"/>
      <c r="AJ1641" s="205"/>
      <c r="AK1641" s="205"/>
      <c r="AL1641" s="205"/>
      <c r="AM1641" s="205"/>
    </row>
    <row r="1642" spans="24:39" x14ac:dyDescent="0.3">
      <c r="X1642" s="17"/>
      <c r="AI1642" s="17"/>
      <c r="AJ1642" s="205"/>
      <c r="AK1642" s="205"/>
      <c r="AL1642" s="205"/>
      <c r="AM1642" s="205"/>
    </row>
    <row r="1643" spans="24:39" x14ac:dyDescent="0.3">
      <c r="X1643" s="17"/>
      <c r="AI1643" s="17"/>
      <c r="AJ1643" s="205"/>
      <c r="AK1643" s="205"/>
      <c r="AL1643" s="205"/>
      <c r="AM1643" s="205"/>
    </row>
    <row r="1644" spans="24:39" x14ac:dyDescent="0.3">
      <c r="X1644" s="17"/>
      <c r="AI1644" s="17"/>
      <c r="AJ1644" s="205"/>
      <c r="AK1644" s="205"/>
      <c r="AL1644" s="205"/>
      <c r="AM1644" s="205"/>
    </row>
    <row r="1645" spans="24:39" x14ac:dyDescent="0.3">
      <c r="X1645" s="17"/>
      <c r="AI1645" s="17"/>
      <c r="AJ1645" s="205"/>
      <c r="AK1645" s="205"/>
      <c r="AL1645" s="205"/>
      <c r="AM1645" s="205"/>
    </row>
    <row r="1646" spans="24:39" x14ac:dyDescent="0.3">
      <c r="X1646" s="17"/>
      <c r="AI1646" s="17"/>
      <c r="AJ1646" s="205"/>
      <c r="AK1646" s="205"/>
      <c r="AL1646" s="205"/>
      <c r="AM1646" s="205"/>
    </row>
    <row r="1647" spans="24:39" x14ac:dyDescent="0.3">
      <c r="X1647" s="17"/>
      <c r="AI1647" s="17"/>
      <c r="AJ1647" s="205"/>
      <c r="AK1647" s="205"/>
      <c r="AL1647" s="205"/>
      <c r="AM1647" s="205"/>
    </row>
    <row r="1648" spans="24:39" x14ac:dyDescent="0.3">
      <c r="X1648" s="17"/>
      <c r="AI1648" s="17"/>
      <c r="AJ1648" s="205"/>
      <c r="AK1648" s="205"/>
      <c r="AL1648" s="205"/>
      <c r="AM1648" s="205"/>
    </row>
    <row r="1649" spans="24:39" x14ac:dyDescent="0.3">
      <c r="X1649" s="17"/>
      <c r="AI1649" s="17"/>
      <c r="AJ1649" s="205"/>
      <c r="AK1649" s="205"/>
      <c r="AL1649" s="205"/>
      <c r="AM1649" s="205"/>
    </row>
    <row r="1650" spans="24:39" x14ac:dyDescent="0.3">
      <c r="X1650" s="17"/>
      <c r="AI1650" s="17"/>
      <c r="AJ1650" s="205"/>
      <c r="AK1650" s="205"/>
      <c r="AL1650" s="205"/>
      <c r="AM1650" s="205"/>
    </row>
    <row r="1651" spans="24:39" x14ac:dyDescent="0.3">
      <c r="X1651" s="17"/>
      <c r="AI1651" s="17"/>
      <c r="AJ1651" s="205"/>
      <c r="AK1651" s="205"/>
      <c r="AL1651" s="205"/>
      <c r="AM1651" s="205"/>
    </row>
    <row r="1652" spans="24:39" x14ac:dyDescent="0.3">
      <c r="X1652" s="17"/>
      <c r="AI1652" s="17"/>
      <c r="AJ1652" s="205"/>
      <c r="AK1652" s="205"/>
      <c r="AL1652" s="205"/>
      <c r="AM1652" s="205"/>
    </row>
    <row r="1653" spans="24:39" x14ac:dyDescent="0.3">
      <c r="X1653" s="17"/>
      <c r="AI1653" s="17"/>
      <c r="AJ1653" s="205"/>
      <c r="AK1653" s="205"/>
      <c r="AL1653" s="205"/>
      <c r="AM1653" s="205"/>
    </row>
    <row r="1654" spans="24:39" x14ac:dyDescent="0.3">
      <c r="X1654" s="17"/>
      <c r="AI1654" s="17"/>
      <c r="AJ1654" s="205"/>
      <c r="AK1654" s="205"/>
      <c r="AL1654" s="205"/>
      <c r="AM1654" s="205"/>
    </row>
    <row r="1655" spans="24:39" x14ac:dyDescent="0.3">
      <c r="X1655" s="17"/>
      <c r="AI1655" s="17"/>
      <c r="AJ1655" s="205"/>
      <c r="AK1655" s="205"/>
      <c r="AL1655" s="205"/>
      <c r="AM1655" s="205"/>
    </row>
    <row r="1656" spans="24:39" x14ac:dyDescent="0.3">
      <c r="X1656" s="17"/>
      <c r="AI1656" s="17"/>
      <c r="AJ1656" s="205"/>
      <c r="AK1656" s="205"/>
      <c r="AL1656" s="205"/>
      <c r="AM1656" s="205"/>
    </row>
    <row r="1657" spans="24:39" x14ac:dyDescent="0.3">
      <c r="X1657" s="17"/>
      <c r="AI1657" s="17"/>
      <c r="AJ1657" s="205"/>
      <c r="AK1657" s="205"/>
      <c r="AL1657" s="205"/>
      <c r="AM1657" s="205"/>
    </row>
    <row r="1658" spans="24:39" x14ac:dyDescent="0.3">
      <c r="X1658" s="17"/>
      <c r="AI1658" s="17"/>
      <c r="AJ1658" s="205"/>
      <c r="AK1658" s="205"/>
      <c r="AL1658" s="205"/>
      <c r="AM1658" s="205"/>
    </row>
    <row r="1659" spans="24:39" x14ac:dyDescent="0.3">
      <c r="X1659" s="17"/>
      <c r="AI1659" s="17"/>
      <c r="AJ1659" s="205"/>
      <c r="AK1659" s="205"/>
      <c r="AL1659" s="205"/>
      <c r="AM1659" s="205"/>
    </row>
    <row r="1660" spans="24:39" x14ac:dyDescent="0.3">
      <c r="X1660" s="17"/>
      <c r="AI1660" s="17"/>
      <c r="AJ1660" s="205"/>
      <c r="AK1660" s="205"/>
      <c r="AL1660" s="205"/>
      <c r="AM1660" s="205"/>
    </row>
    <row r="1661" spans="24:39" x14ac:dyDescent="0.3">
      <c r="X1661" s="17"/>
      <c r="AI1661" s="17"/>
      <c r="AJ1661" s="205"/>
      <c r="AK1661" s="205"/>
      <c r="AL1661" s="205"/>
      <c r="AM1661" s="205"/>
    </row>
    <row r="1662" spans="24:39" x14ac:dyDescent="0.3">
      <c r="X1662" s="17"/>
      <c r="AI1662" s="17"/>
      <c r="AJ1662" s="205"/>
      <c r="AK1662" s="205"/>
      <c r="AL1662" s="205"/>
      <c r="AM1662" s="205"/>
    </row>
    <row r="1663" spans="24:39" x14ac:dyDescent="0.3">
      <c r="X1663" s="17"/>
      <c r="AI1663" s="17"/>
      <c r="AJ1663" s="205"/>
      <c r="AK1663" s="205"/>
      <c r="AL1663" s="205"/>
      <c r="AM1663" s="205"/>
    </row>
    <row r="1664" spans="24:39" x14ac:dyDescent="0.3">
      <c r="X1664" s="17"/>
      <c r="AI1664" s="17"/>
      <c r="AJ1664" s="205"/>
      <c r="AK1664" s="205"/>
      <c r="AL1664" s="205"/>
      <c r="AM1664" s="205"/>
    </row>
    <row r="1665" spans="24:39" x14ac:dyDescent="0.3">
      <c r="X1665" s="17"/>
      <c r="AI1665" s="17"/>
      <c r="AJ1665" s="205"/>
      <c r="AK1665" s="205"/>
      <c r="AL1665" s="205"/>
      <c r="AM1665" s="205"/>
    </row>
    <row r="1666" spans="24:39" x14ac:dyDescent="0.3">
      <c r="X1666" s="17"/>
      <c r="AI1666" s="17"/>
      <c r="AJ1666" s="205"/>
      <c r="AK1666" s="205"/>
      <c r="AL1666" s="205"/>
      <c r="AM1666" s="205"/>
    </row>
    <row r="1667" spans="24:39" x14ac:dyDescent="0.3">
      <c r="X1667" s="17"/>
      <c r="AI1667" s="17"/>
      <c r="AJ1667" s="205"/>
      <c r="AK1667" s="205"/>
      <c r="AL1667" s="205"/>
      <c r="AM1667" s="205"/>
    </row>
    <row r="1668" spans="24:39" x14ac:dyDescent="0.3">
      <c r="X1668" s="17"/>
      <c r="AI1668" s="17"/>
      <c r="AJ1668" s="205"/>
      <c r="AK1668" s="205"/>
      <c r="AL1668" s="205"/>
      <c r="AM1668" s="205"/>
    </row>
    <row r="1669" spans="24:39" x14ac:dyDescent="0.3">
      <c r="X1669" s="17"/>
      <c r="AI1669" s="17"/>
      <c r="AJ1669" s="205"/>
      <c r="AK1669" s="205"/>
      <c r="AL1669" s="205"/>
      <c r="AM1669" s="205"/>
    </row>
    <row r="1670" spans="24:39" x14ac:dyDescent="0.3">
      <c r="X1670" s="17"/>
      <c r="AI1670" s="17"/>
      <c r="AJ1670" s="205"/>
      <c r="AK1670" s="205"/>
      <c r="AL1670" s="205"/>
      <c r="AM1670" s="205"/>
    </row>
    <row r="1671" spans="24:39" x14ac:dyDescent="0.3">
      <c r="X1671" s="17"/>
      <c r="AI1671" s="17"/>
      <c r="AJ1671" s="205"/>
      <c r="AK1671" s="205"/>
      <c r="AL1671" s="205"/>
      <c r="AM1671" s="205"/>
    </row>
    <row r="1672" spans="24:39" x14ac:dyDescent="0.3">
      <c r="X1672" s="17"/>
      <c r="AI1672" s="17"/>
      <c r="AJ1672" s="205"/>
      <c r="AK1672" s="205"/>
      <c r="AL1672" s="205"/>
      <c r="AM1672" s="205"/>
    </row>
    <row r="1673" spans="24:39" x14ac:dyDescent="0.3">
      <c r="X1673" s="17"/>
      <c r="AI1673" s="17"/>
      <c r="AJ1673" s="205"/>
      <c r="AK1673" s="205"/>
      <c r="AL1673" s="205"/>
      <c r="AM1673" s="205"/>
    </row>
    <row r="1674" spans="24:39" x14ac:dyDescent="0.3">
      <c r="X1674" s="17"/>
      <c r="AI1674" s="17"/>
      <c r="AJ1674" s="205"/>
      <c r="AK1674" s="205"/>
      <c r="AL1674" s="205"/>
      <c r="AM1674" s="205"/>
    </row>
    <row r="1675" spans="24:39" x14ac:dyDescent="0.3">
      <c r="X1675" s="17"/>
      <c r="AI1675" s="17"/>
      <c r="AJ1675" s="205"/>
      <c r="AK1675" s="205"/>
      <c r="AL1675" s="205"/>
      <c r="AM1675" s="205"/>
    </row>
    <row r="1676" spans="24:39" x14ac:dyDescent="0.3">
      <c r="X1676" s="17"/>
      <c r="AI1676" s="17"/>
      <c r="AJ1676" s="205"/>
      <c r="AK1676" s="205"/>
      <c r="AL1676" s="205"/>
      <c r="AM1676" s="205"/>
    </row>
    <row r="1677" spans="24:39" x14ac:dyDescent="0.3">
      <c r="X1677" s="17"/>
      <c r="AI1677" s="17"/>
      <c r="AJ1677" s="205"/>
      <c r="AK1677" s="205"/>
      <c r="AL1677" s="205"/>
      <c r="AM1677" s="205"/>
    </row>
    <row r="1678" spans="24:39" x14ac:dyDescent="0.3">
      <c r="X1678" s="17"/>
      <c r="AI1678" s="17"/>
      <c r="AJ1678" s="205"/>
      <c r="AK1678" s="205"/>
      <c r="AL1678" s="205"/>
      <c r="AM1678" s="205"/>
    </row>
    <row r="1679" spans="24:39" x14ac:dyDescent="0.3">
      <c r="X1679" s="17"/>
      <c r="AI1679" s="17"/>
      <c r="AJ1679" s="205"/>
      <c r="AK1679" s="205"/>
      <c r="AL1679" s="205"/>
      <c r="AM1679" s="205"/>
    </row>
    <row r="1680" spans="24:39" x14ac:dyDescent="0.3">
      <c r="X1680" s="17"/>
      <c r="AI1680" s="17"/>
      <c r="AJ1680" s="205"/>
      <c r="AK1680" s="205"/>
      <c r="AL1680" s="205"/>
      <c r="AM1680" s="205"/>
    </row>
    <row r="1681" spans="24:39" x14ac:dyDescent="0.3">
      <c r="X1681" s="17"/>
      <c r="AI1681" s="17"/>
      <c r="AJ1681" s="205"/>
      <c r="AK1681" s="205"/>
      <c r="AL1681" s="205"/>
      <c r="AM1681" s="205"/>
    </row>
    <row r="1682" spans="24:39" x14ac:dyDescent="0.3">
      <c r="X1682" s="17"/>
      <c r="AI1682" s="17"/>
      <c r="AJ1682" s="205"/>
      <c r="AK1682" s="205"/>
      <c r="AL1682" s="205"/>
      <c r="AM1682" s="205"/>
    </row>
    <row r="1683" spans="24:39" x14ac:dyDescent="0.3">
      <c r="X1683" s="17"/>
      <c r="AI1683" s="17"/>
      <c r="AJ1683" s="205"/>
      <c r="AK1683" s="205"/>
      <c r="AL1683" s="205"/>
      <c r="AM1683" s="205"/>
    </row>
    <row r="1684" spans="24:39" x14ac:dyDescent="0.3">
      <c r="X1684" s="17"/>
      <c r="AI1684" s="17"/>
      <c r="AJ1684" s="205"/>
      <c r="AK1684" s="205"/>
      <c r="AL1684" s="205"/>
      <c r="AM1684" s="205"/>
    </row>
    <row r="1685" spans="24:39" x14ac:dyDescent="0.3">
      <c r="X1685" s="17"/>
      <c r="AI1685" s="17"/>
      <c r="AJ1685" s="205"/>
      <c r="AK1685" s="205"/>
      <c r="AL1685" s="205"/>
      <c r="AM1685" s="205"/>
    </row>
    <row r="1686" spans="24:39" x14ac:dyDescent="0.3">
      <c r="X1686" s="17"/>
      <c r="AI1686" s="17"/>
      <c r="AJ1686" s="205"/>
      <c r="AK1686" s="205"/>
      <c r="AL1686" s="205"/>
      <c r="AM1686" s="205"/>
    </row>
    <row r="1687" spans="24:39" x14ac:dyDescent="0.3">
      <c r="X1687" s="17"/>
      <c r="AI1687" s="17"/>
      <c r="AJ1687" s="205"/>
      <c r="AK1687" s="205"/>
      <c r="AL1687" s="205"/>
      <c r="AM1687" s="205"/>
    </row>
    <row r="1688" spans="24:39" x14ac:dyDescent="0.3">
      <c r="X1688" s="17"/>
      <c r="AI1688" s="17"/>
      <c r="AJ1688" s="205"/>
      <c r="AK1688" s="205"/>
      <c r="AL1688" s="205"/>
      <c r="AM1688" s="205"/>
    </row>
    <row r="1689" spans="24:39" x14ac:dyDescent="0.3">
      <c r="X1689" s="17"/>
      <c r="AI1689" s="17"/>
      <c r="AJ1689" s="205"/>
      <c r="AK1689" s="205"/>
      <c r="AL1689" s="205"/>
      <c r="AM1689" s="205"/>
    </row>
    <row r="1690" spans="24:39" x14ac:dyDescent="0.3">
      <c r="X1690" s="17"/>
      <c r="AI1690" s="17"/>
      <c r="AJ1690" s="205"/>
      <c r="AK1690" s="205"/>
      <c r="AL1690" s="205"/>
      <c r="AM1690" s="205"/>
    </row>
    <row r="1691" spans="24:39" x14ac:dyDescent="0.3">
      <c r="X1691" s="17"/>
      <c r="AI1691" s="17"/>
      <c r="AJ1691" s="205"/>
      <c r="AK1691" s="205"/>
      <c r="AL1691" s="205"/>
      <c r="AM1691" s="205"/>
    </row>
    <row r="1692" spans="24:39" x14ac:dyDescent="0.3">
      <c r="X1692" s="17"/>
      <c r="AI1692" s="17"/>
      <c r="AJ1692" s="205"/>
      <c r="AK1692" s="205"/>
      <c r="AL1692" s="205"/>
      <c r="AM1692" s="205"/>
    </row>
    <row r="1693" spans="24:39" x14ac:dyDescent="0.3">
      <c r="X1693" s="17"/>
      <c r="AI1693" s="17"/>
      <c r="AJ1693" s="205"/>
      <c r="AK1693" s="205"/>
      <c r="AL1693" s="205"/>
      <c r="AM1693" s="205"/>
    </row>
    <row r="1694" spans="24:39" x14ac:dyDescent="0.3">
      <c r="X1694" s="17"/>
      <c r="AI1694" s="17"/>
      <c r="AJ1694" s="205"/>
      <c r="AK1694" s="205"/>
      <c r="AL1694" s="205"/>
      <c r="AM1694" s="205"/>
    </row>
    <row r="1695" spans="24:39" x14ac:dyDescent="0.3">
      <c r="X1695" s="17"/>
      <c r="AI1695" s="17"/>
      <c r="AJ1695" s="205"/>
      <c r="AK1695" s="205"/>
      <c r="AL1695" s="205"/>
      <c r="AM1695" s="205"/>
    </row>
    <row r="1696" spans="24:39" x14ac:dyDescent="0.3">
      <c r="X1696" s="17"/>
      <c r="AI1696" s="17"/>
      <c r="AJ1696" s="205"/>
      <c r="AK1696" s="205"/>
      <c r="AL1696" s="205"/>
      <c r="AM1696" s="205"/>
    </row>
    <row r="1697" spans="24:39" x14ac:dyDescent="0.3">
      <c r="X1697" s="17"/>
      <c r="AI1697" s="17"/>
      <c r="AJ1697" s="205"/>
      <c r="AK1697" s="205"/>
      <c r="AL1697" s="205"/>
      <c r="AM1697" s="205"/>
    </row>
    <row r="1698" spans="24:39" x14ac:dyDescent="0.3">
      <c r="X1698" s="17"/>
      <c r="AI1698" s="17"/>
      <c r="AJ1698" s="205"/>
      <c r="AK1698" s="205"/>
      <c r="AL1698" s="205"/>
      <c r="AM1698" s="205"/>
    </row>
    <row r="1699" spans="24:39" x14ac:dyDescent="0.3">
      <c r="X1699" s="17"/>
      <c r="AI1699" s="17"/>
      <c r="AJ1699" s="205"/>
      <c r="AK1699" s="205"/>
      <c r="AL1699" s="205"/>
      <c r="AM1699" s="205"/>
    </row>
    <row r="1700" spans="24:39" x14ac:dyDescent="0.3">
      <c r="X1700" s="17"/>
      <c r="AI1700" s="17"/>
      <c r="AJ1700" s="205"/>
      <c r="AK1700" s="205"/>
      <c r="AL1700" s="205"/>
      <c r="AM1700" s="205"/>
    </row>
    <row r="1701" spans="24:39" x14ac:dyDescent="0.3">
      <c r="X1701" s="17"/>
      <c r="AI1701" s="17"/>
      <c r="AJ1701" s="205"/>
      <c r="AK1701" s="205"/>
      <c r="AL1701" s="205"/>
      <c r="AM1701" s="205"/>
    </row>
    <row r="1702" spans="24:39" x14ac:dyDescent="0.3">
      <c r="X1702" s="17"/>
      <c r="AI1702" s="17"/>
      <c r="AJ1702" s="205"/>
      <c r="AK1702" s="205"/>
      <c r="AL1702" s="205"/>
      <c r="AM1702" s="205"/>
    </row>
    <row r="1703" spans="24:39" x14ac:dyDescent="0.3">
      <c r="X1703" s="17"/>
      <c r="AI1703" s="17"/>
      <c r="AJ1703" s="205"/>
      <c r="AK1703" s="205"/>
      <c r="AL1703" s="205"/>
      <c r="AM1703" s="205"/>
    </row>
    <row r="1704" spans="24:39" x14ac:dyDescent="0.3">
      <c r="X1704" s="17"/>
      <c r="AI1704" s="17"/>
      <c r="AJ1704" s="205"/>
      <c r="AK1704" s="205"/>
      <c r="AL1704" s="205"/>
      <c r="AM1704" s="205"/>
    </row>
    <row r="1705" spans="24:39" x14ac:dyDescent="0.3">
      <c r="X1705" s="17"/>
      <c r="AI1705" s="17"/>
      <c r="AJ1705" s="205"/>
      <c r="AK1705" s="205"/>
      <c r="AL1705" s="205"/>
      <c r="AM1705" s="205"/>
    </row>
    <row r="1706" spans="24:39" x14ac:dyDescent="0.3">
      <c r="X1706" s="17"/>
      <c r="AI1706" s="17"/>
      <c r="AJ1706" s="205"/>
      <c r="AK1706" s="205"/>
      <c r="AL1706" s="205"/>
      <c r="AM1706" s="205"/>
    </row>
    <row r="1707" spans="24:39" x14ac:dyDescent="0.3">
      <c r="X1707" s="17"/>
      <c r="AI1707" s="17"/>
      <c r="AJ1707" s="205"/>
      <c r="AK1707" s="205"/>
      <c r="AL1707" s="205"/>
      <c r="AM1707" s="205"/>
    </row>
    <row r="1708" spans="24:39" x14ac:dyDescent="0.3">
      <c r="X1708" s="17"/>
      <c r="AI1708" s="17"/>
      <c r="AJ1708" s="205"/>
      <c r="AK1708" s="205"/>
      <c r="AL1708" s="205"/>
      <c r="AM1708" s="205"/>
    </row>
    <row r="1709" spans="24:39" x14ac:dyDescent="0.3">
      <c r="X1709" s="17"/>
      <c r="AI1709" s="17"/>
      <c r="AJ1709" s="205"/>
      <c r="AK1709" s="205"/>
      <c r="AL1709" s="205"/>
      <c r="AM1709" s="205"/>
    </row>
    <row r="1710" spans="24:39" x14ac:dyDescent="0.3">
      <c r="X1710" s="17"/>
      <c r="AI1710" s="17"/>
      <c r="AJ1710" s="205"/>
      <c r="AK1710" s="205"/>
      <c r="AL1710" s="205"/>
      <c r="AM1710" s="205"/>
    </row>
    <row r="1711" spans="24:39" x14ac:dyDescent="0.3">
      <c r="X1711" s="17"/>
      <c r="AI1711" s="17"/>
      <c r="AJ1711" s="205"/>
      <c r="AK1711" s="205"/>
      <c r="AL1711" s="205"/>
      <c r="AM1711" s="205"/>
    </row>
    <row r="1712" spans="24:39" x14ac:dyDescent="0.3">
      <c r="X1712" s="17"/>
      <c r="AI1712" s="17"/>
      <c r="AJ1712" s="205"/>
      <c r="AK1712" s="205"/>
      <c r="AL1712" s="205"/>
      <c r="AM1712" s="205"/>
    </row>
    <row r="1713" spans="24:39" x14ac:dyDescent="0.3">
      <c r="X1713" s="17"/>
      <c r="AI1713" s="17"/>
      <c r="AJ1713" s="205"/>
      <c r="AK1713" s="205"/>
      <c r="AL1713" s="205"/>
      <c r="AM1713" s="205"/>
    </row>
    <row r="1714" spans="24:39" x14ac:dyDescent="0.3">
      <c r="X1714" s="17"/>
      <c r="AI1714" s="17"/>
      <c r="AJ1714" s="205"/>
      <c r="AK1714" s="205"/>
      <c r="AL1714" s="205"/>
      <c r="AM1714" s="205"/>
    </row>
    <row r="1715" spans="24:39" x14ac:dyDescent="0.3">
      <c r="X1715" s="17"/>
      <c r="AI1715" s="17"/>
      <c r="AJ1715" s="205"/>
      <c r="AK1715" s="205"/>
      <c r="AL1715" s="205"/>
      <c r="AM1715" s="205"/>
    </row>
    <row r="1716" spans="24:39" x14ac:dyDescent="0.3">
      <c r="X1716" s="17"/>
      <c r="AI1716" s="17"/>
      <c r="AJ1716" s="205"/>
      <c r="AK1716" s="205"/>
      <c r="AL1716" s="205"/>
      <c r="AM1716" s="205"/>
    </row>
    <row r="1717" spans="24:39" x14ac:dyDescent="0.3">
      <c r="X1717" s="17"/>
      <c r="AI1717" s="17"/>
      <c r="AJ1717" s="205"/>
      <c r="AK1717" s="205"/>
      <c r="AL1717" s="205"/>
      <c r="AM1717" s="205"/>
    </row>
    <row r="1718" spans="24:39" x14ac:dyDescent="0.3">
      <c r="X1718" s="17"/>
      <c r="AI1718" s="17"/>
      <c r="AJ1718" s="205"/>
      <c r="AK1718" s="205"/>
      <c r="AL1718" s="205"/>
      <c r="AM1718" s="205"/>
    </row>
    <row r="1719" spans="24:39" x14ac:dyDescent="0.3">
      <c r="X1719" s="17"/>
      <c r="AI1719" s="17"/>
      <c r="AJ1719" s="205"/>
      <c r="AK1719" s="205"/>
      <c r="AL1719" s="205"/>
      <c r="AM1719" s="205"/>
    </row>
    <row r="1720" spans="24:39" x14ac:dyDescent="0.3">
      <c r="X1720" s="17"/>
      <c r="AI1720" s="17"/>
      <c r="AJ1720" s="205"/>
      <c r="AK1720" s="205"/>
      <c r="AL1720" s="205"/>
      <c r="AM1720" s="205"/>
    </row>
    <row r="1721" spans="24:39" x14ac:dyDescent="0.3">
      <c r="X1721" s="17"/>
      <c r="AI1721" s="17"/>
      <c r="AJ1721" s="205"/>
      <c r="AK1721" s="205"/>
      <c r="AL1721" s="205"/>
      <c r="AM1721" s="205"/>
    </row>
    <row r="1722" spans="24:39" x14ac:dyDescent="0.3">
      <c r="X1722" s="17"/>
      <c r="AI1722" s="17"/>
      <c r="AJ1722" s="205"/>
      <c r="AK1722" s="205"/>
      <c r="AL1722" s="205"/>
      <c r="AM1722" s="205"/>
    </row>
    <row r="1723" spans="24:39" x14ac:dyDescent="0.3">
      <c r="X1723" s="17"/>
      <c r="AI1723" s="17"/>
      <c r="AJ1723" s="205"/>
      <c r="AK1723" s="205"/>
      <c r="AL1723" s="205"/>
      <c r="AM1723" s="205"/>
    </row>
    <row r="1724" spans="24:39" x14ac:dyDescent="0.3">
      <c r="X1724" s="17"/>
      <c r="AI1724" s="17"/>
      <c r="AJ1724" s="205"/>
      <c r="AK1724" s="205"/>
      <c r="AL1724" s="205"/>
      <c r="AM1724" s="205"/>
    </row>
    <row r="1725" spans="24:39" x14ac:dyDescent="0.3">
      <c r="X1725" s="17"/>
      <c r="AI1725" s="17"/>
      <c r="AJ1725" s="205"/>
      <c r="AK1725" s="205"/>
      <c r="AL1725" s="205"/>
      <c r="AM1725" s="205"/>
    </row>
    <row r="1726" spans="24:39" x14ac:dyDescent="0.3">
      <c r="X1726" s="17"/>
      <c r="AI1726" s="17"/>
      <c r="AJ1726" s="205"/>
      <c r="AK1726" s="205"/>
      <c r="AL1726" s="205"/>
      <c r="AM1726" s="205"/>
    </row>
    <row r="1727" spans="24:39" x14ac:dyDescent="0.3">
      <c r="X1727" s="17"/>
      <c r="AI1727" s="17"/>
      <c r="AJ1727" s="205"/>
      <c r="AK1727" s="205"/>
      <c r="AL1727" s="205"/>
      <c r="AM1727" s="205"/>
    </row>
    <row r="1728" spans="24:39" x14ac:dyDescent="0.3">
      <c r="X1728" s="17"/>
      <c r="AI1728" s="17"/>
      <c r="AJ1728" s="205"/>
      <c r="AK1728" s="205"/>
      <c r="AL1728" s="205"/>
      <c r="AM1728" s="205"/>
    </row>
    <row r="1729" spans="24:39" x14ac:dyDescent="0.3">
      <c r="X1729" s="17"/>
      <c r="AI1729" s="17"/>
      <c r="AJ1729" s="205"/>
      <c r="AK1729" s="205"/>
      <c r="AL1729" s="205"/>
      <c r="AM1729" s="205"/>
    </row>
    <row r="1730" spans="24:39" x14ac:dyDescent="0.3">
      <c r="X1730" s="17"/>
      <c r="AI1730" s="17"/>
      <c r="AJ1730" s="205"/>
      <c r="AK1730" s="205"/>
      <c r="AL1730" s="205"/>
      <c r="AM1730" s="205"/>
    </row>
    <row r="1731" spans="24:39" x14ac:dyDescent="0.3">
      <c r="X1731" s="17"/>
      <c r="AI1731" s="17"/>
      <c r="AJ1731" s="205"/>
      <c r="AK1731" s="205"/>
      <c r="AL1731" s="205"/>
      <c r="AM1731" s="205"/>
    </row>
    <row r="1732" spans="24:39" x14ac:dyDescent="0.3">
      <c r="X1732" s="17"/>
      <c r="AI1732" s="17"/>
      <c r="AJ1732" s="205"/>
      <c r="AK1732" s="205"/>
      <c r="AL1732" s="205"/>
      <c r="AM1732" s="205"/>
    </row>
    <row r="1733" spans="24:39" x14ac:dyDescent="0.3">
      <c r="X1733" s="17"/>
      <c r="AI1733" s="17"/>
      <c r="AJ1733" s="205"/>
      <c r="AK1733" s="205"/>
      <c r="AL1733" s="205"/>
      <c r="AM1733" s="205"/>
    </row>
    <row r="1734" spans="24:39" x14ac:dyDescent="0.3">
      <c r="X1734" s="17"/>
      <c r="AI1734" s="17"/>
      <c r="AJ1734" s="205"/>
      <c r="AK1734" s="205"/>
      <c r="AL1734" s="205"/>
      <c r="AM1734" s="205"/>
    </row>
    <row r="1735" spans="24:39" x14ac:dyDescent="0.3">
      <c r="X1735" s="17"/>
      <c r="AI1735" s="17"/>
      <c r="AJ1735" s="205"/>
      <c r="AK1735" s="205"/>
      <c r="AL1735" s="205"/>
      <c r="AM1735" s="205"/>
    </row>
    <row r="1736" spans="24:39" x14ac:dyDescent="0.3">
      <c r="X1736" s="17"/>
      <c r="AI1736" s="17"/>
      <c r="AJ1736" s="205"/>
      <c r="AK1736" s="205"/>
      <c r="AL1736" s="205"/>
      <c r="AM1736" s="205"/>
    </row>
    <row r="1737" spans="24:39" x14ac:dyDescent="0.3">
      <c r="X1737" s="17"/>
      <c r="AI1737" s="17"/>
      <c r="AJ1737" s="205"/>
      <c r="AK1737" s="205"/>
      <c r="AL1737" s="205"/>
      <c r="AM1737" s="205"/>
    </row>
    <row r="1738" spans="24:39" x14ac:dyDescent="0.3">
      <c r="X1738" s="17"/>
      <c r="AI1738" s="17"/>
      <c r="AJ1738" s="205"/>
      <c r="AK1738" s="205"/>
      <c r="AL1738" s="205"/>
      <c r="AM1738" s="205"/>
    </row>
    <row r="1739" spans="24:39" x14ac:dyDescent="0.3">
      <c r="X1739" s="17"/>
      <c r="AI1739" s="17"/>
      <c r="AJ1739" s="205"/>
      <c r="AK1739" s="205"/>
      <c r="AL1739" s="205"/>
      <c r="AM1739" s="205"/>
    </row>
    <row r="1740" spans="24:39" x14ac:dyDescent="0.3">
      <c r="X1740" s="17"/>
      <c r="AI1740" s="17"/>
      <c r="AJ1740" s="205"/>
      <c r="AK1740" s="205"/>
      <c r="AL1740" s="205"/>
      <c r="AM1740" s="205"/>
    </row>
    <row r="1741" spans="24:39" x14ac:dyDescent="0.3">
      <c r="X1741" s="17"/>
      <c r="AI1741" s="17"/>
      <c r="AJ1741" s="205"/>
      <c r="AK1741" s="205"/>
      <c r="AL1741" s="205"/>
      <c r="AM1741" s="205"/>
    </row>
    <row r="1742" spans="24:39" x14ac:dyDescent="0.3">
      <c r="X1742" s="17"/>
      <c r="AI1742" s="17"/>
      <c r="AJ1742" s="205"/>
      <c r="AK1742" s="205"/>
      <c r="AL1742" s="205"/>
      <c r="AM1742" s="205"/>
    </row>
    <row r="1743" spans="24:39" x14ac:dyDescent="0.3">
      <c r="X1743" s="17"/>
      <c r="AI1743" s="17"/>
      <c r="AJ1743" s="205"/>
      <c r="AK1743" s="205"/>
      <c r="AL1743" s="205"/>
      <c r="AM1743" s="205"/>
    </row>
    <row r="1744" spans="24:39" x14ac:dyDescent="0.3">
      <c r="X1744" s="17"/>
      <c r="AI1744" s="17"/>
      <c r="AJ1744" s="205"/>
      <c r="AK1744" s="205"/>
      <c r="AL1744" s="205"/>
      <c r="AM1744" s="205"/>
    </row>
    <row r="1745" spans="24:39" x14ac:dyDescent="0.3">
      <c r="X1745" s="17"/>
      <c r="AI1745" s="17"/>
      <c r="AJ1745" s="205"/>
      <c r="AK1745" s="205"/>
      <c r="AL1745" s="205"/>
      <c r="AM1745" s="205"/>
    </row>
    <row r="1746" spans="24:39" x14ac:dyDescent="0.3">
      <c r="X1746" s="17"/>
      <c r="AI1746" s="17"/>
      <c r="AJ1746" s="205"/>
      <c r="AK1746" s="205"/>
      <c r="AL1746" s="205"/>
      <c r="AM1746" s="205"/>
    </row>
    <row r="1747" spans="24:39" x14ac:dyDescent="0.3">
      <c r="X1747" s="17"/>
      <c r="AI1747" s="17"/>
      <c r="AJ1747" s="205"/>
      <c r="AK1747" s="205"/>
      <c r="AL1747" s="205"/>
      <c r="AM1747" s="205"/>
    </row>
    <row r="1748" spans="24:39" x14ac:dyDescent="0.3">
      <c r="X1748" s="17"/>
      <c r="AI1748" s="17"/>
      <c r="AJ1748" s="205"/>
      <c r="AK1748" s="205"/>
      <c r="AL1748" s="205"/>
      <c r="AM1748" s="205"/>
    </row>
    <row r="1749" spans="24:39" x14ac:dyDescent="0.3">
      <c r="X1749" s="17"/>
      <c r="AI1749" s="17"/>
      <c r="AJ1749" s="205"/>
      <c r="AK1749" s="205"/>
      <c r="AL1749" s="205"/>
      <c r="AM1749" s="205"/>
    </row>
    <row r="1750" spans="24:39" x14ac:dyDescent="0.3">
      <c r="X1750" s="17"/>
      <c r="AI1750" s="17"/>
      <c r="AJ1750" s="205"/>
      <c r="AK1750" s="205"/>
      <c r="AL1750" s="205"/>
      <c r="AM1750" s="205"/>
    </row>
    <row r="1751" spans="24:39" x14ac:dyDescent="0.3">
      <c r="X1751" s="17"/>
      <c r="AI1751" s="17"/>
      <c r="AJ1751" s="205"/>
      <c r="AK1751" s="205"/>
      <c r="AL1751" s="205"/>
      <c r="AM1751" s="205"/>
    </row>
    <row r="1752" spans="24:39" x14ac:dyDescent="0.3">
      <c r="X1752" s="17"/>
      <c r="AI1752" s="17"/>
      <c r="AJ1752" s="205"/>
      <c r="AK1752" s="205"/>
      <c r="AL1752" s="205"/>
      <c r="AM1752" s="205"/>
    </row>
    <row r="1753" spans="24:39" x14ac:dyDescent="0.3">
      <c r="X1753" s="17"/>
      <c r="AI1753" s="17"/>
      <c r="AJ1753" s="205"/>
      <c r="AK1753" s="205"/>
      <c r="AL1753" s="205"/>
      <c r="AM1753" s="205"/>
    </row>
    <row r="1754" spans="24:39" x14ac:dyDescent="0.3">
      <c r="X1754" s="17"/>
      <c r="AI1754" s="17"/>
      <c r="AJ1754" s="205"/>
      <c r="AK1754" s="205"/>
      <c r="AL1754" s="205"/>
      <c r="AM1754" s="205"/>
    </row>
    <row r="1755" spans="24:39" x14ac:dyDescent="0.3">
      <c r="X1755" s="17"/>
      <c r="AI1755" s="17"/>
      <c r="AJ1755" s="205"/>
      <c r="AK1755" s="205"/>
      <c r="AL1755" s="205"/>
      <c r="AM1755" s="205"/>
    </row>
    <row r="1756" spans="24:39" x14ac:dyDescent="0.3">
      <c r="X1756" s="17"/>
      <c r="AI1756" s="17"/>
      <c r="AJ1756" s="205"/>
      <c r="AK1756" s="205"/>
      <c r="AL1756" s="205"/>
      <c r="AM1756" s="205"/>
    </row>
    <row r="1757" spans="24:39" x14ac:dyDescent="0.3">
      <c r="X1757" s="17"/>
      <c r="AI1757" s="17"/>
      <c r="AJ1757" s="205"/>
      <c r="AK1757" s="205"/>
      <c r="AL1757" s="205"/>
      <c r="AM1757" s="205"/>
    </row>
    <row r="1758" spans="24:39" x14ac:dyDescent="0.3">
      <c r="X1758" s="17"/>
      <c r="AI1758" s="17"/>
      <c r="AJ1758" s="205"/>
      <c r="AK1758" s="205"/>
      <c r="AL1758" s="205"/>
      <c r="AM1758" s="205"/>
    </row>
    <row r="1759" spans="24:39" x14ac:dyDescent="0.3">
      <c r="X1759" s="17"/>
      <c r="AI1759" s="17"/>
      <c r="AJ1759" s="205"/>
      <c r="AK1759" s="205"/>
      <c r="AL1759" s="205"/>
      <c r="AM1759" s="205"/>
    </row>
    <row r="1760" spans="24:39" x14ac:dyDescent="0.3">
      <c r="X1760" s="17"/>
      <c r="AI1760" s="17"/>
      <c r="AJ1760" s="205"/>
      <c r="AK1760" s="205"/>
      <c r="AL1760" s="205"/>
      <c r="AM1760" s="205"/>
    </row>
    <row r="1761" spans="24:39" x14ac:dyDescent="0.3">
      <c r="X1761" s="17"/>
      <c r="AI1761" s="17"/>
      <c r="AJ1761" s="205"/>
      <c r="AK1761" s="205"/>
      <c r="AL1761" s="205"/>
      <c r="AM1761" s="205"/>
    </row>
    <row r="1762" spans="24:39" x14ac:dyDescent="0.3">
      <c r="X1762" s="17"/>
      <c r="AI1762" s="17"/>
      <c r="AJ1762" s="205"/>
      <c r="AK1762" s="205"/>
      <c r="AL1762" s="205"/>
      <c r="AM1762" s="205"/>
    </row>
    <row r="1763" spans="24:39" x14ac:dyDescent="0.3">
      <c r="X1763" s="17"/>
      <c r="AI1763" s="17"/>
      <c r="AJ1763" s="205"/>
      <c r="AK1763" s="205"/>
      <c r="AL1763" s="205"/>
      <c r="AM1763" s="205"/>
    </row>
    <row r="1764" spans="24:39" x14ac:dyDescent="0.3">
      <c r="X1764" s="17"/>
      <c r="AI1764" s="17"/>
      <c r="AJ1764" s="205"/>
      <c r="AK1764" s="205"/>
      <c r="AL1764" s="205"/>
      <c r="AM1764" s="205"/>
    </row>
    <row r="1765" spans="24:39" x14ac:dyDescent="0.3">
      <c r="X1765" s="17"/>
      <c r="AI1765" s="17"/>
      <c r="AJ1765" s="205"/>
      <c r="AK1765" s="205"/>
      <c r="AL1765" s="205"/>
      <c r="AM1765" s="205"/>
    </row>
    <row r="1766" spans="24:39" x14ac:dyDescent="0.3">
      <c r="X1766" s="17"/>
      <c r="AI1766" s="17"/>
      <c r="AJ1766" s="205"/>
      <c r="AK1766" s="205"/>
      <c r="AL1766" s="205"/>
      <c r="AM1766" s="205"/>
    </row>
    <row r="1767" spans="24:39" x14ac:dyDescent="0.3">
      <c r="X1767" s="17"/>
      <c r="AI1767" s="17"/>
      <c r="AJ1767" s="205"/>
      <c r="AK1767" s="205"/>
      <c r="AL1767" s="205"/>
      <c r="AM1767" s="205"/>
    </row>
    <row r="1768" spans="24:39" x14ac:dyDescent="0.3">
      <c r="X1768" s="17"/>
      <c r="AI1768" s="17"/>
      <c r="AJ1768" s="205"/>
      <c r="AK1768" s="205"/>
      <c r="AL1768" s="205"/>
      <c r="AM1768" s="205"/>
    </row>
    <row r="1769" spans="24:39" x14ac:dyDescent="0.3">
      <c r="X1769" s="17"/>
      <c r="AI1769" s="17"/>
      <c r="AJ1769" s="205"/>
      <c r="AK1769" s="205"/>
      <c r="AL1769" s="205"/>
      <c r="AM1769" s="205"/>
    </row>
    <row r="1770" spans="24:39" x14ac:dyDescent="0.3">
      <c r="X1770" s="17"/>
      <c r="AI1770" s="17"/>
      <c r="AJ1770" s="205"/>
      <c r="AK1770" s="205"/>
      <c r="AL1770" s="205"/>
      <c r="AM1770" s="205"/>
    </row>
    <row r="1771" spans="24:39" x14ac:dyDescent="0.3">
      <c r="X1771" s="17"/>
      <c r="AI1771" s="17"/>
      <c r="AJ1771" s="205"/>
      <c r="AK1771" s="205"/>
      <c r="AL1771" s="205"/>
      <c r="AM1771" s="205"/>
    </row>
    <row r="1772" spans="24:39" x14ac:dyDescent="0.3">
      <c r="X1772" s="17"/>
      <c r="AI1772" s="17"/>
      <c r="AJ1772" s="205"/>
      <c r="AK1772" s="205"/>
      <c r="AL1772" s="205"/>
      <c r="AM1772" s="205"/>
    </row>
    <row r="1773" spans="24:39" x14ac:dyDescent="0.3">
      <c r="X1773" s="17"/>
      <c r="AI1773" s="17"/>
      <c r="AJ1773" s="205"/>
      <c r="AK1773" s="205"/>
      <c r="AL1773" s="205"/>
      <c r="AM1773" s="205"/>
    </row>
    <row r="1774" spans="24:39" x14ac:dyDescent="0.3">
      <c r="X1774" s="17"/>
      <c r="AI1774" s="17"/>
      <c r="AJ1774" s="205"/>
      <c r="AK1774" s="205"/>
      <c r="AL1774" s="205"/>
      <c r="AM1774" s="205"/>
    </row>
    <row r="1775" spans="24:39" x14ac:dyDescent="0.3">
      <c r="X1775" s="17"/>
      <c r="AI1775" s="17"/>
      <c r="AJ1775" s="205"/>
      <c r="AK1775" s="205"/>
      <c r="AL1775" s="205"/>
      <c r="AM1775" s="205"/>
    </row>
    <row r="1776" spans="24:39" x14ac:dyDescent="0.3">
      <c r="X1776" s="17"/>
      <c r="AI1776" s="17"/>
      <c r="AJ1776" s="205"/>
      <c r="AK1776" s="205"/>
      <c r="AL1776" s="205"/>
      <c r="AM1776" s="205"/>
    </row>
    <row r="1777" spans="24:39" x14ac:dyDescent="0.3">
      <c r="X1777" s="17"/>
      <c r="AI1777" s="17"/>
      <c r="AJ1777" s="205"/>
      <c r="AK1777" s="205"/>
      <c r="AL1777" s="205"/>
      <c r="AM1777" s="205"/>
    </row>
    <row r="1778" spans="24:39" x14ac:dyDescent="0.3">
      <c r="X1778" s="17"/>
      <c r="AI1778" s="17"/>
      <c r="AJ1778" s="205"/>
      <c r="AK1778" s="205"/>
      <c r="AL1778" s="205"/>
      <c r="AM1778" s="205"/>
    </row>
    <row r="1779" spans="24:39" x14ac:dyDescent="0.3">
      <c r="X1779" s="17"/>
      <c r="AI1779" s="17"/>
      <c r="AJ1779" s="205"/>
      <c r="AK1779" s="205"/>
      <c r="AL1779" s="205"/>
      <c r="AM1779" s="205"/>
    </row>
    <row r="1780" spans="24:39" x14ac:dyDescent="0.3">
      <c r="X1780" s="17"/>
      <c r="AI1780" s="17"/>
      <c r="AJ1780" s="205"/>
      <c r="AK1780" s="205"/>
      <c r="AL1780" s="205"/>
      <c r="AM1780" s="205"/>
    </row>
    <row r="1781" spans="24:39" x14ac:dyDescent="0.3">
      <c r="X1781" s="17"/>
      <c r="AI1781" s="17"/>
      <c r="AJ1781" s="205"/>
      <c r="AK1781" s="205"/>
      <c r="AL1781" s="205"/>
      <c r="AM1781" s="205"/>
    </row>
    <row r="1782" spans="24:39" x14ac:dyDescent="0.3">
      <c r="X1782" s="17"/>
      <c r="AI1782" s="17"/>
      <c r="AJ1782" s="205"/>
      <c r="AK1782" s="205"/>
      <c r="AL1782" s="205"/>
      <c r="AM1782" s="205"/>
    </row>
    <row r="1783" spans="24:39" x14ac:dyDescent="0.3">
      <c r="X1783" s="17"/>
      <c r="AI1783" s="17"/>
      <c r="AJ1783" s="205"/>
      <c r="AK1783" s="205"/>
      <c r="AL1783" s="205"/>
      <c r="AM1783" s="205"/>
    </row>
    <row r="1784" spans="24:39" x14ac:dyDescent="0.3">
      <c r="X1784" s="17"/>
      <c r="AI1784" s="17"/>
      <c r="AJ1784" s="205"/>
      <c r="AK1784" s="205"/>
      <c r="AL1784" s="205"/>
      <c r="AM1784" s="205"/>
    </row>
    <row r="1785" spans="24:39" x14ac:dyDescent="0.3">
      <c r="X1785" s="17"/>
      <c r="AI1785" s="17"/>
      <c r="AJ1785" s="205"/>
      <c r="AK1785" s="205"/>
      <c r="AL1785" s="205"/>
      <c r="AM1785" s="205"/>
    </row>
    <row r="1786" spans="24:39" x14ac:dyDescent="0.3">
      <c r="X1786" s="17"/>
      <c r="AI1786" s="17"/>
      <c r="AJ1786" s="205"/>
      <c r="AK1786" s="205"/>
      <c r="AL1786" s="205"/>
      <c r="AM1786" s="205"/>
    </row>
    <row r="1787" spans="24:39" x14ac:dyDescent="0.3">
      <c r="X1787" s="17"/>
      <c r="AI1787" s="17"/>
      <c r="AJ1787" s="205"/>
      <c r="AK1787" s="205"/>
      <c r="AL1787" s="205"/>
      <c r="AM1787" s="205"/>
    </row>
    <row r="1788" spans="24:39" x14ac:dyDescent="0.3">
      <c r="X1788" s="17"/>
      <c r="AI1788" s="17"/>
      <c r="AJ1788" s="205"/>
      <c r="AK1788" s="205"/>
      <c r="AL1788" s="205"/>
      <c r="AM1788" s="205"/>
    </row>
    <row r="1789" spans="24:39" x14ac:dyDescent="0.3">
      <c r="X1789" s="17"/>
      <c r="AI1789" s="17"/>
      <c r="AJ1789" s="205"/>
      <c r="AK1789" s="205"/>
      <c r="AL1789" s="205"/>
      <c r="AM1789" s="205"/>
    </row>
    <row r="1790" spans="24:39" x14ac:dyDescent="0.3">
      <c r="X1790" s="17"/>
      <c r="AI1790" s="17"/>
      <c r="AJ1790" s="205"/>
      <c r="AK1790" s="205"/>
      <c r="AL1790" s="205"/>
      <c r="AM1790" s="205"/>
    </row>
    <row r="1791" spans="24:39" x14ac:dyDescent="0.3">
      <c r="X1791" s="17"/>
      <c r="AI1791" s="17"/>
      <c r="AJ1791" s="205"/>
      <c r="AK1791" s="205"/>
      <c r="AL1791" s="205"/>
      <c r="AM1791" s="205"/>
    </row>
    <row r="1792" spans="24:39" x14ac:dyDescent="0.3">
      <c r="X1792" s="17"/>
      <c r="AI1792" s="17"/>
      <c r="AJ1792" s="205"/>
      <c r="AK1792" s="205"/>
      <c r="AL1792" s="205"/>
      <c r="AM1792" s="205"/>
    </row>
    <row r="1793" spans="24:39" x14ac:dyDescent="0.3">
      <c r="X1793" s="17"/>
      <c r="AI1793" s="17"/>
      <c r="AJ1793" s="205"/>
      <c r="AK1793" s="205"/>
      <c r="AL1793" s="205"/>
      <c r="AM1793" s="205"/>
    </row>
    <row r="1794" spans="24:39" x14ac:dyDescent="0.3">
      <c r="X1794" s="17"/>
      <c r="AI1794" s="17"/>
      <c r="AJ1794" s="205"/>
      <c r="AK1794" s="205"/>
      <c r="AL1794" s="205"/>
      <c r="AM1794" s="205"/>
    </row>
    <row r="1795" spans="24:39" x14ac:dyDescent="0.3">
      <c r="X1795" s="17"/>
      <c r="AI1795" s="17"/>
      <c r="AJ1795" s="205"/>
      <c r="AK1795" s="205"/>
      <c r="AL1795" s="205"/>
      <c r="AM1795" s="205"/>
    </row>
    <row r="1796" spans="24:39" x14ac:dyDescent="0.3">
      <c r="X1796" s="17"/>
      <c r="AI1796" s="17"/>
      <c r="AJ1796" s="205"/>
      <c r="AK1796" s="205"/>
      <c r="AL1796" s="205"/>
      <c r="AM1796" s="205"/>
    </row>
    <row r="1797" spans="24:39" x14ac:dyDescent="0.3">
      <c r="X1797" s="17"/>
      <c r="AI1797" s="17"/>
      <c r="AJ1797" s="205"/>
      <c r="AK1797" s="205"/>
      <c r="AL1797" s="205"/>
      <c r="AM1797" s="205"/>
    </row>
    <row r="1798" spans="24:39" x14ac:dyDescent="0.3">
      <c r="X1798" s="17"/>
      <c r="AI1798" s="17"/>
      <c r="AJ1798" s="205"/>
      <c r="AK1798" s="205"/>
      <c r="AL1798" s="205"/>
      <c r="AM1798" s="205"/>
    </row>
    <row r="1799" spans="24:39" x14ac:dyDescent="0.3">
      <c r="X1799" s="17"/>
      <c r="AI1799" s="17"/>
      <c r="AJ1799" s="205"/>
      <c r="AK1799" s="205"/>
      <c r="AL1799" s="205"/>
      <c r="AM1799" s="205"/>
    </row>
    <row r="1800" spans="24:39" x14ac:dyDescent="0.3">
      <c r="X1800" s="17"/>
      <c r="AI1800" s="17"/>
      <c r="AJ1800" s="205"/>
      <c r="AK1800" s="205"/>
      <c r="AL1800" s="205"/>
      <c r="AM1800" s="205"/>
    </row>
    <row r="1801" spans="24:39" x14ac:dyDescent="0.3">
      <c r="X1801" s="17"/>
      <c r="AI1801" s="17"/>
      <c r="AJ1801" s="205"/>
      <c r="AK1801" s="205"/>
      <c r="AL1801" s="205"/>
      <c r="AM1801" s="205"/>
    </row>
    <row r="1802" spans="24:39" x14ac:dyDescent="0.3">
      <c r="X1802" s="17"/>
      <c r="AI1802" s="17"/>
      <c r="AJ1802" s="205"/>
      <c r="AK1802" s="205"/>
      <c r="AL1802" s="205"/>
      <c r="AM1802" s="205"/>
    </row>
    <row r="1803" spans="24:39" x14ac:dyDescent="0.3">
      <c r="X1803" s="17"/>
      <c r="AI1803" s="17"/>
      <c r="AJ1803" s="205"/>
      <c r="AK1803" s="205"/>
      <c r="AL1803" s="205"/>
      <c r="AM1803" s="205"/>
    </row>
    <row r="1804" spans="24:39" x14ac:dyDescent="0.3">
      <c r="X1804" s="17"/>
      <c r="AI1804" s="17"/>
      <c r="AJ1804" s="205"/>
      <c r="AK1804" s="205"/>
      <c r="AL1804" s="205"/>
      <c r="AM1804" s="205"/>
    </row>
    <row r="1805" spans="24:39" x14ac:dyDescent="0.3">
      <c r="X1805" s="17"/>
      <c r="AI1805" s="17"/>
      <c r="AJ1805" s="205"/>
      <c r="AK1805" s="205"/>
      <c r="AL1805" s="205"/>
      <c r="AM1805" s="205"/>
    </row>
    <row r="1806" spans="24:39" x14ac:dyDescent="0.3">
      <c r="X1806" s="17"/>
      <c r="AI1806" s="17"/>
      <c r="AJ1806" s="205"/>
      <c r="AK1806" s="205"/>
      <c r="AL1806" s="205"/>
      <c r="AM1806" s="205"/>
    </row>
    <row r="1807" spans="24:39" x14ac:dyDescent="0.3">
      <c r="X1807" s="17"/>
      <c r="AI1807" s="17"/>
      <c r="AJ1807" s="205"/>
      <c r="AK1807" s="205"/>
      <c r="AL1807" s="205"/>
      <c r="AM1807" s="205"/>
    </row>
    <row r="1808" spans="24:39" x14ac:dyDescent="0.3">
      <c r="X1808" s="17"/>
      <c r="AI1808" s="17"/>
      <c r="AJ1808" s="205"/>
      <c r="AK1808" s="205"/>
      <c r="AL1808" s="205"/>
      <c r="AM1808" s="205"/>
    </row>
    <row r="1809" spans="24:39" x14ac:dyDescent="0.3">
      <c r="X1809" s="17"/>
      <c r="AI1809" s="17"/>
      <c r="AJ1809" s="205"/>
      <c r="AK1809" s="205"/>
      <c r="AL1809" s="205"/>
      <c r="AM1809" s="205"/>
    </row>
    <row r="1810" spans="24:39" x14ac:dyDescent="0.3">
      <c r="X1810" s="17"/>
      <c r="AI1810" s="17"/>
      <c r="AJ1810" s="205"/>
      <c r="AK1810" s="205"/>
      <c r="AL1810" s="205"/>
      <c r="AM1810" s="205"/>
    </row>
    <row r="1811" spans="24:39" x14ac:dyDescent="0.3">
      <c r="X1811" s="17"/>
      <c r="AI1811" s="17"/>
      <c r="AJ1811" s="205"/>
      <c r="AK1811" s="205"/>
      <c r="AL1811" s="205"/>
      <c r="AM1811" s="205"/>
    </row>
    <row r="1812" spans="24:39" x14ac:dyDescent="0.3">
      <c r="X1812" s="17"/>
      <c r="AI1812" s="17"/>
      <c r="AJ1812" s="205"/>
      <c r="AK1812" s="205"/>
      <c r="AL1812" s="205"/>
      <c r="AM1812" s="205"/>
    </row>
    <row r="1813" spans="24:39" x14ac:dyDescent="0.3">
      <c r="X1813" s="17"/>
      <c r="AI1813" s="17"/>
      <c r="AJ1813" s="205"/>
      <c r="AK1813" s="205"/>
      <c r="AL1813" s="205"/>
      <c r="AM1813" s="205"/>
    </row>
    <row r="1814" spans="24:39" x14ac:dyDescent="0.3">
      <c r="X1814" s="17"/>
      <c r="AI1814" s="17"/>
      <c r="AJ1814" s="205"/>
      <c r="AK1814" s="205"/>
      <c r="AL1814" s="205"/>
      <c r="AM1814" s="205"/>
    </row>
    <row r="1815" spans="24:39" x14ac:dyDescent="0.3">
      <c r="X1815" s="17"/>
      <c r="AI1815" s="17"/>
      <c r="AJ1815" s="205"/>
      <c r="AK1815" s="205"/>
      <c r="AL1815" s="205"/>
      <c r="AM1815" s="205"/>
    </row>
    <row r="1816" spans="24:39" x14ac:dyDescent="0.3">
      <c r="X1816" s="17"/>
      <c r="AI1816" s="17"/>
      <c r="AJ1816" s="205"/>
      <c r="AK1816" s="205"/>
      <c r="AL1816" s="205"/>
      <c r="AM1816" s="205"/>
    </row>
    <row r="1817" spans="24:39" x14ac:dyDescent="0.3">
      <c r="X1817" s="17"/>
      <c r="AI1817" s="17"/>
      <c r="AJ1817" s="205"/>
      <c r="AK1817" s="205"/>
      <c r="AL1817" s="205"/>
      <c r="AM1817" s="205"/>
    </row>
    <row r="1818" spans="24:39" x14ac:dyDescent="0.3">
      <c r="X1818" s="17"/>
      <c r="AI1818" s="17"/>
      <c r="AJ1818" s="205"/>
      <c r="AK1818" s="205"/>
      <c r="AL1818" s="205"/>
      <c r="AM1818" s="205"/>
    </row>
    <row r="1819" spans="24:39" x14ac:dyDescent="0.3">
      <c r="X1819" s="17"/>
      <c r="AI1819" s="17"/>
      <c r="AJ1819" s="205"/>
      <c r="AK1819" s="205"/>
      <c r="AL1819" s="205"/>
      <c r="AM1819" s="205"/>
    </row>
    <row r="1820" spans="24:39" x14ac:dyDescent="0.3">
      <c r="X1820" s="17"/>
      <c r="AI1820" s="17"/>
      <c r="AJ1820" s="205"/>
      <c r="AK1820" s="205"/>
      <c r="AL1820" s="205"/>
      <c r="AM1820" s="205"/>
    </row>
    <row r="1821" spans="24:39" x14ac:dyDescent="0.3">
      <c r="X1821" s="17"/>
      <c r="AI1821" s="17"/>
      <c r="AJ1821" s="205"/>
      <c r="AK1821" s="205"/>
      <c r="AL1821" s="205"/>
      <c r="AM1821" s="205"/>
    </row>
    <row r="1822" spans="24:39" x14ac:dyDescent="0.3">
      <c r="X1822" s="17"/>
      <c r="AI1822" s="17"/>
      <c r="AJ1822" s="205"/>
      <c r="AK1822" s="205"/>
      <c r="AL1822" s="205"/>
      <c r="AM1822" s="205"/>
    </row>
    <row r="1823" spans="24:39" x14ac:dyDescent="0.3">
      <c r="X1823" s="17"/>
      <c r="AI1823" s="17"/>
      <c r="AJ1823" s="205"/>
      <c r="AK1823" s="205"/>
      <c r="AL1823" s="205"/>
      <c r="AM1823" s="205"/>
    </row>
    <row r="1824" spans="24:39" x14ac:dyDescent="0.3">
      <c r="X1824" s="17"/>
      <c r="AI1824" s="17"/>
      <c r="AJ1824" s="205"/>
      <c r="AK1824" s="205"/>
      <c r="AL1824" s="205"/>
      <c r="AM1824" s="205"/>
    </row>
    <row r="1825" spans="24:39" x14ac:dyDescent="0.3">
      <c r="X1825" s="17"/>
      <c r="AI1825" s="17"/>
      <c r="AJ1825" s="205"/>
      <c r="AK1825" s="205"/>
      <c r="AL1825" s="205"/>
      <c r="AM1825" s="205"/>
    </row>
    <row r="1826" spans="24:39" x14ac:dyDescent="0.3">
      <c r="X1826" s="17"/>
      <c r="AI1826" s="17"/>
      <c r="AJ1826" s="205"/>
      <c r="AK1826" s="205"/>
      <c r="AL1826" s="205"/>
      <c r="AM1826" s="205"/>
    </row>
    <row r="1827" spans="24:39" x14ac:dyDescent="0.3">
      <c r="X1827" s="17"/>
      <c r="AI1827" s="17"/>
      <c r="AJ1827" s="205"/>
      <c r="AK1827" s="205"/>
      <c r="AL1827" s="205"/>
      <c r="AM1827" s="205"/>
    </row>
    <row r="1828" spans="24:39" x14ac:dyDescent="0.3">
      <c r="X1828" s="17"/>
      <c r="AI1828" s="17"/>
      <c r="AJ1828" s="205"/>
      <c r="AK1828" s="205"/>
      <c r="AL1828" s="205"/>
      <c r="AM1828" s="205"/>
    </row>
    <row r="1829" spans="24:39" x14ac:dyDescent="0.3">
      <c r="X1829" s="17"/>
      <c r="AI1829" s="17"/>
      <c r="AJ1829" s="205"/>
      <c r="AK1829" s="205"/>
      <c r="AL1829" s="205"/>
      <c r="AM1829" s="205"/>
    </row>
    <row r="1830" spans="24:39" x14ac:dyDescent="0.3">
      <c r="X1830" s="17"/>
      <c r="AI1830" s="17"/>
      <c r="AJ1830" s="205"/>
      <c r="AK1830" s="205"/>
      <c r="AL1830" s="205"/>
      <c r="AM1830" s="205"/>
    </row>
    <row r="1831" spans="24:39" x14ac:dyDescent="0.3">
      <c r="X1831" s="17"/>
      <c r="AI1831" s="17"/>
      <c r="AJ1831" s="205"/>
      <c r="AK1831" s="205"/>
      <c r="AL1831" s="205"/>
      <c r="AM1831" s="205"/>
    </row>
    <row r="1832" spans="24:39" x14ac:dyDescent="0.3">
      <c r="X1832" s="17"/>
      <c r="AI1832" s="17"/>
      <c r="AJ1832" s="205"/>
      <c r="AK1832" s="205"/>
      <c r="AL1832" s="205"/>
      <c r="AM1832" s="205"/>
    </row>
    <row r="1833" spans="24:39" x14ac:dyDescent="0.3">
      <c r="X1833" s="17"/>
      <c r="AI1833" s="17"/>
      <c r="AJ1833" s="205"/>
      <c r="AK1833" s="205"/>
      <c r="AL1833" s="205"/>
      <c r="AM1833" s="205"/>
    </row>
    <row r="1834" spans="24:39" x14ac:dyDescent="0.3">
      <c r="X1834" s="17"/>
      <c r="AI1834" s="17"/>
      <c r="AJ1834" s="205"/>
      <c r="AK1834" s="205"/>
      <c r="AL1834" s="205"/>
      <c r="AM1834" s="205"/>
    </row>
    <row r="1835" spans="24:39" x14ac:dyDescent="0.3">
      <c r="X1835" s="17"/>
      <c r="AI1835" s="17"/>
      <c r="AJ1835" s="205"/>
      <c r="AK1835" s="205"/>
      <c r="AL1835" s="205"/>
      <c r="AM1835" s="205"/>
    </row>
    <row r="1836" spans="24:39" x14ac:dyDescent="0.3">
      <c r="X1836" s="17"/>
      <c r="AI1836" s="17"/>
      <c r="AJ1836" s="205"/>
      <c r="AK1836" s="205"/>
      <c r="AL1836" s="205"/>
      <c r="AM1836" s="205"/>
    </row>
    <row r="1837" spans="24:39" x14ac:dyDescent="0.3">
      <c r="X1837" s="17"/>
      <c r="AI1837" s="17"/>
      <c r="AJ1837" s="205"/>
      <c r="AK1837" s="205"/>
      <c r="AL1837" s="205"/>
      <c r="AM1837" s="205"/>
    </row>
    <row r="1838" spans="24:39" x14ac:dyDescent="0.3">
      <c r="X1838" s="17"/>
      <c r="AI1838" s="17"/>
      <c r="AJ1838" s="205"/>
      <c r="AK1838" s="205"/>
      <c r="AL1838" s="205"/>
      <c r="AM1838" s="205"/>
    </row>
    <row r="1839" spans="24:39" x14ac:dyDescent="0.3">
      <c r="X1839" s="17"/>
      <c r="AI1839" s="17"/>
      <c r="AJ1839" s="205"/>
      <c r="AK1839" s="205"/>
      <c r="AL1839" s="205"/>
      <c r="AM1839" s="205"/>
    </row>
    <row r="1840" spans="24:39" x14ac:dyDescent="0.3">
      <c r="X1840" s="17"/>
      <c r="AI1840" s="17"/>
      <c r="AJ1840" s="205"/>
      <c r="AK1840" s="205"/>
      <c r="AL1840" s="205"/>
      <c r="AM1840" s="205"/>
    </row>
    <row r="1841" spans="24:39" x14ac:dyDescent="0.3">
      <c r="X1841" s="17"/>
      <c r="AI1841" s="17"/>
      <c r="AJ1841" s="205"/>
      <c r="AK1841" s="205"/>
      <c r="AL1841" s="205"/>
      <c r="AM1841" s="205"/>
    </row>
    <row r="1842" spans="24:39" x14ac:dyDescent="0.3">
      <c r="X1842" s="17"/>
      <c r="AI1842" s="17"/>
      <c r="AJ1842" s="205"/>
      <c r="AK1842" s="205"/>
      <c r="AL1842" s="205"/>
      <c r="AM1842" s="205"/>
    </row>
    <row r="1843" spans="24:39" x14ac:dyDescent="0.3">
      <c r="X1843" s="17"/>
      <c r="AI1843" s="17"/>
      <c r="AJ1843" s="205"/>
      <c r="AK1843" s="205"/>
      <c r="AL1843" s="205"/>
      <c r="AM1843" s="205"/>
    </row>
    <row r="1844" spans="24:39" x14ac:dyDescent="0.3">
      <c r="X1844" s="17"/>
      <c r="AI1844" s="17"/>
      <c r="AJ1844" s="205"/>
      <c r="AK1844" s="205"/>
      <c r="AL1844" s="205"/>
      <c r="AM1844" s="205"/>
    </row>
    <row r="1845" spans="24:39" x14ac:dyDescent="0.3">
      <c r="X1845" s="17"/>
      <c r="AI1845" s="17"/>
      <c r="AJ1845" s="205"/>
      <c r="AK1845" s="205"/>
      <c r="AL1845" s="205"/>
      <c r="AM1845" s="205"/>
    </row>
    <row r="1846" spans="24:39" x14ac:dyDescent="0.3">
      <c r="X1846" s="17"/>
      <c r="AI1846" s="17"/>
      <c r="AJ1846" s="205"/>
      <c r="AK1846" s="205"/>
      <c r="AL1846" s="205"/>
      <c r="AM1846" s="205"/>
    </row>
    <row r="1847" spans="24:39" x14ac:dyDescent="0.3">
      <c r="X1847" s="17"/>
      <c r="AI1847" s="17"/>
      <c r="AJ1847" s="205"/>
      <c r="AK1847" s="205"/>
      <c r="AL1847" s="205"/>
      <c r="AM1847" s="205"/>
    </row>
    <row r="1848" spans="24:39" x14ac:dyDescent="0.3">
      <c r="X1848" s="17"/>
      <c r="AI1848" s="17"/>
      <c r="AJ1848" s="205"/>
      <c r="AK1848" s="205"/>
      <c r="AL1848" s="205"/>
      <c r="AM1848" s="205"/>
    </row>
    <row r="1849" spans="24:39" x14ac:dyDescent="0.3">
      <c r="X1849" s="17"/>
      <c r="AI1849" s="17"/>
      <c r="AJ1849" s="205"/>
      <c r="AK1849" s="205"/>
      <c r="AL1849" s="205"/>
      <c r="AM1849" s="205"/>
    </row>
    <row r="1850" spans="24:39" x14ac:dyDescent="0.3">
      <c r="X1850" s="17"/>
      <c r="AI1850" s="17"/>
      <c r="AJ1850" s="205"/>
      <c r="AK1850" s="205"/>
      <c r="AL1850" s="205"/>
      <c r="AM1850" s="205"/>
    </row>
    <row r="1851" spans="24:39" x14ac:dyDescent="0.3">
      <c r="X1851" s="17"/>
      <c r="AI1851" s="17"/>
      <c r="AJ1851" s="205"/>
      <c r="AK1851" s="205"/>
      <c r="AL1851" s="205"/>
      <c r="AM1851" s="205"/>
    </row>
    <row r="1852" spans="24:39" x14ac:dyDescent="0.3">
      <c r="X1852" s="17"/>
      <c r="AI1852" s="17"/>
      <c r="AJ1852" s="205"/>
      <c r="AK1852" s="205"/>
      <c r="AL1852" s="205"/>
      <c r="AM1852" s="205"/>
    </row>
    <row r="1853" spans="24:39" x14ac:dyDescent="0.3">
      <c r="X1853" s="17"/>
      <c r="AI1853" s="17"/>
      <c r="AJ1853" s="205"/>
      <c r="AK1853" s="205"/>
      <c r="AL1853" s="205"/>
      <c r="AM1853" s="205"/>
    </row>
    <row r="1854" spans="24:39" x14ac:dyDescent="0.3">
      <c r="X1854" s="17"/>
      <c r="AI1854" s="17"/>
      <c r="AJ1854" s="205"/>
      <c r="AK1854" s="205"/>
      <c r="AL1854" s="205"/>
      <c r="AM1854" s="205"/>
    </row>
    <row r="1855" spans="24:39" x14ac:dyDescent="0.3">
      <c r="X1855" s="17"/>
      <c r="AI1855" s="17"/>
      <c r="AJ1855" s="205"/>
      <c r="AK1855" s="205"/>
      <c r="AL1855" s="205"/>
      <c r="AM1855" s="205"/>
    </row>
    <row r="1856" spans="24:39" x14ac:dyDescent="0.3">
      <c r="X1856" s="17"/>
      <c r="AI1856" s="17"/>
      <c r="AJ1856" s="205"/>
      <c r="AK1856" s="205"/>
      <c r="AL1856" s="205"/>
      <c r="AM1856" s="205"/>
    </row>
    <row r="1857" spans="24:39" x14ac:dyDescent="0.3">
      <c r="X1857" s="17"/>
      <c r="AI1857" s="17"/>
      <c r="AJ1857" s="205"/>
      <c r="AK1857" s="205"/>
      <c r="AL1857" s="205"/>
      <c r="AM1857" s="205"/>
    </row>
    <row r="1858" spans="24:39" x14ac:dyDescent="0.3">
      <c r="X1858" s="17"/>
      <c r="AI1858" s="17"/>
      <c r="AJ1858" s="205"/>
      <c r="AK1858" s="205"/>
      <c r="AL1858" s="205"/>
      <c r="AM1858" s="205"/>
    </row>
    <row r="1859" spans="24:39" x14ac:dyDescent="0.3">
      <c r="X1859" s="17"/>
      <c r="AI1859" s="17"/>
      <c r="AJ1859" s="205"/>
      <c r="AK1859" s="205"/>
      <c r="AL1859" s="205"/>
      <c r="AM1859" s="205"/>
    </row>
    <row r="1860" spans="24:39" x14ac:dyDescent="0.3">
      <c r="X1860" s="17"/>
      <c r="AI1860" s="17"/>
      <c r="AJ1860" s="205"/>
      <c r="AK1860" s="205"/>
      <c r="AL1860" s="205"/>
      <c r="AM1860" s="205"/>
    </row>
    <row r="1861" spans="24:39" x14ac:dyDescent="0.3">
      <c r="X1861" s="17"/>
      <c r="AI1861" s="17"/>
      <c r="AJ1861" s="205"/>
      <c r="AK1861" s="205"/>
      <c r="AL1861" s="205"/>
      <c r="AM1861" s="205"/>
    </row>
    <row r="1862" spans="24:39" x14ac:dyDescent="0.3">
      <c r="X1862" s="17"/>
      <c r="AI1862" s="17"/>
      <c r="AJ1862" s="205"/>
      <c r="AK1862" s="205"/>
      <c r="AL1862" s="205"/>
      <c r="AM1862" s="205"/>
    </row>
    <row r="1863" spans="24:39" x14ac:dyDescent="0.3">
      <c r="X1863" s="17"/>
      <c r="AI1863" s="17"/>
      <c r="AJ1863" s="205"/>
      <c r="AK1863" s="205"/>
      <c r="AL1863" s="205"/>
      <c r="AM1863" s="205"/>
    </row>
    <row r="1864" spans="24:39" x14ac:dyDescent="0.3">
      <c r="X1864" s="17"/>
      <c r="AI1864" s="17"/>
      <c r="AJ1864" s="205"/>
      <c r="AK1864" s="205"/>
      <c r="AL1864" s="205"/>
      <c r="AM1864" s="205"/>
    </row>
    <row r="1865" spans="24:39" x14ac:dyDescent="0.3">
      <c r="X1865" s="17"/>
      <c r="AI1865" s="17"/>
      <c r="AJ1865" s="205"/>
      <c r="AK1865" s="205"/>
      <c r="AL1865" s="205"/>
      <c r="AM1865" s="205"/>
    </row>
    <row r="1866" spans="24:39" x14ac:dyDescent="0.3">
      <c r="X1866" s="17"/>
      <c r="AI1866" s="17"/>
      <c r="AJ1866" s="205"/>
      <c r="AK1866" s="205"/>
      <c r="AL1866" s="205"/>
      <c r="AM1866" s="205"/>
    </row>
    <row r="1867" spans="24:39" x14ac:dyDescent="0.3">
      <c r="X1867" s="17"/>
      <c r="AI1867" s="17"/>
      <c r="AJ1867" s="205"/>
      <c r="AK1867" s="205"/>
      <c r="AL1867" s="205"/>
      <c r="AM1867" s="205"/>
    </row>
    <row r="1868" spans="24:39" x14ac:dyDescent="0.3">
      <c r="X1868" s="17"/>
      <c r="AI1868" s="17"/>
      <c r="AJ1868" s="205"/>
      <c r="AK1868" s="205"/>
      <c r="AL1868" s="205"/>
      <c r="AM1868" s="205"/>
    </row>
    <row r="1869" spans="24:39" x14ac:dyDescent="0.3">
      <c r="X1869" s="17"/>
      <c r="AI1869" s="17"/>
      <c r="AJ1869" s="205"/>
      <c r="AK1869" s="205"/>
      <c r="AL1869" s="205"/>
      <c r="AM1869" s="205"/>
    </row>
    <row r="1870" spans="24:39" x14ac:dyDescent="0.3">
      <c r="X1870" s="17"/>
      <c r="AI1870" s="17"/>
      <c r="AJ1870" s="205"/>
      <c r="AK1870" s="205"/>
      <c r="AL1870" s="205"/>
      <c r="AM1870" s="205"/>
    </row>
    <row r="1871" spans="24:39" x14ac:dyDescent="0.3">
      <c r="X1871" s="17"/>
      <c r="AI1871" s="17"/>
      <c r="AJ1871" s="205"/>
      <c r="AK1871" s="205"/>
      <c r="AL1871" s="205"/>
      <c r="AM1871" s="205"/>
    </row>
    <row r="1872" spans="24:39" x14ac:dyDescent="0.3">
      <c r="X1872" s="17"/>
      <c r="AI1872" s="17"/>
      <c r="AJ1872" s="205"/>
      <c r="AK1872" s="205"/>
      <c r="AL1872" s="205"/>
      <c r="AM1872" s="205"/>
    </row>
    <row r="1873" spans="24:39" x14ac:dyDescent="0.3">
      <c r="X1873" s="17"/>
      <c r="AI1873" s="17"/>
      <c r="AJ1873" s="205"/>
      <c r="AK1873" s="205"/>
      <c r="AL1873" s="205"/>
      <c r="AM1873" s="205"/>
    </row>
    <row r="1874" spans="24:39" x14ac:dyDescent="0.3">
      <c r="X1874" s="17"/>
      <c r="AI1874" s="17"/>
      <c r="AJ1874" s="205"/>
      <c r="AK1874" s="205"/>
      <c r="AL1874" s="205"/>
      <c r="AM1874" s="205"/>
    </row>
    <row r="1875" spans="24:39" x14ac:dyDescent="0.3">
      <c r="X1875" s="17"/>
      <c r="AI1875" s="17"/>
      <c r="AJ1875" s="205"/>
      <c r="AK1875" s="205"/>
      <c r="AL1875" s="205"/>
      <c r="AM1875" s="205"/>
    </row>
    <row r="1876" spans="24:39" x14ac:dyDescent="0.3">
      <c r="X1876" s="17"/>
      <c r="AI1876" s="17"/>
      <c r="AJ1876" s="205"/>
      <c r="AK1876" s="205"/>
      <c r="AL1876" s="205"/>
      <c r="AM1876" s="205"/>
    </row>
    <row r="1877" spans="24:39" x14ac:dyDescent="0.3">
      <c r="X1877" s="17"/>
      <c r="AI1877" s="17"/>
      <c r="AJ1877" s="205"/>
      <c r="AK1877" s="205"/>
      <c r="AL1877" s="205"/>
      <c r="AM1877" s="205"/>
    </row>
    <row r="1878" spans="24:39" x14ac:dyDescent="0.3">
      <c r="X1878" s="17"/>
      <c r="AI1878" s="17"/>
      <c r="AJ1878" s="205"/>
      <c r="AK1878" s="205"/>
      <c r="AL1878" s="205"/>
      <c r="AM1878" s="205"/>
    </row>
    <row r="1879" spans="24:39" x14ac:dyDescent="0.3">
      <c r="X1879" s="17"/>
      <c r="AI1879" s="17"/>
      <c r="AJ1879" s="205"/>
      <c r="AK1879" s="205"/>
      <c r="AL1879" s="205"/>
      <c r="AM1879" s="205"/>
    </row>
    <row r="1880" spans="24:39" x14ac:dyDescent="0.3">
      <c r="X1880" s="17"/>
      <c r="AI1880" s="17"/>
      <c r="AJ1880" s="205"/>
      <c r="AK1880" s="205"/>
      <c r="AL1880" s="205"/>
      <c r="AM1880" s="205"/>
    </row>
    <row r="1881" spans="24:39" x14ac:dyDescent="0.3">
      <c r="X1881" s="17"/>
      <c r="AI1881" s="17"/>
      <c r="AJ1881" s="205"/>
      <c r="AK1881" s="205"/>
      <c r="AL1881" s="205"/>
      <c r="AM1881" s="205"/>
    </row>
    <row r="1882" spans="24:39" x14ac:dyDescent="0.3">
      <c r="X1882" s="17"/>
      <c r="AI1882" s="17"/>
      <c r="AJ1882" s="205"/>
      <c r="AK1882" s="205"/>
      <c r="AL1882" s="205"/>
      <c r="AM1882" s="205"/>
    </row>
    <row r="1883" spans="24:39" x14ac:dyDescent="0.3">
      <c r="X1883" s="17"/>
      <c r="AI1883" s="17"/>
      <c r="AJ1883" s="205"/>
      <c r="AK1883" s="205"/>
      <c r="AL1883" s="205"/>
      <c r="AM1883" s="205"/>
    </row>
    <row r="1884" spans="24:39" x14ac:dyDescent="0.3">
      <c r="X1884" s="17"/>
      <c r="AI1884" s="17"/>
      <c r="AJ1884" s="205"/>
      <c r="AK1884" s="205"/>
      <c r="AL1884" s="205"/>
      <c r="AM1884" s="205"/>
    </row>
    <row r="1885" spans="24:39" x14ac:dyDescent="0.3">
      <c r="X1885" s="17"/>
      <c r="AI1885" s="17"/>
      <c r="AJ1885" s="205"/>
      <c r="AK1885" s="205"/>
      <c r="AL1885" s="205"/>
      <c r="AM1885" s="205"/>
    </row>
    <row r="1886" spans="24:39" x14ac:dyDescent="0.3">
      <c r="X1886" s="17"/>
      <c r="AI1886" s="17"/>
      <c r="AJ1886" s="205"/>
      <c r="AK1886" s="205"/>
      <c r="AL1886" s="205"/>
      <c r="AM1886" s="205"/>
    </row>
    <row r="1887" spans="24:39" x14ac:dyDescent="0.3">
      <c r="X1887" s="17"/>
      <c r="AI1887" s="17"/>
      <c r="AJ1887" s="205"/>
      <c r="AK1887" s="205"/>
      <c r="AL1887" s="205"/>
      <c r="AM1887" s="205"/>
    </row>
    <row r="1888" spans="24:39" x14ac:dyDescent="0.3">
      <c r="X1888" s="17"/>
      <c r="AI1888" s="17"/>
      <c r="AJ1888" s="205"/>
      <c r="AK1888" s="205"/>
      <c r="AL1888" s="205"/>
      <c r="AM1888" s="205"/>
    </row>
    <row r="1889" spans="24:39" x14ac:dyDescent="0.3">
      <c r="X1889" s="17"/>
      <c r="AI1889" s="17"/>
      <c r="AJ1889" s="205"/>
      <c r="AK1889" s="205"/>
      <c r="AL1889" s="205"/>
      <c r="AM1889" s="205"/>
    </row>
    <row r="1890" spans="24:39" x14ac:dyDescent="0.3">
      <c r="X1890" s="17"/>
      <c r="AI1890" s="17"/>
      <c r="AJ1890" s="205"/>
      <c r="AK1890" s="205"/>
      <c r="AL1890" s="205"/>
      <c r="AM1890" s="205"/>
    </row>
    <row r="1891" spans="24:39" x14ac:dyDescent="0.3">
      <c r="X1891" s="17"/>
      <c r="AI1891" s="17"/>
      <c r="AJ1891" s="205"/>
      <c r="AK1891" s="205"/>
      <c r="AL1891" s="205"/>
      <c r="AM1891" s="205"/>
    </row>
    <row r="1892" spans="24:39" x14ac:dyDescent="0.3">
      <c r="X1892" s="17"/>
      <c r="AI1892" s="17"/>
      <c r="AJ1892" s="205"/>
      <c r="AK1892" s="205"/>
      <c r="AL1892" s="205"/>
      <c r="AM1892" s="205"/>
    </row>
    <row r="1893" spans="24:39" x14ac:dyDescent="0.3">
      <c r="X1893" s="17"/>
      <c r="AI1893" s="17"/>
      <c r="AJ1893" s="205"/>
      <c r="AK1893" s="205"/>
      <c r="AL1893" s="205"/>
      <c r="AM1893" s="205"/>
    </row>
    <row r="1894" spans="24:39" x14ac:dyDescent="0.3">
      <c r="X1894" s="17"/>
      <c r="AI1894" s="17"/>
      <c r="AJ1894" s="205"/>
      <c r="AK1894" s="205"/>
      <c r="AL1894" s="205"/>
      <c r="AM1894" s="205"/>
    </row>
    <row r="1895" spans="24:39" x14ac:dyDescent="0.3">
      <c r="X1895" s="17"/>
      <c r="AI1895" s="17"/>
      <c r="AJ1895" s="205"/>
      <c r="AK1895" s="205"/>
      <c r="AL1895" s="205"/>
      <c r="AM1895" s="205"/>
    </row>
    <row r="1896" spans="24:39" x14ac:dyDescent="0.3">
      <c r="X1896" s="17"/>
      <c r="AI1896" s="17"/>
      <c r="AJ1896" s="205"/>
      <c r="AK1896" s="205"/>
      <c r="AL1896" s="205"/>
      <c r="AM1896" s="205"/>
    </row>
    <row r="1897" spans="24:39" x14ac:dyDescent="0.3">
      <c r="X1897" s="17"/>
      <c r="AI1897" s="17"/>
      <c r="AJ1897" s="205"/>
      <c r="AK1897" s="205"/>
      <c r="AL1897" s="205"/>
      <c r="AM1897" s="205"/>
    </row>
    <row r="1898" spans="24:39" x14ac:dyDescent="0.3">
      <c r="X1898" s="17"/>
      <c r="AI1898" s="17"/>
      <c r="AJ1898" s="205"/>
      <c r="AK1898" s="205"/>
      <c r="AL1898" s="205"/>
      <c r="AM1898" s="205"/>
    </row>
    <row r="1899" spans="24:39" x14ac:dyDescent="0.3">
      <c r="X1899" s="17"/>
      <c r="AI1899" s="17"/>
      <c r="AJ1899" s="205"/>
      <c r="AK1899" s="205"/>
      <c r="AL1899" s="205"/>
      <c r="AM1899" s="205"/>
    </row>
    <row r="1900" spans="24:39" x14ac:dyDescent="0.3">
      <c r="X1900" s="17"/>
      <c r="AI1900" s="17"/>
      <c r="AJ1900" s="205"/>
      <c r="AK1900" s="205"/>
      <c r="AL1900" s="205"/>
      <c r="AM1900" s="205"/>
    </row>
    <row r="1901" spans="24:39" x14ac:dyDescent="0.3">
      <c r="X1901" s="17"/>
      <c r="AI1901" s="17"/>
      <c r="AJ1901" s="205"/>
      <c r="AK1901" s="205"/>
      <c r="AL1901" s="205"/>
      <c r="AM1901" s="205"/>
    </row>
    <row r="1902" spans="24:39" x14ac:dyDescent="0.3">
      <c r="X1902" s="17"/>
      <c r="AI1902" s="17"/>
      <c r="AJ1902" s="205"/>
      <c r="AK1902" s="205"/>
      <c r="AL1902" s="205"/>
      <c r="AM1902" s="205"/>
    </row>
    <row r="1903" spans="24:39" x14ac:dyDescent="0.3">
      <c r="X1903" s="17"/>
      <c r="AI1903" s="17"/>
      <c r="AJ1903" s="205"/>
      <c r="AK1903" s="205"/>
      <c r="AL1903" s="205"/>
      <c r="AM1903" s="205"/>
    </row>
    <row r="1904" spans="24:39" x14ac:dyDescent="0.3">
      <c r="X1904" s="17"/>
      <c r="AI1904" s="17"/>
      <c r="AJ1904" s="205"/>
      <c r="AK1904" s="205"/>
      <c r="AL1904" s="205"/>
      <c r="AM1904" s="205"/>
    </row>
    <row r="1905" spans="24:39" x14ac:dyDescent="0.3">
      <c r="X1905" s="17"/>
      <c r="AI1905" s="17"/>
      <c r="AJ1905" s="205"/>
      <c r="AK1905" s="205"/>
      <c r="AL1905" s="205"/>
      <c r="AM1905" s="205"/>
    </row>
    <row r="1906" spans="24:39" x14ac:dyDescent="0.3">
      <c r="X1906" s="17"/>
      <c r="AI1906" s="17"/>
      <c r="AJ1906" s="205"/>
      <c r="AK1906" s="205"/>
      <c r="AL1906" s="205"/>
      <c r="AM1906" s="205"/>
    </row>
    <row r="1907" spans="24:39" x14ac:dyDescent="0.3">
      <c r="X1907" s="17"/>
      <c r="AI1907" s="17"/>
      <c r="AJ1907" s="205"/>
      <c r="AK1907" s="205"/>
      <c r="AL1907" s="205"/>
      <c r="AM1907" s="205"/>
    </row>
    <row r="1908" spans="24:39" x14ac:dyDescent="0.3">
      <c r="X1908" s="17"/>
      <c r="AI1908" s="17"/>
      <c r="AJ1908" s="205"/>
      <c r="AK1908" s="205"/>
      <c r="AL1908" s="205"/>
      <c r="AM1908" s="205"/>
    </row>
    <row r="1909" spans="24:39" x14ac:dyDescent="0.3">
      <c r="X1909" s="17"/>
      <c r="AI1909" s="17"/>
      <c r="AJ1909" s="205"/>
      <c r="AK1909" s="205"/>
      <c r="AL1909" s="205"/>
      <c r="AM1909" s="205"/>
    </row>
    <row r="1910" spans="24:39" x14ac:dyDescent="0.3">
      <c r="X1910" s="17"/>
      <c r="AI1910" s="17"/>
      <c r="AJ1910" s="205"/>
      <c r="AK1910" s="205"/>
      <c r="AL1910" s="205"/>
      <c r="AM1910" s="205"/>
    </row>
    <row r="1911" spans="24:39" x14ac:dyDescent="0.3">
      <c r="X1911" s="17"/>
      <c r="AI1911" s="17"/>
      <c r="AJ1911" s="205"/>
      <c r="AK1911" s="205"/>
      <c r="AL1911" s="205"/>
      <c r="AM1911" s="205"/>
    </row>
    <row r="1912" spans="24:39" x14ac:dyDescent="0.3">
      <c r="X1912" s="17"/>
      <c r="AI1912" s="17"/>
      <c r="AJ1912" s="205"/>
      <c r="AK1912" s="205"/>
      <c r="AL1912" s="205"/>
      <c r="AM1912" s="205"/>
    </row>
    <row r="1913" spans="24:39" x14ac:dyDescent="0.3">
      <c r="X1913" s="17"/>
      <c r="AI1913" s="17"/>
      <c r="AJ1913" s="205"/>
      <c r="AK1913" s="205"/>
      <c r="AL1913" s="205"/>
      <c r="AM1913" s="205"/>
    </row>
    <row r="1914" spans="24:39" x14ac:dyDescent="0.3">
      <c r="X1914" s="17"/>
      <c r="AI1914" s="17"/>
      <c r="AJ1914" s="205"/>
      <c r="AK1914" s="205"/>
      <c r="AL1914" s="205"/>
      <c r="AM1914" s="205"/>
    </row>
    <row r="1915" spans="24:39" x14ac:dyDescent="0.3">
      <c r="X1915" s="17"/>
      <c r="AI1915" s="17"/>
      <c r="AJ1915" s="205"/>
      <c r="AK1915" s="205"/>
      <c r="AL1915" s="205"/>
      <c r="AM1915" s="205"/>
    </row>
    <row r="1916" spans="24:39" x14ac:dyDescent="0.3">
      <c r="X1916" s="17"/>
      <c r="AI1916" s="17"/>
      <c r="AJ1916" s="205"/>
      <c r="AK1916" s="205"/>
      <c r="AL1916" s="205"/>
      <c r="AM1916" s="205"/>
    </row>
    <row r="1917" spans="24:39" x14ac:dyDescent="0.3">
      <c r="X1917" s="17"/>
      <c r="AI1917" s="17"/>
      <c r="AJ1917" s="205"/>
      <c r="AK1917" s="205"/>
      <c r="AL1917" s="205"/>
      <c r="AM1917" s="205"/>
    </row>
    <row r="1918" spans="24:39" x14ac:dyDescent="0.3">
      <c r="X1918" s="17"/>
      <c r="AI1918" s="17"/>
      <c r="AJ1918" s="205"/>
      <c r="AK1918" s="205"/>
      <c r="AL1918" s="205"/>
      <c r="AM1918" s="205"/>
    </row>
    <row r="1919" spans="24:39" x14ac:dyDescent="0.3">
      <c r="X1919" s="17"/>
      <c r="AI1919" s="17"/>
      <c r="AJ1919" s="205"/>
      <c r="AK1919" s="205"/>
      <c r="AL1919" s="205"/>
      <c r="AM1919" s="205"/>
    </row>
    <row r="1920" spans="24:39" x14ac:dyDescent="0.3">
      <c r="X1920" s="17"/>
      <c r="AI1920" s="17"/>
      <c r="AJ1920" s="205"/>
      <c r="AK1920" s="205"/>
      <c r="AL1920" s="205"/>
      <c r="AM1920" s="205"/>
    </row>
    <row r="1921" spans="24:39" x14ac:dyDescent="0.3">
      <c r="X1921" s="17"/>
      <c r="AI1921" s="17"/>
      <c r="AJ1921" s="205"/>
      <c r="AK1921" s="205"/>
      <c r="AL1921" s="205"/>
      <c r="AM1921" s="205"/>
    </row>
    <row r="1922" spans="24:39" x14ac:dyDescent="0.3">
      <c r="X1922" s="17"/>
      <c r="AI1922" s="17"/>
      <c r="AJ1922" s="205"/>
      <c r="AK1922" s="205"/>
      <c r="AL1922" s="205"/>
      <c r="AM1922" s="205"/>
    </row>
    <row r="1923" spans="24:39" x14ac:dyDescent="0.3">
      <c r="X1923" s="17"/>
      <c r="AI1923" s="17"/>
      <c r="AJ1923" s="205"/>
      <c r="AK1923" s="205"/>
      <c r="AL1923" s="205"/>
      <c r="AM1923" s="205"/>
    </row>
    <row r="1924" spans="24:39" x14ac:dyDescent="0.3">
      <c r="X1924" s="17"/>
      <c r="AI1924" s="17"/>
      <c r="AJ1924" s="205"/>
      <c r="AK1924" s="205"/>
      <c r="AL1924" s="205"/>
      <c r="AM1924" s="205"/>
    </row>
    <row r="1925" spans="24:39" x14ac:dyDescent="0.3">
      <c r="X1925" s="17"/>
      <c r="AI1925" s="17"/>
      <c r="AJ1925" s="205"/>
      <c r="AK1925" s="205"/>
      <c r="AL1925" s="205"/>
      <c r="AM1925" s="205"/>
    </row>
    <row r="1926" spans="24:39" x14ac:dyDescent="0.3">
      <c r="X1926" s="17"/>
      <c r="AI1926" s="17"/>
      <c r="AJ1926" s="205"/>
      <c r="AK1926" s="205"/>
      <c r="AL1926" s="205"/>
      <c r="AM1926" s="205"/>
    </row>
    <row r="1927" spans="24:39" x14ac:dyDescent="0.3">
      <c r="X1927" s="17"/>
      <c r="AI1927" s="17"/>
      <c r="AJ1927" s="205"/>
      <c r="AK1927" s="205"/>
      <c r="AL1927" s="205"/>
      <c r="AM1927" s="205"/>
    </row>
    <row r="1928" spans="24:39" x14ac:dyDescent="0.3">
      <c r="X1928" s="17"/>
      <c r="AI1928" s="17"/>
      <c r="AJ1928" s="205"/>
      <c r="AK1928" s="205"/>
      <c r="AL1928" s="205"/>
      <c r="AM1928" s="205"/>
    </row>
    <row r="1929" spans="24:39" x14ac:dyDescent="0.3">
      <c r="X1929" s="17"/>
      <c r="AI1929" s="17"/>
      <c r="AJ1929" s="205"/>
      <c r="AK1929" s="205"/>
      <c r="AL1929" s="205"/>
      <c r="AM1929" s="205"/>
    </row>
    <row r="1930" spans="24:39" x14ac:dyDescent="0.3">
      <c r="X1930" s="17"/>
      <c r="AI1930" s="17"/>
      <c r="AJ1930" s="205"/>
      <c r="AK1930" s="205"/>
      <c r="AL1930" s="205"/>
      <c r="AM1930" s="205"/>
    </row>
    <row r="1931" spans="24:39" x14ac:dyDescent="0.3">
      <c r="X1931" s="17"/>
      <c r="AI1931" s="17"/>
      <c r="AJ1931" s="205"/>
      <c r="AK1931" s="205"/>
      <c r="AL1931" s="205"/>
      <c r="AM1931" s="205"/>
    </row>
    <row r="1932" spans="24:39" x14ac:dyDescent="0.3">
      <c r="X1932" s="17"/>
      <c r="AI1932" s="17"/>
      <c r="AJ1932" s="205"/>
      <c r="AK1932" s="205"/>
      <c r="AL1932" s="205"/>
      <c r="AM1932" s="205"/>
    </row>
    <row r="1933" spans="24:39" x14ac:dyDescent="0.3">
      <c r="X1933" s="17"/>
      <c r="AI1933" s="17"/>
      <c r="AJ1933" s="205"/>
      <c r="AK1933" s="205"/>
      <c r="AL1933" s="205"/>
      <c r="AM1933" s="205"/>
    </row>
    <row r="1934" spans="24:39" x14ac:dyDescent="0.3">
      <c r="X1934" s="17"/>
      <c r="AI1934" s="17"/>
      <c r="AJ1934" s="205"/>
      <c r="AK1934" s="205"/>
      <c r="AL1934" s="205"/>
      <c r="AM1934" s="205"/>
    </row>
    <row r="1935" spans="24:39" x14ac:dyDescent="0.3">
      <c r="X1935" s="17"/>
      <c r="AI1935" s="17"/>
      <c r="AJ1935" s="205"/>
      <c r="AK1935" s="205"/>
      <c r="AL1935" s="205"/>
      <c r="AM1935" s="205"/>
    </row>
    <row r="1936" spans="24:39" x14ac:dyDescent="0.3">
      <c r="X1936" s="17"/>
      <c r="AI1936" s="17"/>
      <c r="AJ1936" s="205"/>
      <c r="AK1936" s="205"/>
      <c r="AL1936" s="205"/>
      <c r="AM1936" s="205"/>
    </row>
    <row r="1937" spans="24:39" x14ac:dyDescent="0.3">
      <c r="X1937" s="17"/>
      <c r="AI1937" s="17"/>
      <c r="AJ1937" s="205"/>
      <c r="AK1937" s="205"/>
      <c r="AL1937" s="205"/>
      <c r="AM1937" s="205"/>
    </row>
    <row r="1938" spans="24:39" x14ac:dyDescent="0.3">
      <c r="X1938" s="17"/>
      <c r="AI1938" s="17"/>
      <c r="AJ1938" s="205"/>
      <c r="AK1938" s="205"/>
      <c r="AL1938" s="205"/>
      <c r="AM1938" s="205"/>
    </row>
    <row r="1939" spans="24:39" x14ac:dyDescent="0.3">
      <c r="X1939" s="17"/>
      <c r="AI1939" s="17"/>
      <c r="AJ1939" s="205"/>
      <c r="AK1939" s="205"/>
      <c r="AL1939" s="205"/>
      <c r="AM1939" s="205"/>
    </row>
    <row r="1940" spans="24:39" x14ac:dyDescent="0.3">
      <c r="X1940" s="17"/>
      <c r="AI1940" s="17"/>
      <c r="AJ1940" s="205"/>
      <c r="AK1940" s="205"/>
      <c r="AL1940" s="205"/>
      <c r="AM1940" s="205"/>
    </row>
    <row r="1941" spans="24:39" x14ac:dyDescent="0.3">
      <c r="X1941" s="17"/>
      <c r="AI1941" s="17"/>
      <c r="AJ1941" s="205"/>
      <c r="AK1941" s="205"/>
      <c r="AL1941" s="205"/>
      <c r="AM1941" s="205"/>
    </row>
    <row r="1942" spans="24:39" x14ac:dyDescent="0.3">
      <c r="X1942" s="17"/>
      <c r="AI1942" s="17"/>
      <c r="AJ1942" s="205"/>
      <c r="AK1942" s="205"/>
      <c r="AL1942" s="205"/>
      <c r="AM1942" s="205"/>
    </row>
    <row r="1943" spans="24:39" x14ac:dyDescent="0.3">
      <c r="X1943" s="17"/>
      <c r="AI1943" s="17"/>
      <c r="AJ1943" s="205"/>
      <c r="AK1943" s="205"/>
      <c r="AL1943" s="205"/>
      <c r="AM1943" s="205"/>
    </row>
    <row r="1944" spans="24:39" x14ac:dyDescent="0.3">
      <c r="X1944" s="17"/>
      <c r="AI1944" s="17"/>
      <c r="AJ1944" s="205"/>
      <c r="AK1944" s="205"/>
      <c r="AL1944" s="205"/>
      <c r="AM1944" s="205"/>
    </row>
    <row r="1945" spans="24:39" x14ac:dyDescent="0.3">
      <c r="X1945" s="17"/>
      <c r="AI1945" s="17"/>
      <c r="AJ1945" s="205"/>
      <c r="AK1945" s="205"/>
      <c r="AL1945" s="205"/>
      <c r="AM1945" s="205"/>
    </row>
    <row r="1946" spans="24:39" x14ac:dyDescent="0.3">
      <c r="X1946" s="17"/>
      <c r="AI1946" s="17"/>
      <c r="AJ1946" s="205"/>
      <c r="AK1946" s="205"/>
      <c r="AL1946" s="205"/>
      <c r="AM1946" s="205"/>
    </row>
    <row r="1947" spans="24:39" x14ac:dyDescent="0.3">
      <c r="X1947" s="17"/>
      <c r="AI1947" s="17"/>
      <c r="AJ1947" s="205"/>
      <c r="AK1947" s="205"/>
      <c r="AL1947" s="205"/>
      <c r="AM1947" s="205"/>
    </row>
    <row r="1948" spans="24:39" x14ac:dyDescent="0.3">
      <c r="X1948" s="17"/>
      <c r="AI1948" s="17"/>
      <c r="AJ1948" s="205"/>
      <c r="AK1948" s="205"/>
      <c r="AL1948" s="205"/>
      <c r="AM1948" s="205"/>
    </row>
    <row r="1949" spans="24:39" x14ac:dyDescent="0.3">
      <c r="X1949" s="17"/>
      <c r="AI1949" s="17"/>
      <c r="AJ1949" s="205"/>
      <c r="AK1949" s="205"/>
      <c r="AL1949" s="205"/>
      <c r="AM1949" s="205"/>
    </row>
    <row r="1950" spans="24:39" x14ac:dyDescent="0.3">
      <c r="X1950" s="17"/>
      <c r="AI1950" s="17"/>
      <c r="AJ1950" s="205"/>
      <c r="AK1950" s="205"/>
      <c r="AL1950" s="205"/>
      <c r="AM1950" s="205"/>
    </row>
    <row r="1951" spans="24:39" x14ac:dyDescent="0.3">
      <c r="X1951" s="17"/>
      <c r="AI1951" s="17"/>
      <c r="AJ1951" s="205"/>
      <c r="AK1951" s="205"/>
      <c r="AL1951" s="205"/>
      <c r="AM1951" s="205"/>
    </row>
    <row r="1952" spans="24:39" x14ac:dyDescent="0.3">
      <c r="X1952" s="17"/>
      <c r="AI1952" s="17"/>
      <c r="AJ1952" s="205"/>
      <c r="AK1952" s="205"/>
      <c r="AL1952" s="205"/>
      <c r="AM1952" s="205"/>
    </row>
    <row r="1953" spans="24:39" x14ac:dyDescent="0.3">
      <c r="X1953" s="17"/>
      <c r="AI1953" s="17"/>
      <c r="AJ1953" s="205"/>
      <c r="AK1953" s="205"/>
      <c r="AL1953" s="205"/>
      <c r="AM1953" s="205"/>
    </row>
    <row r="1954" spans="24:39" x14ac:dyDescent="0.3">
      <c r="X1954" s="17"/>
      <c r="AI1954" s="17"/>
      <c r="AJ1954" s="205"/>
      <c r="AK1954" s="205"/>
      <c r="AL1954" s="205"/>
      <c r="AM1954" s="205"/>
    </row>
    <row r="1955" spans="24:39" x14ac:dyDescent="0.3">
      <c r="X1955" s="17"/>
      <c r="AI1955" s="17"/>
      <c r="AJ1955" s="205"/>
      <c r="AK1955" s="205"/>
      <c r="AL1955" s="205"/>
      <c r="AM1955" s="205"/>
    </row>
    <row r="1956" spans="24:39" x14ac:dyDescent="0.3">
      <c r="X1956" s="17"/>
      <c r="AI1956" s="17"/>
      <c r="AJ1956" s="205"/>
      <c r="AK1956" s="205"/>
      <c r="AL1956" s="205"/>
      <c r="AM1956" s="205"/>
    </row>
    <row r="1957" spans="24:39" x14ac:dyDescent="0.3">
      <c r="X1957" s="17"/>
      <c r="AI1957" s="17"/>
      <c r="AJ1957" s="205"/>
      <c r="AK1957" s="205"/>
      <c r="AL1957" s="205"/>
      <c r="AM1957" s="205"/>
    </row>
    <row r="1958" spans="24:39" x14ac:dyDescent="0.3">
      <c r="X1958" s="17"/>
      <c r="AI1958" s="17"/>
      <c r="AJ1958" s="205"/>
      <c r="AK1958" s="205"/>
      <c r="AL1958" s="205"/>
      <c r="AM1958" s="205"/>
    </row>
    <row r="1959" spans="24:39" x14ac:dyDescent="0.3">
      <c r="X1959" s="17"/>
      <c r="AI1959" s="17"/>
      <c r="AJ1959" s="205"/>
      <c r="AK1959" s="205"/>
      <c r="AL1959" s="205"/>
      <c r="AM1959" s="205"/>
    </row>
    <row r="1960" spans="24:39" x14ac:dyDescent="0.3">
      <c r="X1960" s="17"/>
      <c r="AI1960" s="17"/>
      <c r="AJ1960" s="205"/>
      <c r="AK1960" s="205"/>
      <c r="AL1960" s="205"/>
      <c r="AM1960" s="205"/>
    </row>
    <row r="1961" spans="24:39" x14ac:dyDescent="0.3">
      <c r="X1961" s="17"/>
      <c r="AI1961" s="17"/>
      <c r="AJ1961" s="205"/>
      <c r="AK1961" s="205"/>
      <c r="AL1961" s="205"/>
      <c r="AM1961" s="205"/>
    </row>
    <row r="1962" spans="24:39" x14ac:dyDescent="0.3">
      <c r="X1962" s="17"/>
      <c r="AI1962" s="17"/>
      <c r="AJ1962" s="205"/>
      <c r="AK1962" s="205"/>
      <c r="AL1962" s="205"/>
      <c r="AM1962" s="205"/>
    </row>
    <row r="1963" spans="24:39" x14ac:dyDescent="0.3">
      <c r="X1963" s="17"/>
      <c r="AI1963" s="17"/>
      <c r="AJ1963" s="205"/>
      <c r="AK1963" s="205"/>
      <c r="AL1963" s="205"/>
      <c r="AM1963" s="205"/>
    </row>
    <row r="1964" spans="24:39" x14ac:dyDescent="0.3">
      <c r="X1964" s="17"/>
      <c r="AI1964" s="17"/>
      <c r="AJ1964" s="205"/>
      <c r="AK1964" s="205"/>
      <c r="AL1964" s="205"/>
      <c r="AM1964" s="205"/>
    </row>
    <row r="1965" spans="24:39" x14ac:dyDescent="0.3">
      <c r="X1965" s="17"/>
      <c r="AI1965" s="17"/>
      <c r="AJ1965" s="205"/>
      <c r="AK1965" s="205"/>
      <c r="AL1965" s="205"/>
      <c r="AM1965" s="205"/>
    </row>
    <row r="1966" spans="24:39" x14ac:dyDescent="0.3">
      <c r="X1966" s="17"/>
      <c r="AI1966" s="17"/>
      <c r="AJ1966" s="205"/>
      <c r="AK1966" s="205"/>
      <c r="AL1966" s="205"/>
      <c r="AM1966" s="205"/>
    </row>
    <row r="1967" spans="24:39" x14ac:dyDescent="0.3">
      <c r="X1967" s="17"/>
      <c r="AI1967" s="17"/>
      <c r="AJ1967" s="205"/>
      <c r="AK1967" s="205"/>
      <c r="AL1967" s="205"/>
      <c r="AM1967" s="205"/>
    </row>
    <row r="1968" spans="24:39" x14ac:dyDescent="0.3">
      <c r="X1968" s="17"/>
      <c r="AI1968" s="17"/>
      <c r="AJ1968" s="205"/>
      <c r="AK1968" s="205"/>
      <c r="AL1968" s="205"/>
      <c r="AM1968" s="205"/>
    </row>
    <row r="1969" spans="24:39" x14ac:dyDescent="0.3">
      <c r="X1969" s="17"/>
      <c r="AI1969" s="17"/>
      <c r="AJ1969" s="205"/>
      <c r="AK1969" s="205"/>
      <c r="AL1969" s="205"/>
      <c r="AM1969" s="205"/>
    </row>
    <row r="1970" spans="24:39" x14ac:dyDescent="0.3">
      <c r="X1970" s="17"/>
      <c r="AI1970" s="17"/>
      <c r="AJ1970" s="205"/>
      <c r="AK1970" s="205"/>
      <c r="AL1970" s="205"/>
      <c r="AM1970" s="205"/>
    </row>
    <row r="1971" spans="24:39" x14ac:dyDescent="0.3">
      <c r="X1971" s="17"/>
      <c r="AI1971" s="17"/>
      <c r="AJ1971" s="205"/>
      <c r="AK1971" s="205"/>
      <c r="AL1971" s="205"/>
      <c r="AM1971" s="205"/>
    </row>
    <row r="1972" spans="24:39" x14ac:dyDescent="0.3">
      <c r="X1972" s="17"/>
      <c r="AI1972" s="17"/>
      <c r="AJ1972" s="205"/>
      <c r="AK1972" s="205"/>
      <c r="AL1972" s="205"/>
      <c r="AM1972" s="205"/>
    </row>
    <row r="1973" spans="24:39" x14ac:dyDescent="0.3">
      <c r="X1973" s="17"/>
      <c r="AI1973" s="17"/>
      <c r="AJ1973" s="205"/>
      <c r="AK1973" s="205"/>
      <c r="AL1973" s="205"/>
      <c r="AM1973" s="205"/>
    </row>
    <row r="1974" spans="24:39" x14ac:dyDescent="0.3">
      <c r="X1974" s="17"/>
      <c r="AI1974" s="17"/>
      <c r="AJ1974" s="205"/>
      <c r="AK1974" s="205"/>
      <c r="AL1974" s="205"/>
      <c r="AM1974" s="205"/>
    </row>
    <row r="1975" spans="24:39" x14ac:dyDescent="0.3">
      <c r="X1975" s="17"/>
      <c r="AI1975" s="17"/>
      <c r="AJ1975" s="205"/>
      <c r="AK1975" s="205"/>
      <c r="AL1975" s="205"/>
      <c r="AM1975" s="205"/>
    </row>
    <row r="1976" spans="24:39" x14ac:dyDescent="0.3">
      <c r="X1976" s="17"/>
      <c r="AI1976" s="17"/>
      <c r="AJ1976" s="205"/>
      <c r="AK1976" s="205"/>
      <c r="AL1976" s="205"/>
      <c r="AM1976" s="205"/>
    </row>
    <row r="1977" spans="24:39" x14ac:dyDescent="0.3">
      <c r="X1977" s="17"/>
      <c r="AI1977" s="17"/>
      <c r="AJ1977" s="205"/>
      <c r="AK1977" s="205"/>
      <c r="AL1977" s="205"/>
      <c r="AM1977" s="205"/>
    </row>
    <row r="1978" spans="24:39" x14ac:dyDescent="0.3">
      <c r="X1978" s="17"/>
      <c r="AI1978" s="17"/>
      <c r="AJ1978" s="205"/>
      <c r="AK1978" s="205"/>
      <c r="AL1978" s="205"/>
      <c r="AM1978" s="205"/>
    </row>
    <row r="1979" spans="24:39" x14ac:dyDescent="0.3">
      <c r="X1979" s="17"/>
      <c r="AI1979" s="17"/>
      <c r="AJ1979" s="205"/>
      <c r="AK1979" s="205"/>
      <c r="AL1979" s="205"/>
      <c r="AM1979" s="205"/>
    </row>
    <row r="1980" spans="24:39" x14ac:dyDescent="0.3">
      <c r="X1980" s="17"/>
      <c r="AI1980" s="17"/>
      <c r="AJ1980" s="205"/>
      <c r="AK1980" s="205"/>
      <c r="AL1980" s="205"/>
      <c r="AM1980" s="205"/>
    </row>
    <row r="1981" spans="24:39" x14ac:dyDescent="0.3">
      <c r="X1981" s="17"/>
      <c r="AI1981" s="17"/>
      <c r="AJ1981" s="205"/>
      <c r="AK1981" s="205"/>
      <c r="AL1981" s="205"/>
      <c r="AM1981" s="205"/>
    </row>
    <row r="1982" spans="24:39" x14ac:dyDescent="0.3">
      <c r="X1982" s="17"/>
      <c r="AI1982" s="17"/>
      <c r="AJ1982" s="205"/>
      <c r="AK1982" s="205"/>
      <c r="AL1982" s="205"/>
      <c r="AM1982" s="205"/>
    </row>
    <row r="1983" spans="24:39" x14ac:dyDescent="0.3">
      <c r="X1983" s="17"/>
      <c r="AI1983" s="17"/>
      <c r="AJ1983" s="205"/>
      <c r="AK1983" s="205"/>
      <c r="AL1983" s="205"/>
      <c r="AM1983" s="205"/>
    </row>
    <row r="1984" spans="24:39" x14ac:dyDescent="0.3">
      <c r="X1984" s="17"/>
      <c r="AI1984" s="17"/>
      <c r="AJ1984" s="205"/>
      <c r="AK1984" s="205"/>
      <c r="AL1984" s="205"/>
      <c r="AM1984" s="205"/>
    </row>
    <row r="1985" spans="24:39" x14ac:dyDescent="0.3">
      <c r="X1985" s="17"/>
      <c r="AI1985" s="17"/>
      <c r="AJ1985" s="205"/>
      <c r="AK1985" s="205"/>
      <c r="AL1985" s="205"/>
      <c r="AM1985" s="205"/>
    </row>
    <row r="1986" spans="24:39" x14ac:dyDescent="0.3">
      <c r="X1986" s="17"/>
      <c r="AI1986" s="17"/>
      <c r="AJ1986" s="205"/>
      <c r="AK1986" s="205"/>
      <c r="AL1986" s="205"/>
      <c r="AM1986" s="205"/>
    </row>
    <row r="1987" spans="24:39" x14ac:dyDescent="0.3">
      <c r="X1987" s="17"/>
      <c r="AI1987" s="17"/>
      <c r="AJ1987" s="205"/>
      <c r="AK1987" s="205"/>
      <c r="AL1987" s="205"/>
      <c r="AM1987" s="205"/>
    </row>
    <row r="1988" spans="24:39" x14ac:dyDescent="0.3">
      <c r="X1988" s="17"/>
      <c r="AI1988" s="17"/>
      <c r="AJ1988" s="205"/>
      <c r="AK1988" s="205"/>
      <c r="AL1988" s="205"/>
      <c r="AM1988" s="205"/>
    </row>
    <row r="1989" spans="24:39" x14ac:dyDescent="0.3">
      <c r="X1989" s="17"/>
      <c r="AI1989" s="17"/>
      <c r="AJ1989" s="205"/>
      <c r="AK1989" s="205"/>
      <c r="AL1989" s="205"/>
      <c r="AM1989" s="205"/>
    </row>
    <row r="1990" spans="24:39" x14ac:dyDescent="0.3">
      <c r="X1990" s="17"/>
      <c r="AI1990" s="17"/>
      <c r="AJ1990" s="205"/>
      <c r="AK1990" s="205"/>
      <c r="AL1990" s="205"/>
      <c r="AM1990" s="205"/>
    </row>
    <row r="1991" spans="24:39" x14ac:dyDescent="0.3">
      <c r="X1991" s="17"/>
      <c r="AI1991" s="17"/>
      <c r="AJ1991" s="205"/>
      <c r="AK1991" s="205"/>
      <c r="AL1991" s="205"/>
      <c r="AM1991" s="205"/>
    </row>
    <row r="1992" spans="24:39" x14ac:dyDescent="0.3">
      <c r="X1992" s="17"/>
      <c r="AI1992" s="17"/>
      <c r="AJ1992" s="205"/>
      <c r="AK1992" s="205"/>
      <c r="AL1992" s="205"/>
      <c r="AM1992" s="205"/>
    </row>
    <row r="1993" spans="24:39" x14ac:dyDescent="0.3">
      <c r="X1993" s="17"/>
      <c r="AI1993" s="17"/>
      <c r="AJ1993" s="205"/>
      <c r="AK1993" s="205"/>
      <c r="AL1993" s="205"/>
      <c r="AM1993" s="205"/>
    </row>
    <row r="1994" spans="24:39" x14ac:dyDescent="0.3">
      <c r="X1994" s="17"/>
      <c r="AI1994" s="17"/>
      <c r="AJ1994" s="205"/>
      <c r="AK1994" s="205"/>
      <c r="AL1994" s="205"/>
      <c r="AM1994" s="205"/>
    </row>
    <row r="1995" spans="24:39" x14ac:dyDescent="0.3">
      <c r="X1995" s="17"/>
      <c r="AI1995" s="17"/>
      <c r="AJ1995" s="205"/>
      <c r="AK1995" s="205"/>
      <c r="AL1995" s="205"/>
      <c r="AM1995" s="205"/>
    </row>
    <row r="1996" spans="24:39" x14ac:dyDescent="0.3">
      <c r="X1996" s="17"/>
      <c r="AI1996" s="17"/>
      <c r="AJ1996" s="205"/>
      <c r="AK1996" s="205"/>
      <c r="AL1996" s="205"/>
      <c r="AM1996" s="205"/>
    </row>
    <row r="1997" spans="24:39" x14ac:dyDescent="0.3">
      <c r="X1997" s="17"/>
      <c r="AI1997" s="17"/>
      <c r="AJ1997" s="205"/>
      <c r="AK1997" s="205"/>
      <c r="AL1997" s="205"/>
      <c r="AM1997" s="205"/>
    </row>
    <row r="1998" spans="24:39" x14ac:dyDescent="0.3">
      <c r="X1998" s="17"/>
      <c r="AI1998" s="17"/>
      <c r="AJ1998" s="205"/>
      <c r="AK1998" s="205"/>
      <c r="AL1998" s="205"/>
      <c r="AM1998" s="205"/>
    </row>
    <row r="1999" spans="24:39" x14ac:dyDescent="0.3">
      <c r="X1999" s="17"/>
      <c r="AI1999" s="17"/>
      <c r="AJ1999" s="205"/>
      <c r="AK1999" s="205"/>
      <c r="AL1999" s="205"/>
      <c r="AM1999" s="205"/>
    </row>
    <row r="2000" spans="24:39" x14ac:dyDescent="0.3">
      <c r="X2000" s="17"/>
      <c r="AI2000" s="17"/>
      <c r="AJ2000" s="205"/>
      <c r="AK2000" s="205"/>
      <c r="AL2000" s="205"/>
      <c r="AM2000" s="205"/>
    </row>
  </sheetData>
  <pageMargins left="0.7" right="0.7" top="0.75" bottom="0.75" header="0.3" footer="0.3"/>
  <pageSetup orientation="portrait" horizontalDpi="90" verticalDpi="9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B20"/>
  <sheetViews>
    <sheetView showRowColHeaders="0" topLeftCell="A2" zoomScale="85" zoomScaleNormal="85"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19.44140625" customWidth="1"/>
    <col min="3" max="3" width="16.44140625" bestFit="1" customWidth="1"/>
    <col min="4" max="4" width="13.88671875" bestFit="1" customWidth="1"/>
    <col min="5" max="5" width="13.5546875" bestFit="1" customWidth="1"/>
    <col min="6" max="6" width="11.5546875" bestFit="1" customWidth="1"/>
    <col min="7" max="7" width="28" bestFit="1" customWidth="1"/>
    <col min="11" max="11" width="15.6640625" bestFit="1" customWidth="1"/>
  </cols>
  <sheetData>
    <row r="1" spans="1:28" ht="15" customHeight="1" thickBot="1" x14ac:dyDescent="0.35">
      <c r="A1" s="7" t="s">
        <v>769</v>
      </c>
      <c r="B1" s="8" t="s">
        <v>770</v>
      </c>
      <c r="C1" s="8" t="s">
        <v>771</v>
      </c>
      <c r="D1" s="8" t="s">
        <v>772</v>
      </c>
      <c r="E1" s="8" t="s">
        <v>773</v>
      </c>
      <c r="F1" s="8" t="s">
        <v>774</v>
      </c>
      <c r="G1" s="8" t="s">
        <v>654</v>
      </c>
      <c r="H1" s="9" t="s">
        <v>775</v>
      </c>
      <c r="AB1" t="s">
        <v>776</v>
      </c>
    </row>
    <row r="2" spans="1:28" ht="15" customHeight="1" thickBot="1" x14ac:dyDescent="0.35">
      <c r="A2" s="6">
        <v>106</v>
      </c>
      <c r="B2" s="12" t="s">
        <v>777</v>
      </c>
      <c r="C2" s="12" t="s">
        <v>1169</v>
      </c>
      <c r="D2" s="69">
        <v>3750000</v>
      </c>
      <c r="E2" s="69">
        <v>3750000</v>
      </c>
      <c r="F2" s="12" t="s">
        <v>778</v>
      </c>
      <c r="G2" s="16">
        <v>46224</v>
      </c>
      <c r="H2" s="13" t="s">
        <v>1217</v>
      </c>
      <c r="AB2" t="s">
        <v>777</v>
      </c>
    </row>
    <row r="3" spans="1:28" x14ac:dyDescent="0.3">
      <c r="D3" s="82"/>
    </row>
    <row r="4" spans="1:28" x14ac:dyDescent="0.3">
      <c r="A4" s="4"/>
      <c r="B4" s="4"/>
      <c r="D4" s="1"/>
      <c r="E4" s="4"/>
    </row>
    <row r="5" spans="1:28" x14ac:dyDescent="0.3">
      <c r="A5" t="s">
        <v>1224</v>
      </c>
      <c r="D5" s="1"/>
    </row>
    <row r="6" spans="1:28" x14ac:dyDescent="0.3">
      <c r="D6" s="1"/>
    </row>
    <row r="7" spans="1:28" x14ac:dyDescent="0.3">
      <c r="D7" s="1"/>
    </row>
    <row r="8" spans="1:28" x14ac:dyDescent="0.3">
      <c r="D8" s="1"/>
    </row>
    <row r="9" spans="1:28" x14ac:dyDescent="0.3">
      <c r="D9" s="1"/>
    </row>
    <row r="13" spans="1:28" x14ac:dyDescent="0.3">
      <c r="A13" s="1"/>
      <c r="B13" s="1"/>
    </row>
    <row r="14" spans="1:28" x14ac:dyDescent="0.3">
      <c r="A14" s="1"/>
      <c r="B14" s="1"/>
    </row>
    <row r="15" spans="1:28" x14ac:dyDescent="0.3">
      <c r="A15" s="1"/>
      <c r="B15" s="1"/>
    </row>
    <row r="16" spans="1:28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</sheetData>
  <dataValidations count="1">
    <dataValidation type="list" allowBlank="1" showInputMessage="1" showErrorMessage="1" sqref="B2" xr:uid="{00000000-0002-0000-0200-000000000000}">
      <formula1>$AB$1:$AB$2</formula1>
    </dataValidation>
  </dataValidations>
  <pageMargins left="0.7" right="0.7" top="0.75" bottom="0.75" header="0.3" footer="0.3"/>
  <pageSetup orientation="portrait" horizontalDpi="90" verticalDpi="9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putBoundPortfolio.BoundPortfolio">
                <anchor moveWithCells="1" sizeWithCells="1">
                  <from>
                    <xdr:col>8</xdr:col>
                    <xdr:colOff>388620</xdr:colOff>
                    <xdr:row>1</xdr:row>
                    <xdr:rowOff>83820</xdr:rowOff>
                  </from>
                  <to>
                    <xdr:col>10</xdr:col>
                    <xdr:colOff>883920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K57"/>
  <sheetViews>
    <sheetView topLeftCell="E4" zoomScale="57" workbookViewId="0">
      <selection activeCell="AB57" sqref="AB57"/>
    </sheetView>
  </sheetViews>
  <sheetFormatPr defaultColWidth="8.88671875" defaultRowHeight="14.4" x14ac:dyDescent="0.3"/>
  <cols>
    <col min="1" max="1" width="11.5546875" style="149" bestFit="1" customWidth="1"/>
    <col min="2" max="2" width="11.5546875" style="149" customWidth="1"/>
    <col min="3" max="3" width="9.109375" customWidth="1"/>
    <col min="4" max="4" width="8" style="168" customWidth="1"/>
    <col min="5" max="5" width="15.21875" style="168" customWidth="1"/>
    <col min="6" max="6" width="9" style="168" bestFit="1" customWidth="1"/>
    <col min="7" max="7" width="9.44140625" style="170" bestFit="1" customWidth="1"/>
    <col min="8" max="8" width="24.77734375" style="168" customWidth="1"/>
    <col min="9" max="9" width="9" style="168" customWidth="1"/>
    <col min="10" max="10" width="11.6640625" style="168" customWidth="1"/>
    <col min="11" max="12" width="6.109375" style="168" customWidth="1"/>
    <col min="13" max="13" width="10.88671875" style="168" bestFit="1" customWidth="1"/>
    <col min="14" max="14" width="8.33203125" style="168" bestFit="1" customWidth="1"/>
    <col min="15" max="15" width="10.109375" style="171" customWidth="1"/>
    <col min="16" max="16" width="23" style="168" customWidth="1"/>
    <col min="17" max="17" width="6.109375" style="172" customWidth="1"/>
    <col min="18" max="18" width="10.6640625" style="172" customWidth="1"/>
    <col min="19" max="19" width="10.33203125" style="172" customWidth="1"/>
    <col min="20" max="20" width="6.6640625" style="172" customWidth="1"/>
    <col min="21" max="21" width="6.5546875" style="173" customWidth="1"/>
    <col min="22" max="22" width="8.88671875" style="171" customWidth="1"/>
    <col min="23" max="23" width="5.33203125" style="171" customWidth="1"/>
    <col min="24" max="24" width="8.33203125" style="171" customWidth="1"/>
    <col min="25" max="25" width="9" style="171" customWidth="1"/>
    <col min="26" max="26" width="6.88671875" style="171" bestFit="1" customWidth="1"/>
    <col min="27" max="27" width="9" style="171" bestFit="1" customWidth="1"/>
    <col min="28" max="28" width="9.44140625" style="171" bestFit="1" customWidth="1"/>
    <col min="29" max="29" width="9.109375" style="171" customWidth="1"/>
    <col min="30" max="30" width="8" style="171" customWidth="1"/>
    <col min="31" max="31" width="9.33203125" style="171" customWidth="1"/>
    <col min="32" max="32" width="7.109375" style="171" customWidth="1"/>
    <col min="33" max="33" width="9.109375" style="172" customWidth="1"/>
    <col min="34" max="34" width="9.44140625" style="172" customWidth="1"/>
    <col min="35" max="35" width="7.5546875" style="172" customWidth="1"/>
    <col min="36" max="36" width="8.33203125" style="171" customWidth="1"/>
    <col min="37" max="37" width="7" style="171" customWidth="1"/>
    <col min="38" max="38" width="8.88671875" style="168" customWidth="1"/>
    <col min="39" max="16384" width="8.88671875" style="168"/>
  </cols>
  <sheetData>
    <row r="2" spans="1:37" ht="21" customHeight="1" x14ac:dyDescent="0.4">
      <c r="E2" s="169" t="s">
        <v>779</v>
      </c>
      <c r="AG2" s="171"/>
      <c r="AH2" s="171"/>
      <c r="AI2" s="171"/>
    </row>
    <row r="3" spans="1:37" ht="17.399999999999999" customHeight="1" x14ac:dyDescent="0.3">
      <c r="I3" s="174" t="s">
        <v>659</v>
      </c>
      <c r="J3" s="175">
        <v>17000000</v>
      </c>
      <c r="M3" s="176"/>
      <c r="O3" s="177"/>
      <c r="V3" s="178"/>
      <c r="W3" s="178"/>
      <c r="X3" s="178"/>
      <c r="Y3" s="178"/>
      <c r="Z3" s="178"/>
      <c r="AA3" s="178"/>
      <c r="AB3" s="178"/>
      <c r="AC3" s="178"/>
      <c r="AD3" s="178"/>
      <c r="AE3" s="178"/>
      <c r="AF3" s="178"/>
      <c r="AG3" s="178"/>
      <c r="AH3" s="178"/>
      <c r="AI3" s="178"/>
      <c r="AJ3" s="178"/>
      <c r="AK3" s="178"/>
    </row>
    <row r="4" spans="1:37" x14ac:dyDescent="0.3">
      <c r="N4" s="179"/>
      <c r="Q4" s="180" t="s">
        <v>780</v>
      </c>
      <c r="V4" s="171">
        <f>SUM(V8:V56)</f>
        <v>13425000</v>
      </c>
      <c r="AA4" s="171">
        <f>SUM(AA8:AA56)</f>
        <v>13903887.5</v>
      </c>
      <c r="AB4" s="171">
        <f>SUM(AB8:AB56)</f>
        <v>13995145.050000003</v>
      </c>
      <c r="AC4" s="171">
        <f>SUM(AC8:AC56)</f>
        <v>14017459.16</v>
      </c>
      <c r="AJ4" s="171">
        <f>SUM(AJ8:AJ56)</f>
        <v>1606421.2453847504</v>
      </c>
      <c r="AK4" s="171">
        <f>SUM(AK8:AK56)</f>
        <v>288500</v>
      </c>
    </row>
    <row r="5" spans="1:37" ht="12" customHeight="1" x14ac:dyDescent="0.3">
      <c r="D5" s="181"/>
      <c r="E5" s="181"/>
      <c r="F5" s="181"/>
      <c r="G5" s="182"/>
      <c r="H5" s="182"/>
      <c r="I5" s="182"/>
      <c r="J5" s="182"/>
      <c r="K5" s="182"/>
      <c r="L5" s="182"/>
      <c r="M5" s="182"/>
      <c r="N5" s="182"/>
      <c r="O5" s="183"/>
      <c r="P5" s="182"/>
      <c r="Q5" s="180" t="s">
        <v>781</v>
      </c>
      <c r="R5" s="182"/>
      <c r="S5" s="182"/>
      <c r="T5" s="182"/>
      <c r="U5" s="182"/>
      <c r="V5" s="171">
        <f>SUM(V8:V56)</f>
        <v>13425000</v>
      </c>
      <c r="Z5" s="184"/>
      <c r="AA5" s="171">
        <f>SUM(AA8:AA56)</f>
        <v>13903887.5</v>
      </c>
      <c r="AB5" s="171">
        <f>SUM(AB8:AB56)</f>
        <v>13995145.050000003</v>
      </c>
      <c r="AC5" s="171">
        <f>SUM(AC8:AC56)</f>
        <v>14017459.16</v>
      </c>
      <c r="AE5" s="184"/>
      <c r="AF5" s="184"/>
      <c r="AG5" s="173"/>
      <c r="AH5" s="173"/>
      <c r="AI5" s="173"/>
      <c r="AJ5" s="171">
        <f>SUM(AJ8:AJ56)</f>
        <v>1606421.2453847504</v>
      </c>
      <c r="AK5" s="171">
        <f>SUM(AK8:AK56)</f>
        <v>288500</v>
      </c>
    </row>
    <row r="6" spans="1:37" ht="12" customHeight="1" x14ac:dyDescent="0.3">
      <c r="D6" s="181"/>
      <c r="E6" s="181"/>
      <c r="F6" s="181"/>
      <c r="G6" s="182"/>
      <c r="H6" s="182"/>
      <c r="I6" s="182"/>
      <c r="J6" s="182"/>
      <c r="K6" s="182"/>
      <c r="L6" s="182"/>
      <c r="M6" s="182"/>
      <c r="N6" s="182"/>
      <c r="O6" s="183"/>
      <c r="P6" s="182"/>
      <c r="Q6" s="182"/>
      <c r="R6" s="182"/>
      <c r="S6" s="182"/>
      <c r="T6" s="182"/>
      <c r="U6" s="182"/>
      <c r="Z6" s="184"/>
      <c r="AE6" s="184"/>
      <c r="AF6" s="184"/>
      <c r="AG6" s="173"/>
      <c r="AH6" s="173"/>
      <c r="AI6" s="173"/>
    </row>
    <row r="7" spans="1:37" ht="37.799999999999997" customHeight="1" x14ac:dyDescent="0.25">
      <c r="A7" s="185" t="s">
        <v>782</v>
      </c>
      <c r="B7" s="185" t="s">
        <v>769</v>
      </c>
      <c r="C7" s="185" t="s">
        <v>783</v>
      </c>
      <c r="D7" s="185" t="s">
        <v>784</v>
      </c>
      <c r="E7" s="185" t="s">
        <v>785</v>
      </c>
      <c r="F7" s="185" t="s">
        <v>786</v>
      </c>
      <c r="G7" s="185" t="s">
        <v>787</v>
      </c>
      <c r="H7" s="185" t="s">
        <v>788</v>
      </c>
      <c r="I7" s="185" t="s">
        <v>681</v>
      </c>
      <c r="J7" s="185" t="s">
        <v>789</v>
      </c>
      <c r="K7" s="186" t="s">
        <v>790</v>
      </c>
      <c r="L7" s="186" t="s">
        <v>791</v>
      </c>
      <c r="M7" s="186" t="s">
        <v>792</v>
      </c>
      <c r="N7" s="186" t="s">
        <v>793</v>
      </c>
      <c r="O7" s="187" t="s">
        <v>794</v>
      </c>
      <c r="P7" s="185" t="s">
        <v>795</v>
      </c>
      <c r="Q7" s="188" t="s">
        <v>796</v>
      </c>
      <c r="R7" s="188" t="s">
        <v>797</v>
      </c>
      <c r="S7" s="188" t="s">
        <v>798</v>
      </c>
      <c r="T7" s="188" t="s">
        <v>799</v>
      </c>
      <c r="U7" s="188" t="s">
        <v>800</v>
      </c>
      <c r="V7" s="188" t="s">
        <v>801</v>
      </c>
      <c r="W7" s="188" t="s">
        <v>802</v>
      </c>
      <c r="X7" s="188" t="s">
        <v>803</v>
      </c>
      <c r="Y7" s="188" t="s">
        <v>804</v>
      </c>
      <c r="Z7" s="188" t="s">
        <v>805</v>
      </c>
      <c r="AA7" s="189" t="s">
        <v>806</v>
      </c>
      <c r="AB7" s="189" t="s">
        <v>807</v>
      </c>
      <c r="AC7" s="190" t="s">
        <v>808</v>
      </c>
      <c r="AD7" s="189" t="s">
        <v>809</v>
      </c>
      <c r="AE7" s="188" t="s">
        <v>810</v>
      </c>
      <c r="AF7" s="188" t="s">
        <v>811</v>
      </c>
      <c r="AG7" s="191" t="s">
        <v>812</v>
      </c>
      <c r="AH7" s="191" t="s">
        <v>813</v>
      </c>
      <c r="AI7" s="191" t="s">
        <v>814</v>
      </c>
      <c r="AJ7" s="189" t="s">
        <v>815</v>
      </c>
      <c r="AK7" s="189" t="s">
        <v>816</v>
      </c>
    </row>
    <row r="8" spans="1:37" ht="13.8" customHeight="1" x14ac:dyDescent="0.3">
      <c r="A8" s="192" t="s">
        <v>307</v>
      </c>
      <c r="B8" s="149">
        <v>1</v>
      </c>
      <c r="C8" s="74" t="s">
        <v>817</v>
      </c>
      <c r="D8" s="74" t="s">
        <v>720</v>
      </c>
      <c r="E8" s="74">
        <v>45749</v>
      </c>
      <c r="F8" s="74">
        <v>45750</v>
      </c>
      <c r="G8" s="74" t="s">
        <v>818</v>
      </c>
      <c r="H8" s="74" t="s">
        <v>819</v>
      </c>
      <c r="I8" s="74" t="s">
        <v>307</v>
      </c>
      <c r="J8" s="74" t="s">
        <v>718</v>
      </c>
      <c r="K8" s="74" t="s">
        <v>722</v>
      </c>
      <c r="L8" s="74" t="s">
        <v>721</v>
      </c>
      <c r="M8" s="74" t="s">
        <v>820</v>
      </c>
      <c r="N8" s="176" t="s">
        <v>821</v>
      </c>
      <c r="O8" s="171">
        <v>150000000</v>
      </c>
      <c r="P8" s="74" t="s">
        <v>822</v>
      </c>
      <c r="Q8" s="172">
        <v>7.9000000000000008E-3</v>
      </c>
      <c r="R8" s="172">
        <v>2.3432318670297499E-2</v>
      </c>
      <c r="S8" s="172">
        <v>6.1507199764251702E-2</v>
      </c>
      <c r="T8" s="193">
        <v>101.32</v>
      </c>
      <c r="U8" s="173">
        <v>101</v>
      </c>
      <c r="V8" s="171">
        <v>250000</v>
      </c>
      <c r="W8" s="171" t="s">
        <v>778</v>
      </c>
      <c r="X8" s="173">
        <v>1</v>
      </c>
      <c r="Y8" s="171">
        <v>0</v>
      </c>
      <c r="Z8" s="171">
        <v>2</v>
      </c>
      <c r="AA8" s="171">
        <f t="shared" ref="AA8:AA39" si="0">U8*V8*X8/100</f>
        <v>252500</v>
      </c>
      <c r="AB8" s="171">
        <f t="shared" ref="AB8:AB39" si="1">AA8+Y8</f>
        <v>252500</v>
      </c>
      <c r="AC8" s="171">
        <v>254200</v>
      </c>
      <c r="AD8" s="173">
        <v>3.4109589041095889</v>
      </c>
      <c r="AE8" s="194">
        <v>5.6114689999999988E-2</v>
      </c>
      <c r="AF8" s="194">
        <v>1.810749054324216E-2</v>
      </c>
      <c r="AG8" s="172">
        <f t="shared" ref="AG8:AG39" si="2">AF8-Q8</f>
        <v>1.0207490543242159E-2</v>
      </c>
      <c r="AH8" s="172">
        <f t="shared" ref="AH8:AH39" si="3">Q8/AF8</f>
        <v>0.43628353587340873</v>
      </c>
      <c r="AI8" s="173">
        <f t="shared" ref="AI8:AI39" si="4">1/AH8</f>
        <v>2.2920874105369822</v>
      </c>
      <c r="AJ8" s="171">
        <f t="shared" ref="AJ8:AJ39" si="5">V8*S8</f>
        <v>15376.799941062925</v>
      </c>
      <c r="AK8" s="171">
        <f t="shared" ref="AK8:AK39" si="6">V8*Q8</f>
        <v>1975.0000000000002</v>
      </c>
    </row>
    <row r="9" spans="1:37" ht="13.8" customHeight="1" x14ac:dyDescent="0.3">
      <c r="A9" s="192" t="s">
        <v>541</v>
      </c>
      <c r="B9" s="149">
        <v>3</v>
      </c>
      <c r="C9" s="74" t="s">
        <v>817</v>
      </c>
      <c r="D9" s="74" t="s">
        <v>720</v>
      </c>
      <c r="E9" s="74">
        <v>45751</v>
      </c>
      <c r="F9" s="74">
        <v>45754</v>
      </c>
      <c r="G9" s="74" t="s">
        <v>823</v>
      </c>
      <c r="H9" s="74" t="s">
        <v>824</v>
      </c>
      <c r="I9" s="74" t="s">
        <v>541</v>
      </c>
      <c r="J9" s="74" t="s">
        <v>725</v>
      </c>
      <c r="K9" s="74" t="s">
        <v>727</v>
      </c>
      <c r="L9" s="74" t="s">
        <v>726</v>
      </c>
      <c r="M9" s="74" t="s">
        <v>825</v>
      </c>
      <c r="N9" s="176" t="s">
        <v>826</v>
      </c>
      <c r="O9" s="171">
        <v>30000000</v>
      </c>
      <c r="P9" s="74" t="s">
        <v>827</v>
      </c>
      <c r="Q9" s="172">
        <v>2.6200000000000001E-2</v>
      </c>
      <c r="R9" s="172">
        <v>6.6096556451882379E-2</v>
      </c>
      <c r="S9" s="172">
        <v>0.1041071997642517</v>
      </c>
      <c r="T9" s="193">
        <v>99.76</v>
      </c>
      <c r="U9" s="173">
        <v>100.2</v>
      </c>
      <c r="V9" s="171">
        <v>250000</v>
      </c>
      <c r="W9" s="171" t="s">
        <v>778</v>
      </c>
      <c r="X9" s="173">
        <v>1</v>
      </c>
      <c r="Y9" s="171">
        <v>798.60999999998603</v>
      </c>
      <c r="Z9" s="171">
        <v>20</v>
      </c>
      <c r="AA9" s="171">
        <f t="shared" si="0"/>
        <v>250500</v>
      </c>
      <c r="AB9" s="171">
        <f t="shared" si="1"/>
        <v>251298.61</v>
      </c>
      <c r="AC9" s="171">
        <v>254500</v>
      </c>
      <c r="AD9" s="173">
        <v>2.419178082191781</v>
      </c>
      <c r="AE9" s="194">
        <v>0.10300053000000001</v>
      </c>
      <c r="AF9" s="194">
        <v>6.499333365984758E-2</v>
      </c>
      <c r="AG9" s="172">
        <f t="shared" si="2"/>
        <v>3.8793333659847579E-2</v>
      </c>
      <c r="AH9" s="172">
        <f t="shared" si="3"/>
        <v>0.40311826651517302</v>
      </c>
      <c r="AI9" s="173">
        <f t="shared" si="4"/>
        <v>2.4806615900705182</v>
      </c>
      <c r="AJ9" s="171">
        <f t="shared" si="5"/>
        <v>26026.799941062924</v>
      </c>
      <c r="AK9" s="171">
        <f t="shared" si="6"/>
        <v>6550</v>
      </c>
    </row>
    <row r="10" spans="1:37" ht="13.8" customHeight="1" x14ac:dyDescent="0.3">
      <c r="A10" s="192" t="s">
        <v>281</v>
      </c>
      <c r="B10" s="149">
        <v>3</v>
      </c>
      <c r="C10" s="74" t="s">
        <v>817</v>
      </c>
      <c r="D10" s="74" t="s">
        <v>720</v>
      </c>
      <c r="E10" s="74">
        <v>45751</v>
      </c>
      <c r="F10" s="74">
        <v>45754</v>
      </c>
      <c r="G10" s="74" t="s">
        <v>818</v>
      </c>
      <c r="H10" s="74" t="s">
        <v>828</v>
      </c>
      <c r="I10" s="74" t="s">
        <v>281</v>
      </c>
      <c r="J10" s="74" t="s">
        <v>730</v>
      </c>
      <c r="K10" s="74" t="s">
        <v>727</v>
      </c>
      <c r="L10" s="74" t="s">
        <v>721</v>
      </c>
      <c r="M10" s="74" t="s">
        <v>829</v>
      </c>
      <c r="N10" s="176" t="s">
        <v>830</v>
      </c>
      <c r="O10" s="171">
        <v>200000000</v>
      </c>
      <c r="P10" s="74" t="s">
        <v>831</v>
      </c>
      <c r="Q10" s="172">
        <v>1.0800000000000001E-2</v>
      </c>
      <c r="R10" s="172">
        <v>5.2491396036291271E-2</v>
      </c>
      <c r="S10" s="172">
        <v>9.0999999999999998E-2</v>
      </c>
      <c r="T10" s="193">
        <v>102.71</v>
      </c>
      <c r="U10" s="173">
        <v>102.85</v>
      </c>
      <c r="V10" s="171">
        <v>250000</v>
      </c>
      <c r="W10" s="171" t="s">
        <v>778</v>
      </c>
      <c r="X10" s="173">
        <v>1</v>
      </c>
      <c r="Y10" s="171">
        <v>1020.829999999987</v>
      </c>
      <c r="Z10" s="171">
        <v>28</v>
      </c>
      <c r="AA10" s="171">
        <f t="shared" si="0"/>
        <v>257125</v>
      </c>
      <c r="AB10" s="171">
        <f t="shared" si="1"/>
        <v>258145.83</v>
      </c>
      <c r="AC10" s="171">
        <v>259025</v>
      </c>
      <c r="AD10" s="173">
        <v>1.172602739726027</v>
      </c>
      <c r="AE10" s="194">
        <v>7.670283E-2</v>
      </c>
      <c r="AF10" s="194">
        <v>3.530283154132044E-2</v>
      </c>
      <c r="AG10" s="172">
        <f t="shared" si="2"/>
        <v>2.4502831541320439E-2</v>
      </c>
      <c r="AH10" s="172">
        <f t="shared" si="3"/>
        <v>0.30592446918483202</v>
      </c>
      <c r="AI10" s="173">
        <f t="shared" si="4"/>
        <v>3.2687806982704108</v>
      </c>
      <c r="AJ10" s="171">
        <f t="shared" si="5"/>
        <v>22750</v>
      </c>
      <c r="AK10" s="171">
        <f t="shared" si="6"/>
        <v>2700</v>
      </c>
    </row>
    <row r="11" spans="1:37" ht="13.8" customHeight="1" x14ac:dyDescent="0.3">
      <c r="A11" s="192" t="s">
        <v>397</v>
      </c>
      <c r="B11" s="149">
        <v>3</v>
      </c>
      <c r="C11" s="74" t="s">
        <v>817</v>
      </c>
      <c r="D11" s="74" t="s">
        <v>720</v>
      </c>
      <c r="E11" s="74">
        <v>45751</v>
      </c>
      <c r="F11" s="74">
        <v>45754</v>
      </c>
      <c r="G11" s="74" t="s">
        <v>818</v>
      </c>
      <c r="H11" s="74" t="s">
        <v>832</v>
      </c>
      <c r="I11" s="74" t="s">
        <v>397</v>
      </c>
      <c r="J11" s="74" t="s">
        <v>731</v>
      </c>
      <c r="K11" s="74" t="s">
        <v>727</v>
      </c>
      <c r="L11" s="74" t="s">
        <v>721</v>
      </c>
      <c r="M11" s="74" t="s">
        <v>833</v>
      </c>
      <c r="N11" s="176" t="s">
        <v>834</v>
      </c>
      <c r="O11" s="171">
        <v>120000000</v>
      </c>
      <c r="P11" s="74" t="s">
        <v>835</v>
      </c>
      <c r="Q11" s="172">
        <v>1.5100000000000001E-2</v>
      </c>
      <c r="R11" s="172">
        <v>2.8033323381286359E-2</v>
      </c>
      <c r="S11" s="172">
        <v>6.699999999999999E-2</v>
      </c>
      <c r="T11" s="193">
        <v>99.85</v>
      </c>
      <c r="U11" s="173">
        <v>101</v>
      </c>
      <c r="V11" s="171">
        <v>250000</v>
      </c>
      <c r="W11" s="171" t="s">
        <v>778</v>
      </c>
      <c r="X11" s="173">
        <v>1</v>
      </c>
      <c r="Y11" s="171">
        <v>114.57999999998719</v>
      </c>
      <c r="Z11" s="171">
        <v>6</v>
      </c>
      <c r="AA11" s="171">
        <f t="shared" si="0"/>
        <v>252500</v>
      </c>
      <c r="AB11" s="171">
        <f t="shared" si="1"/>
        <v>252614.58</v>
      </c>
      <c r="AC11" s="171">
        <v>252300</v>
      </c>
      <c r="AD11" s="173">
        <v>0.41643835616438363</v>
      </c>
      <c r="AE11" s="194">
        <v>5.9638299999999998E-2</v>
      </c>
      <c r="AF11" s="194">
        <v>1.7938303574234871E-2</v>
      </c>
      <c r="AG11" s="172">
        <f t="shared" si="2"/>
        <v>2.8383035742348701E-3</v>
      </c>
      <c r="AH11" s="172">
        <f t="shared" si="3"/>
        <v>0.8417741364176945</v>
      </c>
      <c r="AI11" s="173">
        <f t="shared" si="4"/>
        <v>1.1879671241215146</v>
      </c>
      <c r="AJ11" s="171">
        <f t="shared" si="5"/>
        <v>16749.999999999996</v>
      </c>
      <c r="AK11" s="171">
        <f t="shared" si="6"/>
        <v>3775</v>
      </c>
    </row>
    <row r="12" spans="1:37" ht="13.8" customHeight="1" x14ac:dyDescent="0.3">
      <c r="A12" s="192" t="s">
        <v>491</v>
      </c>
      <c r="B12" s="149">
        <v>1</v>
      </c>
      <c r="C12" s="74" t="s">
        <v>817</v>
      </c>
      <c r="D12" s="74" t="s">
        <v>720</v>
      </c>
      <c r="E12" s="74">
        <v>45751</v>
      </c>
      <c r="F12" s="74">
        <v>45754</v>
      </c>
      <c r="G12" s="74" t="s">
        <v>823</v>
      </c>
      <c r="H12" s="74" t="s">
        <v>836</v>
      </c>
      <c r="I12" s="74" t="s">
        <v>491</v>
      </c>
      <c r="J12" s="74" t="s">
        <v>735</v>
      </c>
      <c r="K12" s="74" t="s">
        <v>722</v>
      </c>
      <c r="L12" s="74" t="s">
        <v>721</v>
      </c>
      <c r="M12" s="74" t="s">
        <v>837</v>
      </c>
      <c r="N12" s="176" t="s">
        <v>838</v>
      </c>
      <c r="O12" s="171">
        <v>300000000</v>
      </c>
      <c r="P12" s="74" t="s">
        <v>839</v>
      </c>
      <c r="Q12" s="172">
        <v>1.0500000000000001E-2</v>
      </c>
      <c r="R12" s="172">
        <v>5.4958647734771347E-2</v>
      </c>
      <c r="S12" s="172">
        <v>9.3599999999999989E-2</v>
      </c>
      <c r="T12" s="193">
        <v>102.96</v>
      </c>
      <c r="U12" s="173">
        <v>103.95</v>
      </c>
      <c r="V12" s="171">
        <v>250000</v>
      </c>
      <c r="W12" s="171" t="s">
        <v>778</v>
      </c>
      <c r="X12" s="173">
        <v>1</v>
      </c>
      <c r="Y12" s="171">
        <v>1393.839999999997</v>
      </c>
      <c r="Z12" s="171">
        <v>37</v>
      </c>
      <c r="AA12" s="171">
        <f t="shared" si="0"/>
        <v>259875</v>
      </c>
      <c r="AB12" s="171">
        <f t="shared" si="1"/>
        <v>261268.84</v>
      </c>
      <c r="AC12" s="171">
        <v>257000</v>
      </c>
      <c r="AD12" s="173">
        <v>1.0849315068493151</v>
      </c>
      <c r="AE12" s="194">
        <v>7.1220699999999998E-2</v>
      </c>
      <c r="AF12" s="194">
        <v>2.9620703976703609E-2</v>
      </c>
      <c r="AG12" s="172">
        <f t="shared" si="2"/>
        <v>1.912070397670361E-2</v>
      </c>
      <c r="AH12" s="172">
        <f t="shared" si="3"/>
        <v>0.35448178437143651</v>
      </c>
      <c r="AI12" s="173">
        <f t="shared" si="4"/>
        <v>2.8210194263527244</v>
      </c>
      <c r="AJ12" s="171">
        <f t="shared" si="5"/>
        <v>23399.999999999996</v>
      </c>
      <c r="AK12" s="171">
        <f t="shared" si="6"/>
        <v>2625</v>
      </c>
    </row>
    <row r="13" spans="1:37" ht="13.8" customHeight="1" x14ac:dyDescent="0.3">
      <c r="A13" s="192" t="s">
        <v>259</v>
      </c>
      <c r="B13" s="149">
        <v>1</v>
      </c>
      <c r="C13" s="74" t="s">
        <v>817</v>
      </c>
      <c r="D13" s="74" t="s">
        <v>720</v>
      </c>
      <c r="E13" s="74">
        <v>45755</v>
      </c>
      <c r="F13" s="74">
        <v>45756</v>
      </c>
      <c r="G13" s="74" t="s">
        <v>818</v>
      </c>
      <c r="H13" s="74" t="s">
        <v>840</v>
      </c>
      <c r="I13" s="74" t="s">
        <v>259</v>
      </c>
      <c r="J13" s="74" t="s">
        <v>736</v>
      </c>
      <c r="K13" s="74" t="s">
        <v>727</v>
      </c>
      <c r="L13" s="74" t="s">
        <v>721</v>
      </c>
      <c r="M13" s="74" t="s">
        <v>841</v>
      </c>
      <c r="N13" s="176" t="s">
        <v>842</v>
      </c>
      <c r="O13" s="171">
        <v>300000000</v>
      </c>
      <c r="P13" s="74" t="s">
        <v>843</v>
      </c>
      <c r="Q13" s="172">
        <v>1.43E-2</v>
      </c>
      <c r="R13" s="172">
        <v>3.4966639433595292E-2</v>
      </c>
      <c r="S13" s="172">
        <v>7.3784539999999996E-2</v>
      </c>
      <c r="T13" s="193">
        <v>99.62</v>
      </c>
      <c r="U13" s="173">
        <v>100.25</v>
      </c>
      <c r="V13" s="171">
        <v>250000</v>
      </c>
      <c r="W13" s="171" t="s">
        <v>778</v>
      </c>
      <c r="X13" s="173">
        <v>1</v>
      </c>
      <c r="Y13" s="171">
        <v>729.17000000001281</v>
      </c>
      <c r="Z13" s="171">
        <v>30</v>
      </c>
      <c r="AA13" s="171">
        <f t="shared" si="0"/>
        <v>250625</v>
      </c>
      <c r="AB13" s="171">
        <f t="shared" si="1"/>
        <v>251354.17</v>
      </c>
      <c r="AC13" s="171">
        <v>253225</v>
      </c>
      <c r="AD13" s="173">
        <v>2.3369863013698629</v>
      </c>
      <c r="AE13" s="194">
        <v>7.5587660000000001E-2</v>
      </c>
      <c r="AF13" s="194">
        <v>3.4027664109511808E-2</v>
      </c>
      <c r="AG13" s="172">
        <f t="shared" si="2"/>
        <v>1.9727664109511808E-2</v>
      </c>
      <c r="AH13" s="172">
        <f t="shared" si="3"/>
        <v>0.42024630177311223</v>
      </c>
      <c r="AI13" s="173">
        <f t="shared" si="4"/>
        <v>2.3795569307350917</v>
      </c>
      <c r="AJ13" s="171">
        <f t="shared" si="5"/>
        <v>18446.134999999998</v>
      </c>
      <c r="AK13" s="171">
        <f t="shared" si="6"/>
        <v>3575</v>
      </c>
    </row>
    <row r="14" spans="1:37" ht="13.8" customHeight="1" x14ac:dyDescent="0.3">
      <c r="A14" s="192" t="s">
        <v>537</v>
      </c>
      <c r="B14" s="149">
        <v>3</v>
      </c>
      <c r="C14" s="74" t="s">
        <v>817</v>
      </c>
      <c r="D14" s="74" t="s">
        <v>720</v>
      </c>
      <c r="E14" s="74">
        <v>45755</v>
      </c>
      <c r="F14" s="74">
        <v>45756</v>
      </c>
      <c r="G14" s="74" t="s">
        <v>823</v>
      </c>
      <c r="H14" s="74" t="s">
        <v>844</v>
      </c>
      <c r="I14" s="74" t="s">
        <v>537</v>
      </c>
      <c r="J14" s="74" t="s">
        <v>737</v>
      </c>
      <c r="K14" s="74" t="s">
        <v>727</v>
      </c>
      <c r="L14" s="74" t="s">
        <v>721</v>
      </c>
      <c r="M14" s="74" t="s">
        <v>845</v>
      </c>
      <c r="N14" s="176" t="s">
        <v>846</v>
      </c>
      <c r="O14" s="171">
        <v>200000000</v>
      </c>
      <c r="P14" s="74" t="s">
        <v>847</v>
      </c>
      <c r="Q14" s="172">
        <v>1.0800000000000001E-2</v>
      </c>
      <c r="R14" s="172">
        <v>5.1352938521487902E-2</v>
      </c>
      <c r="S14" s="172">
        <v>8.9900000000000008E-2</v>
      </c>
      <c r="T14" s="193">
        <v>101.78</v>
      </c>
      <c r="U14" s="173">
        <v>100.65</v>
      </c>
      <c r="V14" s="171">
        <v>250000</v>
      </c>
      <c r="W14" s="171" t="s">
        <v>778</v>
      </c>
      <c r="X14" s="173">
        <v>1</v>
      </c>
      <c r="Y14" s="171">
        <v>69.440000000002328</v>
      </c>
      <c r="Z14" s="171">
        <v>2</v>
      </c>
      <c r="AA14" s="171">
        <f t="shared" si="0"/>
        <v>251625</v>
      </c>
      <c r="AB14" s="171">
        <f t="shared" si="1"/>
        <v>251694.44</v>
      </c>
      <c r="AC14" s="171">
        <v>257637.5</v>
      </c>
      <c r="AD14" s="173">
        <v>2.4164383561643841</v>
      </c>
      <c r="AE14" s="194">
        <v>9.0425339999999993E-2</v>
      </c>
      <c r="AF14" s="194">
        <v>4.8925337953386092E-2</v>
      </c>
      <c r="AG14" s="172">
        <f t="shared" si="2"/>
        <v>3.8125337953386088E-2</v>
      </c>
      <c r="AH14" s="172">
        <f t="shared" si="3"/>
        <v>0.22074451504637055</v>
      </c>
      <c r="AI14" s="173">
        <f t="shared" si="4"/>
        <v>4.5301238845727863</v>
      </c>
      <c r="AJ14" s="171">
        <f t="shared" si="5"/>
        <v>22475.000000000004</v>
      </c>
      <c r="AK14" s="171">
        <f t="shared" si="6"/>
        <v>2700</v>
      </c>
    </row>
    <row r="15" spans="1:37" ht="13.8" customHeight="1" x14ac:dyDescent="0.3">
      <c r="A15" s="192" t="s">
        <v>457</v>
      </c>
      <c r="B15" s="149">
        <v>2</v>
      </c>
      <c r="C15" s="74" t="s">
        <v>817</v>
      </c>
      <c r="D15" s="74" t="s">
        <v>720</v>
      </c>
      <c r="E15" s="74">
        <v>45756</v>
      </c>
      <c r="F15" s="74">
        <v>45757</v>
      </c>
      <c r="G15" s="74" t="s">
        <v>818</v>
      </c>
      <c r="H15" s="74" t="s">
        <v>848</v>
      </c>
      <c r="I15" s="74" t="s">
        <v>457</v>
      </c>
      <c r="J15" s="74" t="s">
        <v>738</v>
      </c>
      <c r="K15" s="74" t="s">
        <v>727</v>
      </c>
      <c r="L15" s="74" t="s">
        <v>721</v>
      </c>
      <c r="M15" s="74" t="s">
        <v>849</v>
      </c>
      <c r="N15" s="176" t="s">
        <v>830</v>
      </c>
      <c r="O15" s="171">
        <v>255000000</v>
      </c>
      <c r="P15" s="74" t="s">
        <v>850</v>
      </c>
      <c r="Q15" s="172">
        <v>1.4E-3</v>
      </c>
      <c r="R15" s="172">
        <v>4.0194036960798721E-2</v>
      </c>
      <c r="S15" s="172">
        <v>7.8799999999999995E-2</v>
      </c>
      <c r="T15" s="193">
        <v>102.14</v>
      </c>
      <c r="U15" s="173">
        <v>102.3</v>
      </c>
      <c r="V15" s="171">
        <v>250000</v>
      </c>
      <c r="W15" s="171" t="s">
        <v>778</v>
      </c>
      <c r="X15" s="173">
        <v>1</v>
      </c>
      <c r="Y15" s="171">
        <v>55.559999999997672</v>
      </c>
      <c r="Z15" s="171">
        <v>2</v>
      </c>
      <c r="AA15" s="171">
        <f t="shared" si="0"/>
        <v>255750</v>
      </c>
      <c r="AB15" s="171">
        <f t="shared" si="1"/>
        <v>255805.56</v>
      </c>
      <c r="AC15" s="171">
        <v>256375</v>
      </c>
      <c r="AD15" s="173">
        <v>1.172602739726027</v>
      </c>
      <c r="AE15" s="194">
        <v>6.796395999999999E-2</v>
      </c>
      <c r="AF15" s="194">
        <v>2.6363961699728222E-2</v>
      </c>
      <c r="AG15" s="172">
        <f t="shared" si="2"/>
        <v>2.4963961699728223E-2</v>
      </c>
      <c r="AH15" s="172">
        <f t="shared" si="3"/>
        <v>5.3102792969632946E-2</v>
      </c>
      <c r="AI15" s="173">
        <f t="shared" si="4"/>
        <v>18.831401214091585</v>
      </c>
      <c r="AJ15" s="171">
        <f t="shared" si="5"/>
        <v>19700</v>
      </c>
      <c r="AK15" s="171">
        <f t="shared" si="6"/>
        <v>350</v>
      </c>
    </row>
    <row r="16" spans="1:37" ht="13.8" customHeight="1" x14ac:dyDescent="0.3">
      <c r="A16" s="192" t="s">
        <v>88</v>
      </c>
      <c r="B16" s="149">
        <v>4</v>
      </c>
      <c r="C16" s="74" t="s">
        <v>817</v>
      </c>
      <c r="D16" s="74" t="s">
        <v>720</v>
      </c>
      <c r="E16" s="74">
        <v>45756</v>
      </c>
      <c r="F16" s="74">
        <v>45757</v>
      </c>
      <c r="G16" s="74" t="s">
        <v>823</v>
      </c>
      <c r="H16" s="74" t="s">
        <v>851</v>
      </c>
      <c r="I16" s="74" t="s">
        <v>88</v>
      </c>
      <c r="J16" s="74" t="s">
        <v>852</v>
      </c>
      <c r="K16" s="74" t="s">
        <v>727</v>
      </c>
      <c r="L16" s="74" t="s">
        <v>721</v>
      </c>
      <c r="M16" s="74" t="s">
        <v>853</v>
      </c>
      <c r="N16" s="176" t="s">
        <v>854</v>
      </c>
      <c r="O16" s="171">
        <v>100000000</v>
      </c>
      <c r="P16" s="74" t="s">
        <v>855</v>
      </c>
      <c r="Q16" s="172">
        <v>1.204E-2</v>
      </c>
      <c r="R16" s="172">
        <v>5.043372257801014E-2</v>
      </c>
      <c r="S16" s="172">
        <v>8.9099999999999999E-2</v>
      </c>
      <c r="T16" s="193">
        <v>103.37</v>
      </c>
      <c r="U16" s="173">
        <v>102.2</v>
      </c>
      <c r="V16" s="171">
        <v>250000</v>
      </c>
      <c r="W16" s="171" t="s">
        <v>778</v>
      </c>
      <c r="X16" s="173">
        <v>1</v>
      </c>
      <c r="Y16" s="171">
        <v>281.25</v>
      </c>
      <c r="Z16" s="171">
        <v>9</v>
      </c>
      <c r="AA16" s="171">
        <f t="shared" si="0"/>
        <v>255500</v>
      </c>
      <c r="AB16" s="171">
        <f t="shared" si="1"/>
        <v>255781.25</v>
      </c>
      <c r="AC16" s="171">
        <v>258875</v>
      </c>
      <c r="AD16" s="173">
        <v>1.6657534246575341</v>
      </c>
      <c r="AE16" s="194">
        <v>8.1303790000000001E-2</v>
      </c>
      <c r="AF16" s="194">
        <v>3.9703792651760238E-2</v>
      </c>
      <c r="AG16" s="172">
        <f t="shared" si="2"/>
        <v>2.7663792651760236E-2</v>
      </c>
      <c r="AH16" s="172">
        <f t="shared" si="3"/>
        <v>0.30324558929677503</v>
      </c>
      <c r="AI16" s="173">
        <f t="shared" si="4"/>
        <v>3.2976571969900532</v>
      </c>
      <c r="AJ16" s="171">
        <f t="shared" si="5"/>
        <v>22275</v>
      </c>
      <c r="AK16" s="171">
        <f t="shared" si="6"/>
        <v>3010</v>
      </c>
    </row>
    <row r="17" spans="1:37" ht="13.8" customHeight="1" x14ac:dyDescent="0.3">
      <c r="A17" s="192" t="s">
        <v>136</v>
      </c>
      <c r="B17" s="149">
        <v>4</v>
      </c>
      <c r="C17" s="74" t="s">
        <v>817</v>
      </c>
      <c r="D17" s="74" t="s">
        <v>720</v>
      </c>
      <c r="E17" s="74">
        <v>45756</v>
      </c>
      <c r="F17" s="74">
        <v>45757</v>
      </c>
      <c r="G17" s="74" t="s">
        <v>823</v>
      </c>
      <c r="H17" s="74" t="s">
        <v>856</v>
      </c>
      <c r="I17" s="74" t="s">
        <v>136</v>
      </c>
      <c r="J17" s="74" t="s">
        <v>739</v>
      </c>
      <c r="K17" s="74" t="s">
        <v>727</v>
      </c>
      <c r="L17" s="74" t="s">
        <v>721</v>
      </c>
      <c r="M17" s="74" t="s">
        <v>857</v>
      </c>
      <c r="N17" s="176" t="s">
        <v>858</v>
      </c>
      <c r="O17" s="171">
        <v>100000000</v>
      </c>
      <c r="P17" s="74" t="s">
        <v>859</v>
      </c>
      <c r="Q17" s="172">
        <v>7.4999999999999997E-3</v>
      </c>
      <c r="R17" s="172">
        <v>5.4596636649696828E-2</v>
      </c>
      <c r="S17" s="172">
        <v>9.3299999999999994E-2</v>
      </c>
      <c r="T17" s="193">
        <v>102.4</v>
      </c>
      <c r="U17" s="173">
        <v>102.6</v>
      </c>
      <c r="V17" s="171">
        <v>250000</v>
      </c>
      <c r="W17" s="171" t="s">
        <v>778</v>
      </c>
      <c r="X17" s="173">
        <v>1</v>
      </c>
      <c r="Y17" s="171">
        <v>501.04000000000809</v>
      </c>
      <c r="Z17" s="171">
        <v>13</v>
      </c>
      <c r="AA17" s="171">
        <f t="shared" si="0"/>
        <v>256500</v>
      </c>
      <c r="AB17" s="171">
        <f t="shared" si="1"/>
        <v>257001.04</v>
      </c>
      <c r="AC17" s="171">
        <v>260350</v>
      </c>
      <c r="AD17" s="173">
        <v>1.4164383561643841</v>
      </c>
      <c r="AE17" s="194">
        <v>8.2204429999999995E-2</v>
      </c>
      <c r="AF17" s="194">
        <v>4.0604426001141267E-2</v>
      </c>
      <c r="AG17" s="172">
        <f t="shared" si="2"/>
        <v>3.3104426001141267E-2</v>
      </c>
      <c r="AH17" s="172">
        <f t="shared" si="3"/>
        <v>0.18470892803137268</v>
      </c>
      <c r="AI17" s="173">
        <f t="shared" si="4"/>
        <v>5.4139234668188356</v>
      </c>
      <c r="AJ17" s="171">
        <f t="shared" si="5"/>
        <v>23325</v>
      </c>
      <c r="AK17" s="171">
        <f t="shared" si="6"/>
        <v>1875</v>
      </c>
    </row>
    <row r="18" spans="1:37" ht="13.8" customHeight="1" x14ac:dyDescent="0.3">
      <c r="A18" s="192" t="s">
        <v>122</v>
      </c>
      <c r="B18" s="149">
        <v>4</v>
      </c>
      <c r="C18" s="74" t="s">
        <v>817</v>
      </c>
      <c r="D18" s="74" t="s">
        <v>720</v>
      </c>
      <c r="E18" s="74">
        <v>45758</v>
      </c>
      <c r="F18" s="74">
        <v>45761</v>
      </c>
      <c r="G18" s="74" t="s">
        <v>818</v>
      </c>
      <c r="H18" s="74" t="s">
        <v>860</v>
      </c>
      <c r="I18" s="74" t="s">
        <v>122</v>
      </c>
      <c r="J18" s="74" t="s">
        <v>742</v>
      </c>
      <c r="K18" s="74" t="s">
        <v>743</v>
      </c>
      <c r="L18" s="74" t="s">
        <v>721</v>
      </c>
      <c r="M18" s="74" t="s">
        <v>861</v>
      </c>
      <c r="N18" s="176" t="s">
        <v>854</v>
      </c>
      <c r="O18" s="171">
        <v>150000000</v>
      </c>
      <c r="P18" s="74" t="s">
        <v>862</v>
      </c>
      <c r="Q18" s="172">
        <v>1.6500000000000001E-2</v>
      </c>
      <c r="R18" s="172">
        <v>9.4927510994515976E-2</v>
      </c>
      <c r="S18" s="172">
        <v>0.13300719976425171</v>
      </c>
      <c r="T18" s="193">
        <v>102.05</v>
      </c>
      <c r="U18" s="173">
        <v>100.1</v>
      </c>
      <c r="V18" s="171">
        <v>250000</v>
      </c>
      <c r="W18" s="171" t="s">
        <v>778</v>
      </c>
      <c r="X18" s="173">
        <v>1</v>
      </c>
      <c r="Y18" s="171">
        <v>1847.2200000000009</v>
      </c>
      <c r="Z18" s="171">
        <v>28</v>
      </c>
      <c r="AA18" s="171">
        <f t="shared" si="0"/>
        <v>250250</v>
      </c>
      <c r="AB18" s="171">
        <f t="shared" si="1"/>
        <v>252097.22</v>
      </c>
      <c r="AC18" s="171">
        <v>264500</v>
      </c>
      <c r="AD18" s="173">
        <v>1.6657534246575341</v>
      </c>
      <c r="AE18" s="194">
        <v>0.13239720999999999</v>
      </c>
      <c r="AF18" s="194">
        <v>9.439000596503698E-2</v>
      </c>
      <c r="AG18" s="172">
        <f t="shared" si="2"/>
        <v>7.7890005965036979E-2</v>
      </c>
      <c r="AH18" s="172">
        <f t="shared" si="3"/>
        <v>0.17480664220014744</v>
      </c>
      <c r="AI18" s="173">
        <f t="shared" si="4"/>
        <v>5.7206064221234527</v>
      </c>
      <c r="AJ18" s="171">
        <f t="shared" si="5"/>
        <v>33251.799941062927</v>
      </c>
      <c r="AK18" s="171">
        <f t="shared" si="6"/>
        <v>4125</v>
      </c>
    </row>
    <row r="19" spans="1:37" ht="13.8" customHeight="1" x14ac:dyDescent="0.3">
      <c r="A19" s="192" t="s">
        <v>297</v>
      </c>
      <c r="B19" s="149">
        <v>2</v>
      </c>
      <c r="C19" s="74" t="s">
        <v>817</v>
      </c>
      <c r="D19" s="74" t="s">
        <v>720</v>
      </c>
      <c r="E19" s="74">
        <v>45761</v>
      </c>
      <c r="F19" s="74">
        <v>45762</v>
      </c>
      <c r="G19" s="74" t="s">
        <v>818</v>
      </c>
      <c r="H19" s="74" t="s">
        <v>863</v>
      </c>
      <c r="I19" s="74" t="s">
        <v>297</v>
      </c>
      <c r="J19" s="74" t="s">
        <v>744</v>
      </c>
      <c r="K19" s="74" t="s">
        <v>727</v>
      </c>
      <c r="L19" s="74" t="s">
        <v>721</v>
      </c>
      <c r="M19" s="74" t="s">
        <v>864</v>
      </c>
      <c r="N19" s="176" t="s">
        <v>865</v>
      </c>
      <c r="O19" s="171">
        <v>210000000</v>
      </c>
      <c r="P19" s="74" t="s">
        <v>866</v>
      </c>
      <c r="Q19" s="172">
        <v>1.32E-2</v>
      </c>
      <c r="R19" s="172">
        <v>9.1253384305964677E-2</v>
      </c>
      <c r="S19" s="172">
        <v>0.13005999755859371</v>
      </c>
      <c r="T19" s="193">
        <v>103.7</v>
      </c>
      <c r="U19" s="173">
        <v>102.6</v>
      </c>
      <c r="V19" s="171">
        <v>250000</v>
      </c>
      <c r="W19" s="171" t="s">
        <v>778</v>
      </c>
      <c r="X19" s="173">
        <v>1</v>
      </c>
      <c r="Y19" s="171">
        <v>500</v>
      </c>
      <c r="Z19" s="171">
        <v>8</v>
      </c>
      <c r="AA19" s="171">
        <f t="shared" si="0"/>
        <v>256500</v>
      </c>
      <c r="AB19" s="171">
        <f t="shared" si="1"/>
        <v>257000</v>
      </c>
      <c r="AC19" s="171">
        <v>266350</v>
      </c>
      <c r="AD19" s="173">
        <v>1.5835616438356159</v>
      </c>
      <c r="AE19" s="194">
        <v>0.11921872999999999</v>
      </c>
      <c r="AF19" s="194">
        <v>7.7618734295982303E-2</v>
      </c>
      <c r="AG19" s="172">
        <f t="shared" si="2"/>
        <v>6.4418734295982299E-2</v>
      </c>
      <c r="AH19" s="172">
        <f t="shared" si="3"/>
        <v>0.17006203617885143</v>
      </c>
      <c r="AI19" s="173">
        <f t="shared" si="4"/>
        <v>5.8802071436350234</v>
      </c>
      <c r="AJ19" s="171">
        <f t="shared" si="5"/>
        <v>32514.999389648427</v>
      </c>
      <c r="AK19" s="171">
        <f t="shared" si="6"/>
        <v>3300</v>
      </c>
    </row>
    <row r="20" spans="1:37" ht="13.8" customHeight="1" x14ac:dyDescent="0.3">
      <c r="A20" s="192" t="s">
        <v>213</v>
      </c>
      <c r="B20" s="149">
        <v>4</v>
      </c>
      <c r="C20" s="74" t="s">
        <v>817</v>
      </c>
      <c r="D20" s="74" t="s">
        <v>720</v>
      </c>
      <c r="E20" s="74">
        <v>45763</v>
      </c>
      <c r="F20" s="74">
        <v>45764</v>
      </c>
      <c r="G20" s="74" t="s">
        <v>818</v>
      </c>
      <c r="H20" s="74" t="s">
        <v>867</v>
      </c>
      <c r="I20" s="74" t="s">
        <v>213</v>
      </c>
      <c r="J20" s="74" t="s">
        <v>745</v>
      </c>
      <c r="K20" s="74" t="s">
        <v>727</v>
      </c>
      <c r="L20" s="74" t="s">
        <v>721</v>
      </c>
      <c r="M20" s="74" t="s">
        <v>868</v>
      </c>
      <c r="N20" s="176" t="s">
        <v>858</v>
      </c>
      <c r="O20" s="171">
        <v>100000000</v>
      </c>
      <c r="P20" s="74" t="s">
        <v>869</v>
      </c>
      <c r="Q20" s="172">
        <v>6.7000000000000002E-3</v>
      </c>
      <c r="R20" s="172">
        <v>5.4392210302525217E-2</v>
      </c>
      <c r="S20" s="172">
        <v>9.3284540000000013E-2</v>
      </c>
      <c r="T20" s="193">
        <v>103.6</v>
      </c>
      <c r="U20" s="173">
        <v>103.85</v>
      </c>
      <c r="V20" s="171">
        <v>250000</v>
      </c>
      <c r="W20" s="171" t="s">
        <v>778</v>
      </c>
      <c r="X20" s="173">
        <v>1</v>
      </c>
      <c r="Y20" s="171">
        <v>1130.2099999999921</v>
      </c>
      <c r="Z20" s="171">
        <v>31</v>
      </c>
      <c r="AA20" s="171">
        <f t="shared" si="0"/>
        <v>259625</v>
      </c>
      <c r="AB20" s="171">
        <f t="shared" si="1"/>
        <v>260755.21</v>
      </c>
      <c r="AC20" s="171">
        <v>259075</v>
      </c>
      <c r="AD20" s="173">
        <v>1.4164383561643841</v>
      </c>
      <c r="AE20" s="194">
        <v>7.525358E-2</v>
      </c>
      <c r="AF20" s="194">
        <v>3.360416032534292E-2</v>
      </c>
      <c r="AG20" s="172">
        <f t="shared" si="2"/>
        <v>2.6904160325342919E-2</v>
      </c>
      <c r="AH20" s="172">
        <f t="shared" si="3"/>
        <v>0.1993800748220787</v>
      </c>
      <c r="AI20" s="173">
        <f t="shared" si="4"/>
        <v>5.0155463172153611</v>
      </c>
      <c r="AJ20" s="171">
        <f t="shared" si="5"/>
        <v>23321.135000000002</v>
      </c>
      <c r="AK20" s="171">
        <f t="shared" si="6"/>
        <v>1675</v>
      </c>
    </row>
    <row r="21" spans="1:37" ht="13.8" customHeight="1" x14ac:dyDescent="0.3">
      <c r="A21" s="192" t="s">
        <v>477</v>
      </c>
      <c r="B21" s="149">
        <v>1</v>
      </c>
      <c r="C21" s="74" t="s">
        <v>817</v>
      </c>
      <c r="D21" s="74" t="s">
        <v>720</v>
      </c>
      <c r="E21" s="74">
        <v>45763</v>
      </c>
      <c r="F21" s="74">
        <v>45764</v>
      </c>
      <c r="G21" s="74" t="s">
        <v>823</v>
      </c>
      <c r="H21" s="74" t="s">
        <v>870</v>
      </c>
      <c r="I21" s="74" t="s">
        <v>477</v>
      </c>
      <c r="J21" s="74" t="s">
        <v>746</v>
      </c>
      <c r="K21" s="74" t="s">
        <v>727</v>
      </c>
      <c r="L21" s="74" t="s">
        <v>741</v>
      </c>
      <c r="M21" s="74" t="s">
        <v>871</v>
      </c>
      <c r="N21" s="176" t="s">
        <v>872</v>
      </c>
      <c r="O21" s="171">
        <v>150000000</v>
      </c>
      <c r="P21" s="74" t="s">
        <v>873</v>
      </c>
      <c r="Q21" s="172">
        <v>9.1000000000000004E-3</v>
      </c>
      <c r="R21" s="172">
        <v>4.3425943418742972E-2</v>
      </c>
      <c r="S21" s="172">
        <v>8.1843249999999992E-2</v>
      </c>
      <c r="T21" s="193">
        <v>101.57</v>
      </c>
      <c r="U21" s="173">
        <v>102.4</v>
      </c>
      <c r="V21" s="171">
        <v>250000</v>
      </c>
      <c r="W21" s="171" t="s">
        <v>778</v>
      </c>
      <c r="X21" s="173">
        <v>1</v>
      </c>
      <c r="Y21" s="171">
        <v>60.420000000012813</v>
      </c>
      <c r="Z21" s="171">
        <v>2</v>
      </c>
      <c r="AA21" s="171">
        <f t="shared" si="0"/>
        <v>256000</v>
      </c>
      <c r="AB21" s="171">
        <f t="shared" si="1"/>
        <v>256060.42</v>
      </c>
      <c r="AC21" s="171">
        <v>256275</v>
      </c>
      <c r="AD21" s="173">
        <v>1</v>
      </c>
      <c r="AE21" s="194">
        <v>6.8994319999999998E-2</v>
      </c>
      <c r="AF21" s="194">
        <v>2.7350368157419279E-2</v>
      </c>
      <c r="AG21" s="172">
        <f t="shared" si="2"/>
        <v>1.8250368157419278E-2</v>
      </c>
      <c r="AH21" s="172">
        <f t="shared" si="3"/>
        <v>0.33271947008623581</v>
      </c>
      <c r="AI21" s="173">
        <f t="shared" si="4"/>
        <v>3.0055349623537668</v>
      </c>
      <c r="AJ21" s="171">
        <f t="shared" si="5"/>
        <v>20460.812499999996</v>
      </c>
      <c r="AK21" s="171">
        <f t="shared" si="6"/>
        <v>2275</v>
      </c>
    </row>
    <row r="22" spans="1:37" ht="13.8" customHeight="1" x14ac:dyDescent="0.3">
      <c r="A22" s="192" t="s">
        <v>441</v>
      </c>
      <c r="B22" s="149">
        <v>4</v>
      </c>
      <c r="C22" s="74" t="s">
        <v>817</v>
      </c>
      <c r="D22" s="74" t="s">
        <v>720</v>
      </c>
      <c r="E22" s="74">
        <v>45775</v>
      </c>
      <c r="F22" s="74">
        <v>45776</v>
      </c>
      <c r="G22" s="74" t="s">
        <v>818</v>
      </c>
      <c r="H22" s="74" t="s">
        <v>874</v>
      </c>
      <c r="I22" s="74" t="s">
        <v>441</v>
      </c>
      <c r="J22" s="74" t="s">
        <v>747</v>
      </c>
      <c r="K22" s="74" t="s">
        <v>727</v>
      </c>
      <c r="L22" s="74" t="s">
        <v>721</v>
      </c>
      <c r="M22" s="74" t="s">
        <v>875</v>
      </c>
      <c r="N22" s="176" t="s">
        <v>876</v>
      </c>
      <c r="O22" s="171">
        <v>150000000</v>
      </c>
      <c r="P22" s="74" t="s">
        <v>877</v>
      </c>
      <c r="Q22" s="172">
        <v>4.4999999999999997E-3</v>
      </c>
      <c r="R22" s="172">
        <v>3.8080443805377992E-2</v>
      </c>
      <c r="S22" s="172">
        <v>7.7850000000000003E-2</v>
      </c>
      <c r="T22" s="193">
        <v>101.49</v>
      </c>
      <c r="U22" s="173">
        <v>101.15</v>
      </c>
      <c r="V22" s="171">
        <v>250000</v>
      </c>
      <c r="W22" s="171" t="s">
        <v>778</v>
      </c>
      <c r="X22" s="173">
        <v>1</v>
      </c>
      <c r="Y22" s="171">
        <v>859.93</v>
      </c>
      <c r="Z22" s="171">
        <v>29</v>
      </c>
      <c r="AA22" s="171">
        <f t="shared" si="0"/>
        <v>252875</v>
      </c>
      <c r="AB22" s="171">
        <f t="shared" si="1"/>
        <v>253734.93</v>
      </c>
      <c r="AC22" s="171">
        <v>254625</v>
      </c>
      <c r="AD22" s="173">
        <v>0.66849315068493154</v>
      </c>
      <c r="AE22" s="194">
        <v>6.9939169999999995E-2</v>
      </c>
      <c r="AF22" s="194">
        <v>2.8239171046472632E-2</v>
      </c>
      <c r="AG22" s="172">
        <f t="shared" si="2"/>
        <v>2.3739171046472631E-2</v>
      </c>
      <c r="AH22" s="172">
        <f t="shared" si="3"/>
        <v>0.15935311955844741</v>
      </c>
      <c r="AI22" s="173">
        <f t="shared" si="4"/>
        <v>6.2753713436605851</v>
      </c>
      <c r="AJ22" s="171">
        <f t="shared" si="5"/>
        <v>19462.5</v>
      </c>
      <c r="AK22" s="171">
        <f t="shared" si="6"/>
        <v>1125</v>
      </c>
    </row>
    <row r="23" spans="1:37" ht="13.8" customHeight="1" x14ac:dyDescent="0.3">
      <c r="A23" s="192" t="s">
        <v>529</v>
      </c>
      <c r="B23" s="149">
        <v>4</v>
      </c>
      <c r="C23" s="74" t="s">
        <v>817</v>
      </c>
      <c r="D23" s="74" t="s">
        <v>720</v>
      </c>
      <c r="E23" s="74">
        <v>45777</v>
      </c>
      <c r="F23" s="74">
        <v>45779</v>
      </c>
      <c r="G23" s="74" t="s">
        <v>818</v>
      </c>
      <c r="H23" s="74" t="s">
        <v>878</v>
      </c>
      <c r="I23" s="74" t="s">
        <v>529</v>
      </c>
      <c r="J23" s="74" t="s">
        <v>748</v>
      </c>
      <c r="K23" s="74" t="s">
        <v>727</v>
      </c>
      <c r="L23" s="74" t="s">
        <v>721</v>
      </c>
      <c r="M23" s="74" t="s">
        <v>879</v>
      </c>
      <c r="N23" s="176" t="s">
        <v>880</v>
      </c>
      <c r="O23" s="171">
        <v>100000000</v>
      </c>
      <c r="P23" s="74" t="s">
        <v>847</v>
      </c>
      <c r="Q23" s="172">
        <v>4.7999999999999996E-3</v>
      </c>
      <c r="R23" s="172">
        <v>6.1675746667E-2</v>
      </c>
      <c r="S23" s="172">
        <v>0.1008</v>
      </c>
      <c r="T23" s="193">
        <v>102.45</v>
      </c>
      <c r="U23" s="173">
        <v>101.95</v>
      </c>
      <c r="V23" s="171">
        <v>250000</v>
      </c>
      <c r="W23" s="171" t="s">
        <v>778</v>
      </c>
      <c r="X23" s="173">
        <v>1</v>
      </c>
      <c r="Y23" s="171">
        <v>180.56</v>
      </c>
      <c r="Z23" s="171">
        <v>4</v>
      </c>
      <c r="AA23" s="171">
        <f t="shared" si="0"/>
        <v>254875</v>
      </c>
      <c r="AB23" s="171">
        <f t="shared" si="1"/>
        <v>255055.56</v>
      </c>
      <c r="AC23" s="171">
        <v>258325</v>
      </c>
      <c r="AD23" s="173">
        <v>0.75068493150684934</v>
      </c>
      <c r="AE23" s="194">
        <v>8.6950429999999995E-2</v>
      </c>
      <c r="AF23" s="194">
        <v>4.5750427756480992E-2</v>
      </c>
      <c r="AG23" s="172">
        <f t="shared" si="2"/>
        <v>4.0950427756480993E-2</v>
      </c>
      <c r="AH23" s="172">
        <f t="shared" si="3"/>
        <v>0.10491705182625387</v>
      </c>
      <c r="AI23" s="173">
        <f t="shared" si="4"/>
        <v>9.531339115933541</v>
      </c>
      <c r="AJ23" s="171">
        <f t="shared" si="5"/>
        <v>25200</v>
      </c>
      <c r="AK23" s="171">
        <f t="shared" si="6"/>
        <v>1200</v>
      </c>
    </row>
    <row r="24" spans="1:37" ht="13.8" customHeight="1" x14ac:dyDescent="0.3">
      <c r="A24" s="192" t="s">
        <v>411</v>
      </c>
      <c r="B24" s="149">
        <v>4</v>
      </c>
      <c r="C24" s="74" t="s">
        <v>817</v>
      </c>
      <c r="D24" s="74" t="s">
        <v>720</v>
      </c>
      <c r="E24" s="74">
        <v>45777</v>
      </c>
      <c r="F24" s="74">
        <v>45778</v>
      </c>
      <c r="G24" s="74" t="s">
        <v>823</v>
      </c>
      <c r="H24" s="74" t="s">
        <v>881</v>
      </c>
      <c r="I24" s="74" t="s">
        <v>411</v>
      </c>
      <c r="J24" s="74" t="s">
        <v>749</v>
      </c>
      <c r="K24" s="74" t="s">
        <v>727</v>
      </c>
      <c r="L24" s="74" t="s">
        <v>721</v>
      </c>
      <c r="M24" s="74" t="s">
        <v>882</v>
      </c>
      <c r="N24" s="176" t="s">
        <v>883</v>
      </c>
      <c r="O24" s="171">
        <v>125000000</v>
      </c>
      <c r="P24" s="74" t="s">
        <v>884</v>
      </c>
      <c r="Q24" s="172">
        <v>2.7300000000000001E-2</v>
      </c>
      <c r="R24" s="172">
        <v>7.6310288765853801E-2</v>
      </c>
      <c r="S24" s="172">
        <v>0.11502</v>
      </c>
      <c r="T24" s="193">
        <v>104.43</v>
      </c>
      <c r="U24" s="173">
        <v>102</v>
      </c>
      <c r="V24" s="171">
        <v>250000</v>
      </c>
      <c r="W24" s="171" t="s">
        <v>778</v>
      </c>
      <c r="X24" s="173">
        <v>1</v>
      </c>
      <c r="Y24" s="171">
        <v>984.38</v>
      </c>
      <c r="Z24" s="171">
        <v>21</v>
      </c>
      <c r="AA24" s="171">
        <f t="shared" si="0"/>
        <v>255000</v>
      </c>
      <c r="AB24" s="171">
        <f t="shared" si="1"/>
        <v>255984.38</v>
      </c>
      <c r="AC24" s="171">
        <v>265575</v>
      </c>
      <c r="AD24" s="173">
        <v>1.506849315068493</v>
      </c>
      <c r="AE24" s="194">
        <v>0.10692274</v>
      </c>
      <c r="AF24" s="194">
        <v>6.5422737128187594E-2</v>
      </c>
      <c r="AG24" s="172">
        <f t="shared" si="2"/>
        <v>3.8122737128187589E-2</v>
      </c>
      <c r="AH24" s="172">
        <f t="shared" si="3"/>
        <v>0.41728611792119147</v>
      </c>
      <c r="AI24" s="173">
        <f t="shared" si="4"/>
        <v>2.396437257442769</v>
      </c>
      <c r="AJ24" s="171">
        <f t="shared" si="5"/>
        <v>28755</v>
      </c>
      <c r="AK24" s="171">
        <f t="shared" si="6"/>
        <v>6825</v>
      </c>
    </row>
    <row r="25" spans="1:37" ht="13.8" customHeight="1" x14ac:dyDescent="0.3">
      <c r="A25" s="192" t="s">
        <v>217</v>
      </c>
      <c r="B25" s="149">
        <v>1</v>
      </c>
      <c r="C25" s="74" t="s">
        <v>817</v>
      </c>
      <c r="D25" s="74" t="s">
        <v>720</v>
      </c>
      <c r="E25" s="74">
        <v>45785</v>
      </c>
      <c r="F25" s="74">
        <v>45786</v>
      </c>
      <c r="G25" s="74" t="s">
        <v>818</v>
      </c>
      <c r="H25" s="74" t="s">
        <v>885</v>
      </c>
      <c r="I25" s="74" t="s">
        <v>217</v>
      </c>
      <c r="J25" s="74" t="s">
        <v>751</v>
      </c>
      <c r="K25" s="74" t="s">
        <v>727</v>
      </c>
      <c r="L25" s="74" t="s">
        <v>721</v>
      </c>
      <c r="M25" s="74" t="s">
        <v>886</v>
      </c>
      <c r="N25" s="176" t="s">
        <v>887</v>
      </c>
      <c r="O25" s="171">
        <v>150000000</v>
      </c>
      <c r="P25" s="74" t="s">
        <v>839</v>
      </c>
      <c r="Q25" s="172">
        <v>1.0699999999999999E-2</v>
      </c>
      <c r="R25" s="172">
        <v>5.2875811812667747E-2</v>
      </c>
      <c r="S25" s="172">
        <v>9.1859997558593739E-2</v>
      </c>
      <c r="T25" s="193">
        <v>101.59</v>
      </c>
      <c r="U25" s="173">
        <v>101.95</v>
      </c>
      <c r="V25" s="171">
        <v>250000</v>
      </c>
      <c r="W25" s="171" t="s">
        <v>778</v>
      </c>
      <c r="X25" s="173">
        <v>1</v>
      </c>
      <c r="Y25" s="171">
        <v>72.44</v>
      </c>
      <c r="Z25" s="171">
        <v>2</v>
      </c>
      <c r="AA25" s="171">
        <f t="shared" si="0"/>
        <v>254875</v>
      </c>
      <c r="AB25" s="171">
        <f t="shared" si="1"/>
        <v>254947.44</v>
      </c>
      <c r="AC25" s="171">
        <v>253825</v>
      </c>
      <c r="AD25" s="173">
        <v>0.57808219178082187</v>
      </c>
      <c r="AE25" s="194">
        <v>7.5947069999999992E-2</v>
      </c>
      <c r="AF25" s="194">
        <v>3.4347071029523397E-2</v>
      </c>
      <c r="AG25" s="172">
        <f t="shared" si="2"/>
        <v>2.3647071029523396E-2</v>
      </c>
      <c r="AH25" s="172">
        <f t="shared" si="3"/>
        <v>0.31152583551600943</v>
      </c>
      <c r="AI25" s="173">
        <f t="shared" si="4"/>
        <v>3.2100066382732151</v>
      </c>
      <c r="AJ25" s="171">
        <f t="shared" si="5"/>
        <v>22964.999389648434</v>
      </c>
      <c r="AK25" s="171">
        <f t="shared" si="6"/>
        <v>2675</v>
      </c>
    </row>
    <row r="26" spans="1:37" ht="13.8" customHeight="1" x14ac:dyDescent="0.3">
      <c r="A26" s="192" t="s">
        <v>26</v>
      </c>
      <c r="B26" s="149">
        <v>2</v>
      </c>
      <c r="C26" s="74" t="s">
        <v>817</v>
      </c>
      <c r="D26" s="74" t="s">
        <v>720</v>
      </c>
      <c r="E26" s="74">
        <v>45789</v>
      </c>
      <c r="F26" s="74">
        <v>45790</v>
      </c>
      <c r="G26" s="74" t="s">
        <v>823</v>
      </c>
      <c r="H26" s="74" t="s">
        <v>888</v>
      </c>
      <c r="I26" s="74" t="s">
        <v>26</v>
      </c>
      <c r="J26" s="74" t="s">
        <v>752</v>
      </c>
      <c r="K26" s="74" t="s">
        <v>722</v>
      </c>
      <c r="L26" s="74" t="s">
        <v>726</v>
      </c>
      <c r="M26" s="74" t="s">
        <v>889</v>
      </c>
      <c r="N26" s="176" t="s">
        <v>890</v>
      </c>
      <c r="O26" s="171">
        <v>500000000</v>
      </c>
      <c r="P26" s="74" t="s">
        <v>891</v>
      </c>
      <c r="Q26" s="172">
        <v>2.0400000000000001E-2</v>
      </c>
      <c r="R26" s="172">
        <v>0.107284063065</v>
      </c>
      <c r="S26" s="172">
        <v>0.14878453999999999</v>
      </c>
      <c r="T26" s="193">
        <v>103</v>
      </c>
      <c r="U26" s="173">
        <v>102.8</v>
      </c>
      <c r="V26" s="171">
        <v>250000</v>
      </c>
      <c r="W26" s="171" t="s">
        <v>778</v>
      </c>
      <c r="X26" s="173">
        <v>1</v>
      </c>
      <c r="Y26" s="171">
        <v>4354.17</v>
      </c>
      <c r="Z26" s="171">
        <v>57</v>
      </c>
      <c r="AA26" s="171">
        <f t="shared" si="0"/>
        <v>257000</v>
      </c>
      <c r="AB26" s="171">
        <f t="shared" si="1"/>
        <v>261354.17</v>
      </c>
      <c r="AC26" s="171">
        <v>260400</v>
      </c>
      <c r="AD26" s="173">
        <v>0.39726027397260272</v>
      </c>
      <c r="AE26" s="194">
        <v>0.11713435</v>
      </c>
      <c r="AF26" s="194">
        <v>7.5592968367092769E-2</v>
      </c>
      <c r="AG26" s="172">
        <f t="shared" si="2"/>
        <v>5.5192968367092768E-2</v>
      </c>
      <c r="AH26" s="172">
        <f t="shared" si="3"/>
        <v>0.2698663703869123</v>
      </c>
      <c r="AI26" s="173">
        <f t="shared" si="4"/>
        <v>3.7055376650535665</v>
      </c>
      <c r="AJ26" s="171">
        <f t="shared" si="5"/>
        <v>37196.134999999995</v>
      </c>
      <c r="AK26" s="171">
        <f t="shared" si="6"/>
        <v>5100</v>
      </c>
    </row>
    <row r="27" spans="1:37" ht="13.8" customHeight="1" x14ac:dyDescent="0.3">
      <c r="A27" s="192" t="s">
        <v>549</v>
      </c>
      <c r="B27" s="149">
        <v>5</v>
      </c>
      <c r="C27" s="74" t="s">
        <v>817</v>
      </c>
      <c r="D27" s="74" t="s">
        <v>720</v>
      </c>
      <c r="E27" s="74">
        <v>45789</v>
      </c>
      <c r="F27" s="74">
        <v>45790</v>
      </c>
      <c r="G27" s="74" t="s">
        <v>823</v>
      </c>
      <c r="H27" s="74" t="s">
        <v>892</v>
      </c>
      <c r="I27" s="74" t="s">
        <v>549</v>
      </c>
      <c r="J27" s="74" t="s">
        <v>753</v>
      </c>
      <c r="K27" s="74" t="s">
        <v>722</v>
      </c>
      <c r="L27" s="74" t="s">
        <v>721</v>
      </c>
      <c r="M27" s="74" t="s">
        <v>893</v>
      </c>
      <c r="N27" s="176" t="s">
        <v>894</v>
      </c>
      <c r="O27" s="171">
        <v>500000000</v>
      </c>
      <c r="P27" s="74" t="s">
        <v>895</v>
      </c>
      <c r="Q27" s="172">
        <v>2.5700000000000001E-2</v>
      </c>
      <c r="R27" s="172">
        <v>9.0571397299765224E-2</v>
      </c>
      <c r="S27" s="172">
        <v>0.1293</v>
      </c>
      <c r="T27" s="193">
        <v>103.83</v>
      </c>
      <c r="U27" s="173">
        <v>102.5</v>
      </c>
      <c r="V27" s="171">
        <v>250000</v>
      </c>
      <c r="W27" s="171" t="s">
        <v>778</v>
      </c>
      <c r="X27" s="173">
        <v>1</v>
      </c>
      <c r="Y27" s="171">
        <v>1631.78</v>
      </c>
      <c r="Z27" s="171">
        <v>28</v>
      </c>
      <c r="AA27" s="171">
        <f t="shared" si="0"/>
        <v>256250</v>
      </c>
      <c r="AB27" s="171">
        <f t="shared" si="1"/>
        <v>257881.78</v>
      </c>
      <c r="AC27" s="171">
        <v>262475</v>
      </c>
      <c r="AD27" s="173">
        <v>0.58356164383561648</v>
      </c>
      <c r="AE27" s="194">
        <v>0.10738033</v>
      </c>
      <c r="AF27" s="194">
        <v>6.6180329997306109E-2</v>
      </c>
      <c r="AG27" s="172">
        <f t="shared" si="2"/>
        <v>4.0480329997306108E-2</v>
      </c>
      <c r="AH27" s="172">
        <f t="shared" si="3"/>
        <v>0.38833290799616937</v>
      </c>
      <c r="AI27" s="173">
        <f t="shared" si="4"/>
        <v>2.5751101166266968</v>
      </c>
      <c r="AJ27" s="171">
        <f t="shared" si="5"/>
        <v>32325</v>
      </c>
      <c r="AK27" s="171">
        <f t="shared" si="6"/>
        <v>6425</v>
      </c>
    </row>
    <row r="28" spans="1:37" ht="13.8" customHeight="1" x14ac:dyDescent="0.3">
      <c r="A28" s="192" t="s">
        <v>289</v>
      </c>
      <c r="B28" s="149">
        <v>2</v>
      </c>
      <c r="C28" s="74" t="s">
        <v>817</v>
      </c>
      <c r="D28" s="74" t="s">
        <v>720</v>
      </c>
      <c r="E28" s="74">
        <v>45790</v>
      </c>
      <c r="F28" s="74">
        <v>45791</v>
      </c>
      <c r="G28" s="74" t="s">
        <v>823</v>
      </c>
      <c r="H28" s="74" t="s">
        <v>896</v>
      </c>
      <c r="I28" s="74" t="s">
        <v>289</v>
      </c>
      <c r="J28" s="74" t="s">
        <v>754</v>
      </c>
      <c r="K28" s="74" t="s">
        <v>727</v>
      </c>
      <c r="L28" s="74" t="s">
        <v>721</v>
      </c>
      <c r="M28" s="74" t="s">
        <v>897</v>
      </c>
      <c r="N28" s="176" t="s">
        <v>898</v>
      </c>
      <c r="O28" s="171">
        <v>120000000</v>
      </c>
      <c r="P28" s="74" t="s">
        <v>899</v>
      </c>
      <c r="Q28" s="172">
        <v>1.9800000000000002E-2</v>
      </c>
      <c r="R28" s="172">
        <v>0.123713315691</v>
      </c>
      <c r="S28" s="172">
        <v>0.16270000000000001</v>
      </c>
      <c r="T28" s="193">
        <v>103.95</v>
      </c>
      <c r="U28" s="173">
        <v>104.6</v>
      </c>
      <c r="V28" s="171">
        <v>250000</v>
      </c>
      <c r="W28" s="171" t="s">
        <v>778</v>
      </c>
      <c r="X28" s="173">
        <v>1</v>
      </c>
      <c r="Y28" s="171">
        <v>448.26</v>
      </c>
      <c r="Z28" s="171">
        <v>5</v>
      </c>
      <c r="AA28" s="171">
        <f t="shared" si="0"/>
        <v>261500</v>
      </c>
      <c r="AB28" s="171">
        <f t="shared" si="1"/>
        <v>261948.26</v>
      </c>
      <c r="AC28" s="171">
        <v>266300</v>
      </c>
      <c r="AD28" s="173">
        <v>0.55068493150684927</v>
      </c>
      <c r="AE28" s="194">
        <v>0.11846673000000001</v>
      </c>
      <c r="AF28" s="194">
        <v>7.6766731676329678E-2</v>
      </c>
      <c r="AG28" s="172">
        <f t="shared" si="2"/>
        <v>5.6966731676329679E-2</v>
      </c>
      <c r="AH28" s="172">
        <f t="shared" si="3"/>
        <v>0.25792422795179581</v>
      </c>
      <c r="AI28" s="173">
        <f t="shared" si="4"/>
        <v>3.8771076604206907</v>
      </c>
      <c r="AJ28" s="171">
        <f t="shared" si="5"/>
        <v>40675</v>
      </c>
      <c r="AK28" s="171">
        <f t="shared" si="6"/>
        <v>4950</v>
      </c>
    </row>
    <row r="29" spans="1:37" ht="13.8" customHeight="1" x14ac:dyDescent="0.3">
      <c r="A29" s="192" t="s">
        <v>467</v>
      </c>
      <c r="B29" s="149">
        <v>2</v>
      </c>
      <c r="C29" s="74" t="s">
        <v>817</v>
      </c>
      <c r="D29" s="74" t="s">
        <v>720</v>
      </c>
      <c r="E29" s="74">
        <v>45791</v>
      </c>
      <c r="F29" s="74">
        <v>45792</v>
      </c>
      <c r="G29" s="74" t="s">
        <v>818</v>
      </c>
      <c r="H29" s="74" t="s">
        <v>900</v>
      </c>
      <c r="I29" s="74" t="s">
        <v>467</v>
      </c>
      <c r="J29" s="74" t="s">
        <v>755</v>
      </c>
      <c r="K29" s="74" t="s">
        <v>727</v>
      </c>
      <c r="L29" s="74" t="s">
        <v>721</v>
      </c>
      <c r="M29" s="74" t="s">
        <v>882</v>
      </c>
      <c r="N29" s="176" t="s">
        <v>865</v>
      </c>
      <c r="O29" s="171">
        <v>150000000</v>
      </c>
      <c r="P29" s="74" t="s">
        <v>891</v>
      </c>
      <c r="Q29" s="172">
        <v>2.1600000000000001E-2</v>
      </c>
      <c r="R29" s="172">
        <v>9.6994090299810154E-2</v>
      </c>
      <c r="S29" s="172">
        <v>0.13500719976425171</v>
      </c>
      <c r="T29" s="193">
        <v>104.18</v>
      </c>
      <c r="U29" s="173">
        <v>102.85</v>
      </c>
      <c r="V29" s="171">
        <v>250000</v>
      </c>
      <c r="W29" s="171" t="s">
        <v>778</v>
      </c>
      <c r="X29" s="173">
        <v>1</v>
      </c>
      <c r="Y29" s="171">
        <v>659.72</v>
      </c>
      <c r="Z29" s="171">
        <v>10</v>
      </c>
      <c r="AA29" s="171">
        <f t="shared" si="0"/>
        <v>257125</v>
      </c>
      <c r="AB29" s="171">
        <f t="shared" si="1"/>
        <v>257784.72</v>
      </c>
      <c r="AC29" s="171">
        <v>267737.5</v>
      </c>
      <c r="AD29" s="173">
        <v>1.5835616438356159</v>
      </c>
      <c r="AE29" s="194">
        <v>0.1189812</v>
      </c>
      <c r="AF29" s="194">
        <v>8.0973998981282241E-2</v>
      </c>
      <c r="AG29" s="172">
        <f t="shared" si="2"/>
        <v>5.937399898128224E-2</v>
      </c>
      <c r="AH29" s="172">
        <f t="shared" si="3"/>
        <v>0.26675229421475166</v>
      </c>
      <c r="AI29" s="173">
        <f t="shared" si="4"/>
        <v>3.748796249133437</v>
      </c>
      <c r="AJ29" s="171">
        <f t="shared" si="5"/>
        <v>33751.799941062927</v>
      </c>
      <c r="AK29" s="171">
        <f t="shared" si="6"/>
        <v>5400</v>
      </c>
    </row>
    <row r="30" spans="1:37" ht="13.8" customHeight="1" x14ac:dyDescent="0.3">
      <c r="A30" s="192" t="s">
        <v>598</v>
      </c>
      <c r="B30" s="149">
        <v>5</v>
      </c>
      <c r="C30" s="74" t="s">
        <v>817</v>
      </c>
      <c r="D30" s="74" t="s">
        <v>720</v>
      </c>
      <c r="E30" s="74">
        <v>45793</v>
      </c>
      <c r="F30" s="74">
        <v>45797</v>
      </c>
      <c r="G30" s="74" t="s">
        <v>823</v>
      </c>
      <c r="H30" s="74" t="s">
        <v>901</v>
      </c>
      <c r="I30" s="74" t="s">
        <v>598</v>
      </c>
      <c r="J30" s="74" t="s">
        <v>756</v>
      </c>
      <c r="K30" s="74" t="s">
        <v>722</v>
      </c>
      <c r="L30" s="74" t="s">
        <v>726</v>
      </c>
      <c r="M30" s="74" t="s">
        <v>902</v>
      </c>
      <c r="N30" s="176" t="s">
        <v>903</v>
      </c>
      <c r="O30" s="171">
        <v>75000000</v>
      </c>
      <c r="P30" s="74" t="s">
        <v>904</v>
      </c>
      <c r="Q30" s="172">
        <v>3.4500000000000003E-2</v>
      </c>
      <c r="R30" s="172">
        <v>0.132287509645</v>
      </c>
      <c r="S30" s="172">
        <v>0.1699</v>
      </c>
      <c r="T30" s="193">
        <v>102.83</v>
      </c>
      <c r="U30" s="173">
        <v>103.75</v>
      </c>
      <c r="V30" s="171">
        <v>250000</v>
      </c>
      <c r="W30" s="171" t="s">
        <v>778</v>
      </c>
      <c r="X30" s="173">
        <v>1</v>
      </c>
      <c r="Y30" s="171">
        <v>2553.06</v>
      </c>
      <c r="Z30" s="171">
        <v>28</v>
      </c>
      <c r="AA30" s="171">
        <f t="shared" si="0"/>
        <v>259375</v>
      </c>
      <c r="AB30" s="171">
        <f t="shared" si="1"/>
        <v>261928.06</v>
      </c>
      <c r="AC30" s="171">
        <v>260100</v>
      </c>
      <c r="AD30" s="173">
        <v>0.30958904109589042</v>
      </c>
      <c r="AE30" s="194">
        <v>0.12294792</v>
      </c>
      <c r="AF30" s="194">
        <v>8.1047922777623349E-2</v>
      </c>
      <c r="AG30" s="172">
        <f t="shared" si="2"/>
        <v>4.6547922777623346E-2</v>
      </c>
      <c r="AH30" s="172">
        <f t="shared" si="3"/>
        <v>0.42567408044077798</v>
      </c>
      <c r="AI30" s="173">
        <f t="shared" si="4"/>
        <v>2.3492151529745895</v>
      </c>
      <c r="AJ30" s="171">
        <f t="shared" si="5"/>
        <v>42475</v>
      </c>
      <c r="AK30" s="171">
        <f t="shared" si="6"/>
        <v>8625</v>
      </c>
    </row>
    <row r="31" spans="1:37" ht="13.8" customHeight="1" x14ac:dyDescent="0.3">
      <c r="A31" s="192" t="s">
        <v>375</v>
      </c>
      <c r="B31" s="149">
        <v>1</v>
      </c>
      <c r="C31" s="74" t="s">
        <v>817</v>
      </c>
      <c r="D31" s="74" t="s">
        <v>720</v>
      </c>
      <c r="E31" s="74">
        <v>45797</v>
      </c>
      <c r="F31" s="74">
        <v>45798</v>
      </c>
      <c r="G31" s="74" t="s">
        <v>818</v>
      </c>
      <c r="H31" s="74" t="s">
        <v>905</v>
      </c>
      <c r="I31" s="74" t="s">
        <v>375</v>
      </c>
      <c r="J31" s="74" t="s">
        <v>757</v>
      </c>
      <c r="K31" s="74" t="s">
        <v>727</v>
      </c>
      <c r="L31" s="74" t="s">
        <v>721</v>
      </c>
      <c r="M31" s="74" t="s">
        <v>906</v>
      </c>
      <c r="N31" s="176" t="s">
        <v>907</v>
      </c>
      <c r="O31" s="171">
        <v>95000000</v>
      </c>
      <c r="P31" s="74" t="s">
        <v>839</v>
      </c>
      <c r="Q31" s="172">
        <v>2.64E-2</v>
      </c>
      <c r="R31" s="172">
        <v>5.9938890575550269E-2</v>
      </c>
      <c r="S31" s="172">
        <v>9.849999999999999E-2</v>
      </c>
      <c r="T31" s="193">
        <v>102.15</v>
      </c>
      <c r="U31" s="173">
        <v>101.85</v>
      </c>
      <c r="V31" s="171">
        <v>250000</v>
      </c>
      <c r="W31" s="171" t="s">
        <v>778</v>
      </c>
      <c r="X31" s="173">
        <v>1</v>
      </c>
      <c r="Y31" s="171">
        <v>0</v>
      </c>
      <c r="Z31" s="171">
        <v>0</v>
      </c>
      <c r="AA31" s="171">
        <f t="shared" si="0"/>
        <v>254625</v>
      </c>
      <c r="AB31" s="171">
        <f t="shared" si="1"/>
        <v>254625</v>
      </c>
      <c r="AC31" s="171">
        <v>256025</v>
      </c>
      <c r="AD31" s="173">
        <v>2.1232876712328772</v>
      </c>
      <c r="AE31" s="194">
        <v>9.3113240000000014E-2</v>
      </c>
      <c r="AF31" s="194">
        <v>5.1913241596361133E-2</v>
      </c>
      <c r="AG31" s="172">
        <f t="shared" si="2"/>
        <v>2.5513241596361133E-2</v>
      </c>
      <c r="AH31" s="172">
        <f t="shared" si="3"/>
        <v>0.50854077280064347</v>
      </c>
      <c r="AI31" s="173">
        <f t="shared" si="4"/>
        <v>1.9664106665288308</v>
      </c>
      <c r="AJ31" s="171">
        <f t="shared" si="5"/>
        <v>24624.999999999996</v>
      </c>
      <c r="AK31" s="171">
        <f t="shared" si="6"/>
        <v>6600</v>
      </c>
    </row>
    <row r="32" spans="1:37" ht="13.8" customHeight="1" x14ac:dyDescent="0.3">
      <c r="A32" s="192" t="s">
        <v>169</v>
      </c>
      <c r="B32" s="149">
        <v>5</v>
      </c>
      <c r="C32" s="74" t="s">
        <v>817</v>
      </c>
      <c r="D32" s="74" t="s">
        <v>720</v>
      </c>
      <c r="E32" s="74">
        <v>45805</v>
      </c>
      <c r="F32" s="74">
        <v>45806</v>
      </c>
      <c r="G32" s="74" t="s">
        <v>823</v>
      </c>
      <c r="H32" s="74" t="s">
        <v>908</v>
      </c>
      <c r="I32" s="74" t="s">
        <v>169</v>
      </c>
      <c r="J32" s="74" t="s">
        <v>758</v>
      </c>
      <c r="K32" s="74" t="s">
        <v>727</v>
      </c>
      <c r="L32" s="74" t="s">
        <v>721</v>
      </c>
      <c r="M32" s="74" t="s">
        <v>909</v>
      </c>
      <c r="N32" s="176" t="s">
        <v>910</v>
      </c>
      <c r="O32" s="171">
        <v>50000000</v>
      </c>
      <c r="P32" s="74" t="s">
        <v>911</v>
      </c>
      <c r="Q32" s="172">
        <v>2.12E-2</v>
      </c>
      <c r="R32" s="172">
        <v>8.9036969351987266E-2</v>
      </c>
      <c r="S32" s="172">
        <v>0.1278</v>
      </c>
      <c r="T32" s="193">
        <v>101.46</v>
      </c>
      <c r="U32" s="173">
        <v>101.6</v>
      </c>
      <c r="V32" s="171">
        <v>250000</v>
      </c>
      <c r="W32" s="171" t="s">
        <v>778</v>
      </c>
      <c r="X32" s="173">
        <v>1</v>
      </c>
      <c r="Y32" s="171">
        <v>3892.36</v>
      </c>
      <c r="Z32" s="171">
        <v>59</v>
      </c>
      <c r="AA32" s="171">
        <f t="shared" si="0"/>
        <v>254000</v>
      </c>
      <c r="AB32" s="171">
        <f t="shared" si="1"/>
        <v>257892.36</v>
      </c>
      <c r="AC32" s="171">
        <v>258525</v>
      </c>
      <c r="AD32" s="173">
        <v>1.1698630136986301</v>
      </c>
      <c r="AE32" s="194">
        <v>0.11989819</v>
      </c>
      <c r="AF32" s="194">
        <v>7.8098191190205071E-2</v>
      </c>
      <c r="AG32" s="172">
        <f t="shared" si="2"/>
        <v>5.6898191190205075E-2</v>
      </c>
      <c r="AH32" s="172">
        <f t="shared" si="3"/>
        <v>0.27145314989905767</v>
      </c>
      <c r="AI32" s="173">
        <f t="shared" si="4"/>
        <v>3.6838769429342011</v>
      </c>
      <c r="AJ32" s="171">
        <f t="shared" si="5"/>
        <v>31950</v>
      </c>
      <c r="AK32" s="171">
        <f t="shared" si="6"/>
        <v>5300</v>
      </c>
    </row>
    <row r="33" spans="1:37" ht="13.8" customHeight="1" x14ac:dyDescent="0.3">
      <c r="A33" s="192" t="s">
        <v>509</v>
      </c>
      <c r="B33" s="149">
        <v>5</v>
      </c>
      <c r="C33" s="74" t="s">
        <v>817</v>
      </c>
      <c r="D33" s="74" t="s">
        <v>720</v>
      </c>
      <c r="E33" s="74">
        <v>45834</v>
      </c>
      <c r="F33" s="74">
        <v>45835</v>
      </c>
      <c r="G33" s="74" t="s">
        <v>818</v>
      </c>
      <c r="H33" s="74" t="s">
        <v>912</v>
      </c>
      <c r="I33" s="74" t="s">
        <v>509</v>
      </c>
      <c r="J33" s="74" t="s">
        <v>759</v>
      </c>
      <c r="K33" s="74" t="s">
        <v>727</v>
      </c>
      <c r="L33" s="74" t="s">
        <v>721</v>
      </c>
      <c r="M33" s="74" t="s">
        <v>913</v>
      </c>
      <c r="N33" s="176" t="s">
        <v>914</v>
      </c>
      <c r="O33" s="171">
        <v>475000000</v>
      </c>
      <c r="P33" s="74" t="s">
        <v>915</v>
      </c>
      <c r="Q33" s="172">
        <v>5.6599999999999998E-2</v>
      </c>
      <c r="R33" s="172">
        <v>0.1434006472760932</v>
      </c>
      <c r="S33" s="172">
        <v>0.18210000000000001</v>
      </c>
      <c r="T33" s="193">
        <v>105.48</v>
      </c>
      <c r="U33" s="173">
        <v>102.8</v>
      </c>
      <c r="V33" s="171">
        <v>250000</v>
      </c>
      <c r="W33" s="171" t="s">
        <v>778</v>
      </c>
      <c r="X33" s="173">
        <v>1</v>
      </c>
      <c r="Y33" s="171">
        <v>2041.67</v>
      </c>
      <c r="Z33" s="171">
        <v>21</v>
      </c>
      <c r="AA33" s="171">
        <f t="shared" si="0"/>
        <v>257000</v>
      </c>
      <c r="AB33" s="171">
        <f t="shared" si="1"/>
        <v>259041.67</v>
      </c>
      <c r="AC33" s="171">
        <v>268000</v>
      </c>
      <c r="AD33" s="173">
        <v>1.3452054794520549</v>
      </c>
      <c r="AE33" s="194">
        <v>0.16563422</v>
      </c>
      <c r="AF33" s="194">
        <v>0.1247342242966737</v>
      </c>
      <c r="AG33" s="172">
        <f t="shared" si="2"/>
        <v>6.8134224296673707E-2</v>
      </c>
      <c r="AH33" s="172">
        <f t="shared" si="3"/>
        <v>0.45376479726510277</v>
      </c>
      <c r="AI33" s="173">
        <f t="shared" si="4"/>
        <v>2.2037848815666732</v>
      </c>
      <c r="AJ33" s="171">
        <f t="shared" si="5"/>
        <v>45525</v>
      </c>
      <c r="AK33" s="171">
        <f t="shared" si="6"/>
        <v>14150</v>
      </c>
    </row>
    <row r="34" spans="1:37" ht="13.8" customHeight="1" x14ac:dyDescent="0.3">
      <c r="A34" s="192" t="s">
        <v>173</v>
      </c>
      <c r="B34" s="149">
        <v>5</v>
      </c>
      <c r="C34" s="74" t="s">
        <v>817</v>
      </c>
      <c r="D34" s="74" t="s">
        <v>720</v>
      </c>
      <c r="E34" s="74">
        <v>45859</v>
      </c>
      <c r="F34" s="74">
        <v>45860</v>
      </c>
      <c r="G34" s="74" t="s">
        <v>823</v>
      </c>
      <c r="H34" s="74" t="s">
        <v>916</v>
      </c>
      <c r="I34" s="74" t="s">
        <v>173</v>
      </c>
      <c r="J34" s="74" t="s">
        <v>758</v>
      </c>
      <c r="K34" s="74" t="s">
        <v>727</v>
      </c>
      <c r="L34" s="74" t="s">
        <v>721</v>
      </c>
      <c r="M34" s="74" t="s">
        <v>917</v>
      </c>
      <c r="N34" s="176" t="s">
        <v>918</v>
      </c>
      <c r="O34" s="171">
        <v>75000000</v>
      </c>
      <c r="P34" s="74" t="s">
        <v>911</v>
      </c>
      <c r="Q34" s="172">
        <v>0.03</v>
      </c>
      <c r="R34" s="172">
        <v>8.241739053348697E-2</v>
      </c>
      <c r="S34" s="172">
        <v>0.1211</v>
      </c>
      <c r="T34" s="193">
        <v>100.27</v>
      </c>
      <c r="U34" s="173">
        <v>99.3</v>
      </c>
      <c r="V34" s="171">
        <v>250000</v>
      </c>
      <c r="W34" s="171" t="s">
        <v>778</v>
      </c>
      <c r="X34" s="173">
        <v>1</v>
      </c>
      <c r="Y34" s="171">
        <v>1260.42</v>
      </c>
      <c r="Z34" s="171">
        <v>22</v>
      </c>
      <c r="AA34" s="171">
        <f t="shared" si="0"/>
        <v>248250</v>
      </c>
      <c r="AB34" s="171">
        <f t="shared" si="1"/>
        <v>249510.42</v>
      </c>
      <c r="AC34" s="171">
        <v>258825</v>
      </c>
      <c r="AD34" s="173">
        <v>2.1698630136986301</v>
      </c>
      <c r="AE34" s="194">
        <v>0.12753048</v>
      </c>
      <c r="AF34" s="194">
        <v>8.5730482812476083E-2</v>
      </c>
      <c r="AG34" s="172">
        <f t="shared" si="2"/>
        <v>5.5730482812476084E-2</v>
      </c>
      <c r="AH34" s="172">
        <f t="shared" si="3"/>
        <v>0.34993387434456619</v>
      </c>
      <c r="AI34" s="173">
        <f t="shared" si="4"/>
        <v>2.8576827604158699</v>
      </c>
      <c r="AJ34" s="171">
        <f t="shared" si="5"/>
        <v>30275</v>
      </c>
      <c r="AK34" s="171">
        <f t="shared" si="6"/>
        <v>7500</v>
      </c>
    </row>
    <row r="35" spans="1:37" ht="13.8" customHeight="1" x14ac:dyDescent="0.3">
      <c r="A35" s="192" t="s">
        <v>459</v>
      </c>
      <c r="B35" s="149">
        <v>5</v>
      </c>
      <c r="C35" s="74" t="s">
        <v>817</v>
      </c>
      <c r="D35" s="74" t="s">
        <v>720</v>
      </c>
      <c r="E35" s="74">
        <v>45866</v>
      </c>
      <c r="F35" s="74">
        <v>45867</v>
      </c>
      <c r="G35" s="74" t="s">
        <v>823</v>
      </c>
      <c r="H35" s="74" t="s">
        <v>919</v>
      </c>
      <c r="I35" s="74" t="s">
        <v>459</v>
      </c>
      <c r="J35" s="74" t="s">
        <v>760</v>
      </c>
      <c r="K35" s="74" t="s">
        <v>727</v>
      </c>
      <c r="L35" s="74" t="s">
        <v>721</v>
      </c>
      <c r="M35" s="74" t="s">
        <v>920</v>
      </c>
      <c r="N35" s="176" t="s">
        <v>887</v>
      </c>
      <c r="O35" s="171">
        <v>110000000</v>
      </c>
      <c r="P35" s="74" t="s">
        <v>921</v>
      </c>
      <c r="Q35" s="172">
        <v>9.1999999999999998E-3</v>
      </c>
      <c r="R35" s="172">
        <v>6.7395658018000001E-2</v>
      </c>
      <c r="S35" s="172">
        <v>0.106</v>
      </c>
      <c r="T35" s="193">
        <v>103.16</v>
      </c>
      <c r="U35" s="173">
        <v>103.1</v>
      </c>
      <c r="V35" s="171">
        <v>250000</v>
      </c>
      <c r="W35" s="171" t="s">
        <v>778</v>
      </c>
      <c r="X35" s="173">
        <v>1</v>
      </c>
      <c r="Y35" s="171">
        <v>1041.94</v>
      </c>
      <c r="Z35" s="171">
        <v>22</v>
      </c>
      <c r="AA35" s="171">
        <f t="shared" si="0"/>
        <v>257750</v>
      </c>
      <c r="AB35" s="171">
        <f t="shared" si="1"/>
        <v>258791.94</v>
      </c>
      <c r="AC35" s="171">
        <v>258800</v>
      </c>
      <c r="AD35" s="173">
        <v>0.57808219178082187</v>
      </c>
      <c r="AE35" s="194">
        <v>7.1520619999999993E-2</v>
      </c>
      <c r="AF35" s="194">
        <v>3.0320615416633862E-2</v>
      </c>
      <c r="AG35" s="172">
        <f t="shared" si="2"/>
        <v>2.1120615416633862E-2</v>
      </c>
      <c r="AH35" s="172">
        <f t="shared" si="3"/>
        <v>0.3034239204443353</v>
      </c>
      <c r="AI35" s="173">
        <f t="shared" si="4"/>
        <v>3.2957190670254199</v>
      </c>
      <c r="AJ35" s="171">
        <f t="shared" si="5"/>
        <v>26500</v>
      </c>
      <c r="AK35" s="171">
        <f t="shared" si="6"/>
        <v>2300</v>
      </c>
    </row>
    <row r="36" spans="1:37" ht="13.8" customHeight="1" x14ac:dyDescent="0.3">
      <c r="A36" s="192" t="s">
        <v>253</v>
      </c>
      <c r="B36" s="149">
        <v>1</v>
      </c>
      <c r="C36" s="74" t="s">
        <v>817</v>
      </c>
      <c r="D36" s="74" t="s">
        <v>720</v>
      </c>
      <c r="E36" s="74">
        <v>45889</v>
      </c>
      <c r="F36" s="74">
        <v>45890</v>
      </c>
      <c r="G36" s="74" t="s">
        <v>922</v>
      </c>
      <c r="H36" s="74" t="s">
        <v>923</v>
      </c>
      <c r="I36" s="74" t="s">
        <v>253</v>
      </c>
      <c r="J36" s="74" t="s">
        <v>736</v>
      </c>
      <c r="K36" s="74" t="s">
        <v>727</v>
      </c>
      <c r="L36" s="74" t="s">
        <v>721</v>
      </c>
      <c r="M36" s="74" t="s">
        <v>924</v>
      </c>
      <c r="N36" s="176" t="s">
        <v>925</v>
      </c>
      <c r="O36" s="171">
        <v>75000000</v>
      </c>
      <c r="P36" s="74" t="s">
        <v>843</v>
      </c>
      <c r="Q36" s="172">
        <v>8.0999999999999996E-3</v>
      </c>
      <c r="R36" s="172">
        <v>6.752097480611581E-2</v>
      </c>
      <c r="S36" s="172">
        <v>0.1064799987792969</v>
      </c>
      <c r="T36" s="193">
        <v>102.32</v>
      </c>
      <c r="U36" s="173">
        <v>102.925</v>
      </c>
      <c r="V36" s="171">
        <v>250000</v>
      </c>
      <c r="W36" s="171" t="s">
        <v>778</v>
      </c>
      <c r="X36" s="173">
        <v>1</v>
      </c>
      <c r="Y36" s="171">
        <v>471.39</v>
      </c>
      <c r="Z36" s="171">
        <v>10</v>
      </c>
      <c r="AA36" s="171">
        <f t="shared" si="0"/>
        <v>257312.5</v>
      </c>
      <c r="AB36" s="171">
        <f t="shared" si="1"/>
        <v>257783.89</v>
      </c>
      <c r="AC36" s="171">
        <v>253750</v>
      </c>
      <c r="AD36" s="173">
        <v>0.33698630136986302</v>
      </c>
      <c r="AE36" s="194">
        <v>5.5554729999999997E-2</v>
      </c>
      <c r="AF36" s="194">
        <v>1.3954731692494411E-2</v>
      </c>
      <c r="AG36" s="172">
        <f t="shared" si="2"/>
        <v>5.8547316924944109E-3</v>
      </c>
      <c r="AH36" s="172">
        <f t="shared" si="3"/>
        <v>0.58044827937154864</v>
      </c>
      <c r="AI36" s="173">
        <f t="shared" si="4"/>
        <v>1.7228063817894335</v>
      </c>
      <c r="AJ36" s="171">
        <f t="shared" si="5"/>
        <v>26619.999694824226</v>
      </c>
      <c r="AK36" s="171">
        <f t="shared" si="6"/>
        <v>2025</v>
      </c>
    </row>
    <row r="37" spans="1:37" ht="13.8" customHeight="1" x14ac:dyDescent="0.3">
      <c r="A37" s="192" t="s">
        <v>219</v>
      </c>
      <c r="B37" s="149">
        <v>1</v>
      </c>
      <c r="C37" s="74" t="s">
        <v>817</v>
      </c>
      <c r="D37" s="74" t="s">
        <v>720</v>
      </c>
      <c r="E37" s="74">
        <v>45908</v>
      </c>
      <c r="F37" s="74">
        <v>45909</v>
      </c>
      <c r="G37" s="74" t="s">
        <v>823</v>
      </c>
      <c r="H37" s="74" t="s">
        <v>926</v>
      </c>
      <c r="I37" s="74" t="s">
        <v>219</v>
      </c>
      <c r="J37" s="74" t="s">
        <v>751</v>
      </c>
      <c r="K37" s="74" t="s">
        <v>727</v>
      </c>
      <c r="L37" s="74" t="s">
        <v>721</v>
      </c>
      <c r="M37" s="74" t="s">
        <v>886</v>
      </c>
      <c r="N37" s="176" t="s">
        <v>887</v>
      </c>
      <c r="O37" s="171">
        <v>50000000</v>
      </c>
      <c r="P37" s="74" t="s">
        <v>843</v>
      </c>
      <c r="Q37" s="172">
        <v>2.7799999999999998E-2</v>
      </c>
      <c r="R37" s="172">
        <v>8.218366968932618E-2</v>
      </c>
      <c r="S37" s="172">
        <v>0.121</v>
      </c>
      <c r="T37" s="193">
        <v>102.43</v>
      </c>
      <c r="U37" s="173">
        <v>102.75</v>
      </c>
      <c r="V37" s="171">
        <v>250000</v>
      </c>
      <c r="W37" s="171" t="s">
        <v>778</v>
      </c>
      <c r="X37" s="173">
        <v>1</v>
      </c>
      <c r="Y37" s="171">
        <v>57.08</v>
      </c>
      <c r="Z37" s="171">
        <v>1</v>
      </c>
      <c r="AA37" s="171">
        <f t="shared" si="0"/>
        <v>256875</v>
      </c>
      <c r="AB37" s="171">
        <f t="shared" si="1"/>
        <v>256932.08</v>
      </c>
      <c r="AC37" s="171">
        <v>255837.5</v>
      </c>
      <c r="AD37" s="173">
        <v>0.57808219178082187</v>
      </c>
      <c r="AE37" s="194">
        <v>8.541536000000001E-2</v>
      </c>
      <c r="AF37" s="194">
        <v>4.4415359755865823E-2</v>
      </c>
      <c r="AG37" s="172">
        <f t="shared" si="2"/>
        <v>1.6615359755865824E-2</v>
      </c>
      <c r="AH37" s="172">
        <f t="shared" si="3"/>
        <v>0.62590959867950913</v>
      </c>
      <c r="AI37" s="173">
        <f t="shared" si="4"/>
        <v>1.59767481136208</v>
      </c>
      <c r="AJ37" s="171">
        <f t="shared" si="5"/>
        <v>30250</v>
      </c>
      <c r="AK37" s="171">
        <f t="shared" si="6"/>
        <v>6950</v>
      </c>
    </row>
    <row r="38" spans="1:37" ht="13.8" customHeight="1" x14ac:dyDescent="0.3">
      <c r="A38" s="192" t="s">
        <v>275</v>
      </c>
      <c r="B38" s="149">
        <v>5</v>
      </c>
      <c r="C38" s="74" t="s">
        <v>817</v>
      </c>
      <c r="D38" s="74" t="s">
        <v>720</v>
      </c>
      <c r="E38" s="74">
        <v>45908</v>
      </c>
      <c r="F38" s="74">
        <v>45909</v>
      </c>
      <c r="G38" s="74" t="s">
        <v>818</v>
      </c>
      <c r="H38" s="74" t="s">
        <v>927</v>
      </c>
      <c r="I38" s="74" t="s">
        <v>275</v>
      </c>
      <c r="J38" s="74" t="s">
        <v>761</v>
      </c>
      <c r="K38" s="74" t="s">
        <v>727</v>
      </c>
      <c r="L38" s="74" t="s">
        <v>721</v>
      </c>
      <c r="M38" s="74" t="s">
        <v>928</v>
      </c>
      <c r="N38" s="176" t="s">
        <v>894</v>
      </c>
      <c r="O38" s="171">
        <v>115000000</v>
      </c>
      <c r="P38" s="74" t="s">
        <v>862</v>
      </c>
      <c r="Q38" s="172">
        <v>2.3300000000000001E-2</v>
      </c>
      <c r="R38" s="172">
        <v>8.6685892764000003E-2</v>
      </c>
      <c r="S38" s="172">
        <v>0.12510719976425169</v>
      </c>
      <c r="T38" s="193">
        <v>103.48</v>
      </c>
      <c r="U38" s="173">
        <v>103.85</v>
      </c>
      <c r="V38" s="171">
        <v>250000</v>
      </c>
      <c r="W38" s="171" t="s">
        <v>778</v>
      </c>
      <c r="X38" s="173">
        <v>1</v>
      </c>
      <c r="Y38" s="171">
        <v>3266.25</v>
      </c>
      <c r="Z38" s="171">
        <v>54</v>
      </c>
      <c r="AA38" s="171">
        <f t="shared" si="0"/>
        <v>259625</v>
      </c>
      <c r="AB38" s="171">
        <f t="shared" si="1"/>
        <v>262891.25</v>
      </c>
      <c r="AC38" s="171">
        <v>260362.5</v>
      </c>
      <c r="AD38" s="173">
        <v>0.58356164383561648</v>
      </c>
      <c r="AE38" s="194">
        <v>6.6715150000000001E-2</v>
      </c>
      <c r="AF38" s="194">
        <v>2.870795121940551E-2</v>
      </c>
      <c r="AG38" s="172">
        <f t="shared" si="2"/>
        <v>5.4079512194055088E-3</v>
      </c>
      <c r="AH38" s="172">
        <f t="shared" si="3"/>
        <v>0.81162183333549998</v>
      </c>
      <c r="AI38" s="173">
        <f t="shared" si="4"/>
        <v>1.232100910704099</v>
      </c>
      <c r="AJ38" s="171">
        <f t="shared" si="5"/>
        <v>31276.799941062924</v>
      </c>
      <c r="AK38" s="171">
        <f t="shared" si="6"/>
        <v>5825</v>
      </c>
    </row>
    <row r="39" spans="1:37" ht="13.8" customHeight="1" x14ac:dyDescent="0.3">
      <c r="A39" s="192" t="s">
        <v>299</v>
      </c>
      <c r="B39" s="149">
        <v>2</v>
      </c>
      <c r="C39" s="74" t="s">
        <v>817</v>
      </c>
      <c r="D39" s="74" t="s">
        <v>720</v>
      </c>
      <c r="E39" s="74">
        <v>45908</v>
      </c>
      <c r="F39" s="74">
        <v>45909</v>
      </c>
      <c r="G39" s="74" t="s">
        <v>818</v>
      </c>
      <c r="H39" s="74" t="s">
        <v>929</v>
      </c>
      <c r="I39" s="74" t="s">
        <v>299</v>
      </c>
      <c r="J39" s="74" t="s">
        <v>744</v>
      </c>
      <c r="K39" s="74" t="s">
        <v>727</v>
      </c>
      <c r="L39" s="74" t="s">
        <v>721</v>
      </c>
      <c r="M39" s="74" t="s">
        <v>930</v>
      </c>
      <c r="N39" s="176" t="s">
        <v>887</v>
      </c>
      <c r="O39" s="171">
        <v>100000000</v>
      </c>
      <c r="P39" s="74" t="s">
        <v>866</v>
      </c>
      <c r="Q39" s="172">
        <v>1.54E-2</v>
      </c>
      <c r="R39" s="172">
        <v>0.10560776551218649</v>
      </c>
      <c r="S39" s="172">
        <v>0.14380719976425169</v>
      </c>
      <c r="T39" s="193">
        <v>103.29</v>
      </c>
      <c r="U39" s="173">
        <v>102.9</v>
      </c>
      <c r="V39" s="171">
        <v>250000</v>
      </c>
      <c r="W39" s="171" t="s">
        <v>778</v>
      </c>
      <c r="X39" s="173">
        <v>1</v>
      </c>
      <c r="Y39" s="171">
        <v>293.89</v>
      </c>
      <c r="Z39" s="171">
        <v>4</v>
      </c>
      <c r="AA39" s="171">
        <f t="shared" si="0"/>
        <v>257250</v>
      </c>
      <c r="AB39" s="171">
        <f t="shared" si="1"/>
        <v>257543.89</v>
      </c>
      <c r="AC39" s="171">
        <v>264450</v>
      </c>
      <c r="AD39" s="173">
        <v>0.57808219178082187</v>
      </c>
      <c r="AE39" s="194">
        <v>9.965251E-2</v>
      </c>
      <c r="AF39" s="194">
        <v>6.1645314554845482E-2</v>
      </c>
      <c r="AG39" s="172">
        <f t="shared" si="2"/>
        <v>4.6245314554845485E-2</v>
      </c>
      <c r="AH39" s="172">
        <f t="shared" si="3"/>
        <v>0.24981622871432846</v>
      </c>
      <c r="AI39" s="173">
        <f t="shared" si="4"/>
        <v>4.0029425035613952</v>
      </c>
      <c r="AJ39" s="171">
        <f t="shared" si="5"/>
        <v>35951.79994106292</v>
      </c>
      <c r="AK39" s="171">
        <f t="shared" si="6"/>
        <v>3850</v>
      </c>
    </row>
    <row r="40" spans="1:37" ht="13.8" customHeight="1" x14ac:dyDescent="0.3">
      <c r="A40" s="192" t="s">
        <v>155</v>
      </c>
      <c r="B40" s="149">
        <v>1</v>
      </c>
      <c r="C40" s="74" t="s">
        <v>817</v>
      </c>
      <c r="D40" s="74" t="s">
        <v>720</v>
      </c>
      <c r="E40" s="74">
        <v>45912</v>
      </c>
      <c r="F40" s="74">
        <v>45917</v>
      </c>
      <c r="G40" s="74" t="s">
        <v>763</v>
      </c>
      <c r="H40" s="74" t="s">
        <v>931</v>
      </c>
      <c r="I40" s="74" t="s">
        <v>155</v>
      </c>
      <c r="J40" s="74" t="s">
        <v>763</v>
      </c>
      <c r="K40" s="74" t="s">
        <v>722</v>
      </c>
      <c r="L40" s="74" t="s">
        <v>726</v>
      </c>
      <c r="M40" s="74">
        <v>45917</v>
      </c>
      <c r="N40" s="176">
        <v>47013</v>
      </c>
      <c r="O40" s="171">
        <v>60000000</v>
      </c>
      <c r="P40" s="74" t="s">
        <v>932</v>
      </c>
      <c r="Q40" s="172">
        <v>9.7000000000000003E-3</v>
      </c>
      <c r="R40" s="172">
        <v>2.498838181104206E-2</v>
      </c>
      <c r="S40" s="172">
        <v>6.3007199764251703E-2</v>
      </c>
      <c r="T40" s="193">
        <v>0</v>
      </c>
      <c r="U40" s="173">
        <v>100</v>
      </c>
      <c r="V40" s="171">
        <v>250000</v>
      </c>
      <c r="W40" s="171" t="s">
        <v>778</v>
      </c>
      <c r="X40" s="173">
        <v>1</v>
      </c>
      <c r="Y40" s="171">
        <v>0</v>
      </c>
      <c r="Z40" s="171">
        <v>0</v>
      </c>
      <c r="AA40" s="171">
        <f t="shared" ref="AA40:AA56" si="7">U40*V40*X40/100</f>
        <v>250000</v>
      </c>
      <c r="AB40" s="171">
        <f t="shared" ref="AB40:AB56" si="8">AA40+Y40</f>
        <v>250000</v>
      </c>
      <c r="AC40" s="171">
        <v>251762.5</v>
      </c>
      <c r="AD40" s="173">
        <v>2.8657534246575338</v>
      </c>
      <c r="AE40" s="194">
        <v>6.3004889999999994E-2</v>
      </c>
      <c r="AF40" s="194">
        <v>2.4997692551247262E-2</v>
      </c>
      <c r="AG40" s="172">
        <f t="shared" ref="AG40:AG56" si="9">AF40-Q40</f>
        <v>1.5297692551247261E-2</v>
      </c>
      <c r="AH40" s="172">
        <f t="shared" ref="AH40:AH56" si="10">Q40/AF40</f>
        <v>0.38803581491028533</v>
      </c>
      <c r="AI40" s="173">
        <f t="shared" ref="AI40:AI56" si="11">1/AH40</f>
        <v>2.5770817063141505</v>
      </c>
      <c r="AJ40" s="171">
        <f t="shared" ref="AJ40:AJ56" si="12">V40*S40</f>
        <v>15751.799941062925</v>
      </c>
      <c r="AK40" s="171">
        <f t="shared" ref="AK40:AK56" si="13">V40*Q40</f>
        <v>2425</v>
      </c>
    </row>
    <row r="41" spans="1:37" ht="13.8" customHeight="1" x14ac:dyDescent="0.3">
      <c r="A41" s="192" t="s">
        <v>305</v>
      </c>
      <c r="B41" s="149">
        <v>1</v>
      </c>
      <c r="C41" s="74" t="s">
        <v>817</v>
      </c>
      <c r="D41" s="74" t="s">
        <v>720</v>
      </c>
      <c r="E41" s="74">
        <v>45917</v>
      </c>
      <c r="F41" s="74">
        <v>45918</v>
      </c>
      <c r="G41" s="74" t="s">
        <v>818</v>
      </c>
      <c r="H41" s="74" t="s">
        <v>933</v>
      </c>
      <c r="I41" s="74" t="s">
        <v>305</v>
      </c>
      <c r="J41" s="74" t="s">
        <v>718</v>
      </c>
      <c r="K41" s="74" t="s">
        <v>722</v>
      </c>
      <c r="L41" s="74" t="s">
        <v>721</v>
      </c>
      <c r="M41" s="74" t="s">
        <v>934</v>
      </c>
      <c r="N41" s="176" t="s">
        <v>935</v>
      </c>
      <c r="O41" s="171">
        <v>150000000</v>
      </c>
      <c r="P41" s="74" t="s">
        <v>822</v>
      </c>
      <c r="Q41" s="172">
        <v>1.54E-2</v>
      </c>
      <c r="R41" s="172">
        <v>3.9706274991874312E-2</v>
      </c>
      <c r="S41" s="172">
        <v>7.7952500000000008E-2</v>
      </c>
      <c r="T41" s="193">
        <v>103.74</v>
      </c>
      <c r="U41" s="173">
        <v>104.5</v>
      </c>
      <c r="V41" s="171">
        <v>250000</v>
      </c>
      <c r="W41" s="171" t="s">
        <v>778</v>
      </c>
      <c r="X41" s="173">
        <v>1</v>
      </c>
      <c r="Y41" s="171">
        <v>4444.07</v>
      </c>
      <c r="Z41" s="171">
        <v>79</v>
      </c>
      <c r="AA41" s="171">
        <f t="shared" si="7"/>
        <v>261250</v>
      </c>
      <c r="AB41" s="171">
        <f t="shared" si="8"/>
        <v>265694.07</v>
      </c>
      <c r="AC41" s="171">
        <v>261025</v>
      </c>
      <c r="AD41" s="173">
        <v>2.506849315068493</v>
      </c>
      <c r="AE41" s="194">
        <v>6.1684509999999998E-2</v>
      </c>
      <c r="AF41" s="194">
        <v>2.1454116404083071E-2</v>
      </c>
      <c r="AG41" s="172">
        <f t="shared" si="9"/>
        <v>6.0541164040830708E-3</v>
      </c>
      <c r="AH41" s="172">
        <f t="shared" si="10"/>
        <v>0.71781096503555497</v>
      </c>
      <c r="AI41" s="173">
        <f t="shared" si="11"/>
        <v>1.393124441823576</v>
      </c>
      <c r="AJ41" s="171">
        <f t="shared" si="12"/>
        <v>19488.125000000004</v>
      </c>
      <c r="AK41" s="171">
        <f t="shared" si="13"/>
        <v>3850</v>
      </c>
    </row>
    <row r="42" spans="1:37" ht="13.8" customHeight="1" x14ac:dyDescent="0.3">
      <c r="A42" s="192" t="s">
        <v>267</v>
      </c>
      <c r="B42" s="149">
        <v>1</v>
      </c>
      <c r="C42" s="74" t="s">
        <v>817</v>
      </c>
      <c r="D42" s="74" t="s">
        <v>720</v>
      </c>
      <c r="E42" s="74">
        <v>45918</v>
      </c>
      <c r="F42" s="74">
        <v>45919</v>
      </c>
      <c r="G42" s="74" t="s">
        <v>922</v>
      </c>
      <c r="H42" s="74" t="s">
        <v>936</v>
      </c>
      <c r="I42" s="74" t="s">
        <v>267</v>
      </c>
      <c r="J42" s="74" t="s">
        <v>764</v>
      </c>
      <c r="K42" s="74" t="s">
        <v>727</v>
      </c>
      <c r="L42" s="74" t="s">
        <v>726</v>
      </c>
      <c r="M42" s="74" t="s">
        <v>937</v>
      </c>
      <c r="N42" s="176" t="s">
        <v>938</v>
      </c>
      <c r="O42" s="171">
        <v>50000000</v>
      </c>
      <c r="P42" s="74" t="s">
        <v>939</v>
      </c>
      <c r="Q42" s="172">
        <v>3.78E-2</v>
      </c>
      <c r="R42" s="172">
        <v>7.9826155574328886E-2</v>
      </c>
      <c r="S42" s="172">
        <v>0.11890000000000001</v>
      </c>
      <c r="T42" s="193">
        <v>100.43</v>
      </c>
      <c r="U42" s="173">
        <v>104.65</v>
      </c>
      <c r="V42" s="171">
        <v>250000</v>
      </c>
      <c r="W42" s="171" t="s">
        <v>778</v>
      </c>
      <c r="X42" s="173">
        <v>1</v>
      </c>
      <c r="Y42" s="171">
        <v>2333.33</v>
      </c>
      <c r="Z42" s="171">
        <v>42</v>
      </c>
      <c r="AA42" s="171">
        <f t="shared" si="7"/>
        <v>261625</v>
      </c>
      <c r="AB42" s="171">
        <f t="shared" si="8"/>
        <v>263958.33</v>
      </c>
      <c r="AC42" s="171">
        <v>253575</v>
      </c>
      <c r="AD42" s="173">
        <v>2.504109589041096</v>
      </c>
      <c r="AE42" s="194">
        <v>9.9497470000000005E-2</v>
      </c>
      <c r="AF42" s="194">
        <v>5.9797468299949523E-2</v>
      </c>
      <c r="AG42" s="172">
        <f t="shared" si="9"/>
        <v>2.1997468299949523E-2</v>
      </c>
      <c r="AH42" s="172">
        <f t="shared" si="10"/>
        <v>0.63213378550395771</v>
      </c>
      <c r="AI42" s="173">
        <f t="shared" si="11"/>
        <v>1.5819436058187704</v>
      </c>
      <c r="AJ42" s="171">
        <f t="shared" si="12"/>
        <v>29725</v>
      </c>
      <c r="AK42" s="171">
        <f t="shared" si="13"/>
        <v>9450</v>
      </c>
    </row>
    <row r="43" spans="1:37" ht="13.8" customHeight="1" x14ac:dyDescent="0.3">
      <c r="A43" s="192" t="s">
        <v>555</v>
      </c>
      <c r="B43" s="149">
        <v>6</v>
      </c>
      <c r="C43" s="74" t="s">
        <v>817</v>
      </c>
      <c r="D43" s="74" t="s">
        <v>720</v>
      </c>
      <c r="E43" s="74">
        <v>45929</v>
      </c>
      <c r="F43" s="74">
        <v>45930</v>
      </c>
      <c r="G43" s="74" t="s">
        <v>823</v>
      </c>
      <c r="H43" s="74" t="s">
        <v>940</v>
      </c>
      <c r="I43" s="74" t="s">
        <v>555</v>
      </c>
      <c r="J43" s="74" t="s">
        <v>753</v>
      </c>
      <c r="K43" s="74" t="s">
        <v>722</v>
      </c>
      <c r="L43" s="74" t="s">
        <v>721</v>
      </c>
      <c r="M43" s="74" t="s">
        <v>882</v>
      </c>
      <c r="N43" s="176" t="s">
        <v>894</v>
      </c>
      <c r="O43" s="171">
        <v>400000000</v>
      </c>
      <c r="P43" s="74" t="s">
        <v>895</v>
      </c>
      <c r="Q43" s="172">
        <v>3.9399999999999998E-2</v>
      </c>
      <c r="R43" s="172">
        <v>0.11851947039424281</v>
      </c>
      <c r="S43" s="172">
        <v>0.1573</v>
      </c>
      <c r="T43" s="193">
        <v>104.87</v>
      </c>
      <c r="U43" s="173">
        <v>105.2</v>
      </c>
      <c r="V43" s="171">
        <v>250000</v>
      </c>
      <c r="W43" s="171" t="s">
        <v>778</v>
      </c>
      <c r="X43" s="173">
        <v>1</v>
      </c>
      <c r="Y43" s="171">
        <v>1237.5</v>
      </c>
      <c r="Z43" s="171">
        <v>15</v>
      </c>
      <c r="AA43" s="171">
        <f t="shared" si="7"/>
        <v>263000</v>
      </c>
      <c r="AB43" s="171">
        <f t="shared" si="8"/>
        <v>264237.5</v>
      </c>
      <c r="AC43" s="171">
        <v>263375</v>
      </c>
      <c r="AD43" s="173">
        <v>0.58356164383561648</v>
      </c>
      <c r="AE43" s="194">
        <v>8.1617250000000002E-2</v>
      </c>
      <c r="AF43" s="194">
        <v>4.1717248175702937E-2</v>
      </c>
      <c r="AG43" s="172">
        <f t="shared" si="9"/>
        <v>2.3172481757029392E-3</v>
      </c>
      <c r="AH43" s="172">
        <f t="shared" si="10"/>
        <v>0.94445347483268183</v>
      </c>
      <c r="AI43" s="173">
        <f t="shared" si="11"/>
        <v>1.058813405474694</v>
      </c>
      <c r="AJ43" s="171">
        <f t="shared" si="12"/>
        <v>39325</v>
      </c>
      <c r="AK43" s="171">
        <f t="shared" si="13"/>
        <v>9850</v>
      </c>
    </row>
    <row r="44" spans="1:37" ht="13.8" customHeight="1" x14ac:dyDescent="0.3">
      <c r="A44" s="192" t="s">
        <v>134</v>
      </c>
      <c r="B44" s="149">
        <v>6</v>
      </c>
      <c r="C44" s="74" t="s">
        <v>817</v>
      </c>
      <c r="D44" s="74" t="s">
        <v>720</v>
      </c>
      <c r="E44" s="74">
        <v>45931</v>
      </c>
      <c r="F44" s="74">
        <v>45932</v>
      </c>
      <c r="G44" s="74" t="s">
        <v>818</v>
      </c>
      <c r="H44" s="74" t="s">
        <v>941</v>
      </c>
      <c r="I44" s="74" t="s">
        <v>134</v>
      </c>
      <c r="J44" s="74" t="s">
        <v>739</v>
      </c>
      <c r="K44" s="74" t="s">
        <v>727</v>
      </c>
      <c r="L44" s="74" t="s">
        <v>721</v>
      </c>
      <c r="M44" s="74" t="s">
        <v>942</v>
      </c>
      <c r="N44" s="176" t="s">
        <v>826</v>
      </c>
      <c r="O44" s="171">
        <v>400000000</v>
      </c>
      <c r="P44" s="74" t="s">
        <v>859</v>
      </c>
      <c r="Q44" s="172">
        <v>7.7999999999999996E-3</v>
      </c>
      <c r="R44" s="172">
        <v>5.5537226117820832E-2</v>
      </c>
      <c r="S44" s="172">
        <v>9.4200000000000006E-2</v>
      </c>
      <c r="T44" s="193">
        <v>103.91</v>
      </c>
      <c r="U44" s="173">
        <v>105.4</v>
      </c>
      <c r="V44" s="171">
        <v>675000</v>
      </c>
      <c r="W44" s="171" t="s">
        <v>778</v>
      </c>
      <c r="X44" s="173">
        <v>1</v>
      </c>
      <c r="Y44" s="171">
        <v>312.75</v>
      </c>
      <c r="Z44" s="171">
        <v>3</v>
      </c>
      <c r="AA44" s="171">
        <f t="shared" si="7"/>
        <v>711450</v>
      </c>
      <c r="AB44" s="171">
        <f t="shared" si="8"/>
        <v>711762.75</v>
      </c>
      <c r="AC44" s="171">
        <v>714723.75</v>
      </c>
      <c r="AD44" s="173">
        <v>2.419178082191781</v>
      </c>
      <c r="AE44" s="194">
        <v>7.1962929999999994E-2</v>
      </c>
      <c r="AF44" s="194">
        <v>3.2262928048453043E-2</v>
      </c>
      <c r="AG44" s="172">
        <f t="shared" si="9"/>
        <v>2.4462928048453042E-2</v>
      </c>
      <c r="AH44" s="172">
        <f t="shared" si="10"/>
        <v>0.24176354943003994</v>
      </c>
      <c r="AI44" s="173">
        <f t="shared" si="11"/>
        <v>4.1362728267247491</v>
      </c>
      <c r="AJ44" s="171">
        <f t="shared" si="12"/>
        <v>63585.000000000007</v>
      </c>
      <c r="AK44" s="171">
        <f t="shared" si="13"/>
        <v>5265</v>
      </c>
    </row>
    <row r="45" spans="1:37" ht="13.8" customHeight="1" x14ac:dyDescent="0.3">
      <c r="A45" s="192" t="s">
        <v>469</v>
      </c>
      <c r="B45" s="149">
        <v>6</v>
      </c>
      <c r="C45" s="74" t="s">
        <v>817</v>
      </c>
      <c r="D45" s="74" t="s">
        <v>720</v>
      </c>
      <c r="E45" s="74">
        <v>45939</v>
      </c>
      <c r="F45" s="74">
        <v>45940</v>
      </c>
      <c r="G45" s="74" t="s">
        <v>818</v>
      </c>
      <c r="H45" s="74" t="s">
        <v>943</v>
      </c>
      <c r="I45" s="74" t="s">
        <v>469</v>
      </c>
      <c r="J45" s="74" t="s">
        <v>750</v>
      </c>
      <c r="K45" s="74" t="s">
        <v>727</v>
      </c>
      <c r="L45" s="74" t="s">
        <v>721</v>
      </c>
      <c r="M45" s="74" t="s">
        <v>944</v>
      </c>
      <c r="N45" s="176" t="s">
        <v>945</v>
      </c>
      <c r="O45" s="171">
        <v>250000000</v>
      </c>
      <c r="P45" s="74" t="s">
        <v>946</v>
      </c>
      <c r="Q45" s="172">
        <v>1.7500000000000002E-2</v>
      </c>
      <c r="R45" s="172">
        <v>0.10155835726933091</v>
      </c>
      <c r="S45" s="172">
        <v>0.14069999999999999</v>
      </c>
      <c r="T45" s="193">
        <v>106.04</v>
      </c>
      <c r="U45" s="173">
        <v>107.85</v>
      </c>
      <c r="V45" s="171">
        <v>250000</v>
      </c>
      <c r="W45" s="171" t="s">
        <v>778</v>
      </c>
      <c r="X45" s="173">
        <v>1</v>
      </c>
      <c r="Y45" s="171">
        <v>3627.92</v>
      </c>
      <c r="Z45" s="171">
        <v>38</v>
      </c>
      <c r="AA45" s="171">
        <f t="shared" si="7"/>
        <v>269625</v>
      </c>
      <c r="AB45" s="171">
        <f t="shared" si="8"/>
        <v>273252.92</v>
      </c>
      <c r="AC45" s="171">
        <v>269175</v>
      </c>
      <c r="AD45" s="173">
        <v>1.306849315068493</v>
      </c>
      <c r="AE45" s="194">
        <v>8.1237019999999993E-2</v>
      </c>
      <c r="AF45" s="194">
        <v>4.1937022461208007E-2</v>
      </c>
      <c r="AG45" s="172">
        <f t="shared" si="9"/>
        <v>2.4437022461208005E-2</v>
      </c>
      <c r="AH45" s="172">
        <f t="shared" si="10"/>
        <v>0.41729238207570901</v>
      </c>
      <c r="AI45" s="173">
        <f t="shared" si="11"/>
        <v>2.3964012834976001</v>
      </c>
      <c r="AJ45" s="171">
        <f t="shared" si="12"/>
        <v>35175</v>
      </c>
      <c r="AK45" s="171">
        <f t="shared" si="13"/>
        <v>4375</v>
      </c>
    </row>
    <row r="46" spans="1:37" ht="13.8" customHeight="1" x14ac:dyDescent="0.3">
      <c r="A46" s="192" t="s">
        <v>471</v>
      </c>
      <c r="B46" s="149">
        <v>6</v>
      </c>
      <c r="C46" s="74" t="s">
        <v>817</v>
      </c>
      <c r="D46" s="74" t="s">
        <v>720</v>
      </c>
      <c r="E46" s="74">
        <v>45939</v>
      </c>
      <c r="F46" s="74">
        <v>45944</v>
      </c>
      <c r="G46" s="74" t="s">
        <v>922</v>
      </c>
      <c r="H46" s="74" t="s">
        <v>947</v>
      </c>
      <c r="I46" s="74" t="s">
        <v>471</v>
      </c>
      <c r="J46" s="74" t="s">
        <v>750</v>
      </c>
      <c r="K46" s="74" t="s">
        <v>727</v>
      </c>
      <c r="L46" s="74" t="s">
        <v>721</v>
      </c>
      <c r="M46" s="74" t="s">
        <v>944</v>
      </c>
      <c r="N46" s="176" t="s">
        <v>945</v>
      </c>
      <c r="O46" s="171">
        <v>150000000</v>
      </c>
      <c r="P46" s="74" t="s">
        <v>946</v>
      </c>
      <c r="Q46" s="172">
        <v>2.24E-2</v>
      </c>
      <c r="R46" s="172">
        <v>0.11663967313373171</v>
      </c>
      <c r="S46" s="172">
        <v>0.1555</v>
      </c>
      <c r="T46" s="193">
        <v>105.89</v>
      </c>
      <c r="U46" s="173">
        <v>108.35</v>
      </c>
      <c r="V46" s="171">
        <v>250000</v>
      </c>
      <c r="W46" s="171" t="s">
        <v>778</v>
      </c>
      <c r="X46" s="173">
        <v>1</v>
      </c>
      <c r="Y46" s="171">
        <v>4577.99</v>
      </c>
      <c r="Z46" s="171">
        <v>42</v>
      </c>
      <c r="AA46" s="171">
        <f t="shared" si="7"/>
        <v>270875</v>
      </c>
      <c r="AB46" s="171">
        <f t="shared" si="8"/>
        <v>275452.99</v>
      </c>
      <c r="AC46" s="171">
        <v>269275</v>
      </c>
      <c r="AD46" s="173">
        <v>1.306849315068493</v>
      </c>
      <c r="AE46" s="194">
        <v>9.1780930000000011E-2</v>
      </c>
      <c r="AF46" s="194">
        <v>5.2580929798629883E-2</v>
      </c>
      <c r="AG46" s="172">
        <f t="shared" si="9"/>
        <v>3.0180929798629883E-2</v>
      </c>
      <c r="AH46" s="172">
        <f t="shared" si="10"/>
        <v>0.42600996379838996</v>
      </c>
      <c r="AI46" s="173">
        <f t="shared" si="11"/>
        <v>2.3473629374388341</v>
      </c>
      <c r="AJ46" s="171">
        <f t="shared" si="12"/>
        <v>38875</v>
      </c>
      <c r="AK46" s="171">
        <f t="shared" si="13"/>
        <v>5600</v>
      </c>
    </row>
    <row r="47" spans="1:37" ht="13.8" customHeight="1" x14ac:dyDescent="0.3">
      <c r="A47" s="192" t="s">
        <v>443</v>
      </c>
      <c r="B47" s="149">
        <v>2</v>
      </c>
      <c r="C47" s="74" t="s">
        <v>817</v>
      </c>
      <c r="D47" s="74" t="s">
        <v>720</v>
      </c>
      <c r="E47" s="74">
        <v>45944</v>
      </c>
      <c r="F47" s="74">
        <v>45945</v>
      </c>
      <c r="G47" s="74" t="s">
        <v>818</v>
      </c>
      <c r="H47" s="74" t="s">
        <v>948</v>
      </c>
      <c r="I47" s="74" t="s">
        <v>443</v>
      </c>
      <c r="J47" s="74" t="s">
        <v>752</v>
      </c>
      <c r="K47" s="74" t="s">
        <v>722</v>
      </c>
      <c r="L47" s="74" t="s">
        <v>721</v>
      </c>
      <c r="M47" s="74" t="s">
        <v>949</v>
      </c>
      <c r="N47" s="176" t="s">
        <v>950</v>
      </c>
      <c r="O47" s="171">
        <v>450000000</v>
      </c>
      <c r="P47" s="74" t="s">
        <v>891</v>
      </c>
      <c r="Q47" s="172">
        <v>1.43E-2</v>
      </c>
      <c r="R47" s="172">
        <v>0.1048799995805455</v>
      </c>
      <c r="S47" s="172">
        <v>0.14378453999999999</v>
      </c>
      <c r="T47" s="193">
        <v>105.14</v>
      </c>
      <c r="U47" s="173">
        <v>107.75</v>
      </c>
      <c r="V47" s="171">
        <v>500000</v>
      </c>
      <c r="W47" s="171" t="s">
        <v>778</v>
      </c>
      <c r="X47" s="173">
        <v>1</v>
      </c>
      <c r="Y47" s="171">
        <v>200.56</v>
      </c>
      <c r="Z47" s="171">
        <v>0</v>
      </c>
      <c r="AA47" s="171">
        <f t="shared" si="7"/>
        <v>538750</v>
      </c>
      <c r="AB47" s="171">
        <f t="shared" si="8"/>
        <v>538950.56000000006</v>
      </c>
      <c r="AC47" s="171">
        <v>537600</v>
      </c>
      <c r="AD47" s="173">
        <v>1.515068493150685</v>
      </c>
      <c r="AE47" s="194">
        <v>9.2212089999999997E-2</v>
      </c>
      <c r="AF47" s="194">
        <v>5.2857792866939993E-2</v>
      </c>
      <c r="AG47" s="172">
        <f t="shared" si="9"/>
        <v>3.8557792866939992E-2</v>
      </c>
      <c r="AH47" s="172">
        <f t="shared" si="10"/>
        <v>0.27053721361385036</v>
      </c>
      <c r="AI47" s="173">
        <f t="shared" si="11"/>
        <v>3.6963491515342652</v>
      </c>
      <c r="AJ47" s="171">
        <f t="shared" si="12"/>
        <v>71892.26999999999</v>
      </c>
      <c r="AK47" s="171">
        <f t="shared" si="13"/>
        <v>7150</v>
      </c>
    </row>
    <row r="48" spans="1:37" ht="13.8" customHeight="1" x14ac:dyDescent="0.3">
      <c r="A48" s="192" t="s">
        <v>644</v>
      </c>
      <c r="B48" s="149">
        <v>6</v>
      </c>
      <c r="C48" s="74" t="s">
        <v>817</v>
      </c>
      <c r="D48" s="74" t="s">
        <v>720</v>
      </c>
      <c r="E48" s="74">
        <v>45947</v>
      </c>
      <c r="F48" s="74">
        <v>45965</v>
      </c>
      <c r="G48" s="74" t="s">
        <v>763</v>
      </c>
      <c r="H48" s="74" t="s">
        <v>951</v>
      </c>
      <c r="I48" s="74" t="s">
        <v>644</v>
      </c>
      <c r="J48" s="74" t="s">
        <v>952</v>
      </c>
      <c r="K48" s="74" t="s">
        <v>727</v>
      </c>
      <c r="L48" s="74" t="s">
        <v>721</v>
      </c>
      <c r="M48" s="195">
        <v>45992</v>
      </c>
      <c r="N48" s="176">
        <v>47452</v>
      </c>
      <c r="O48" s="171">
        <v>200000000</v>
      </c>
      <c r="P48" s="74" t="s">
        <v>953</v>
      </c>
      <c r="Q48" s="172">
        <v>7.2700000000000001E-2</v>
      </c>
      <c r="R48" s="172">
        <v>0.1024991046073033</v>
      </c>
      <c r="S48" s="172">
        <v>0.14050719976425169</v>
      </c>
      <c r="T48" s="193">
        <v>0</v>
      </c>
      <c r="U48" s="173">
        <v>100</v>
      </c>
      <c r="V48" s="171">
        <v>250000</v>
      </c>
      <c r="W48" s="171" t="s">
        <v>778</v>
      </c>
      <c r="X48" s="173">
        <v>1</v>
      </c>
      <c r="Y48" s="171">
        <v>0</v>
      </c>
      <c r="Z48" s="171">
        <v>0</v>
      </c>
      <c r="AA48" s="171">
        <f t="shared" si="7"/>
        <v>250000</v>
      </c>
      <c r="AB48" s="171">
        <f t="shared" si="8"/>
        <v>250000</v>
      </c>
      <c r="AC48" s="171">
        <v>250285.48</v>
      </c>
      <c r="AD48" s="173">
        <v>4.0684931506849313</v>
      </c>
      <c r="AE48" s="194">
        <v>0.1405063</v>
      </c>
      <c r="AF48" s="194">
        <v>0.1024991046073033</v>
      </c>
      <c r="AG48" s="172">
        <f t="shared" si="9"/>
        <v>2.9799104607303298E-2</v>
      </c>
      <c r="AH48" s="172">
        <f t="shared" si="10"/>
        <v>0.70927448857753195</v>
      </c>
      <c r="AI48" s="173">
        <f t="shared" si="11"/>
        <v>1.4098913976245295</v>
      </c>
      <c r="AJ48" s="171">
        <f t="shared" si="12"/>
        <v>35126.79994106292</v>
      </c>
      <c r="AK48" s="171">
        <f t="shared" si="13"/>
        <v>18175</v>
      </c>
    </row>
    <row r="49" spans="1:37" ht="13.8" customHeight="1" x14ac:dyDescent="0.3">
      <c r="A49" s="192" t="s">
        <v>642</v>
      </c>
      <c r="B49" s="149">
        <v>6</v>
      </c>
      <c r="C49" s="74" t="s">
        <v>817</v>
      </c>
      <c r="D49" s="74" t="s">
        <v>720</v>
      </c>
      <c r="E49" s="74">
        <v>45951</v>
      </c>
      <c r="F49" s="74">
        <v>45952</v>
      </c>
      <c r="G49" s="74" t="s">
        <v>823</v>
      </c>
      <c r="H49" s="74" t="s">
        <v>954</v>
      </c>
      <c r="I49" s="74" t="s">
        <v>642</v>
      </c>
      <c r="J49" s="74" t="s">
        <v>766</v>
      </c>
      <c r="K49" s="74" t="s">
        <v>722</v>
      </c>
      <c r="L49" s="74" t="s">
        <v>726</v>
      </c>
      <c r="M49" s="195" t="s">
        <v>955</v>
      </c>
      <c r="N49" s="176" t="s">
        <v>865</v>
      </c>
      <c r="O49" s="171">
        <v>90000000</v>
      </c>
      <c r="P49" s="74" t="s">
        <v>956</v>
      </c>
      <c r="Q49" s="172">
        <v>9.9500000000000005E-2</v>
      </c>
      <c r="R49" s="172">
        <v>0.30892214222389702</v>
      </c>
      <c r="S49" s="172">
        <v>0.34800719976425171</v>
      </c>
      <c r="T49" s="193">
        <v>103.39</v>
      </c>
      <c r="U49" s="173">
        <v>116</v>
      </c>
      <c r="V49" s="171">
        <v>500000</v>
      </c>
      <c r="W49" s="171" t="s">
        <v>778</v>
      </c>
      <c r="X49" s="173">
        <v>1</v>
      </c>
      <c r="Y49" s="171">
        <v>21527.78</v>
      </c>
      <c r="Z49" s="171">
        <v>50</v>
      </c>
      <c r="AA49" s="171">
        <f t="shared" si="7"/>
        <v>580000</v>
      </c>
      <c r="AB49" s="171">
        <f t="shared" si="8"/>
        <v>601527.78</v>
      </c>
      <c r="AC49" s="171">
        <v>578750</v>
      </c>
      <c r="AD49" s="173">
        <v>1.5835616438356159</v>
      </c>
      <c r="AE49" s="194">
        <v>0.22822943000000001</v>
      </c>
      <c r="AF49" s="194">
        <v>0.19022223347173381</v>
      </c>
      <c r="AG49" s="172">
        <f t="shared" si="9"/>
        <v>9.0722233471733804E-2</v>
      </c>
      <c r="AH49" s="172">
        <f t="shared" si="10"/>
        <v>0.52307239897267466</v>
      </c>
      <c r="AI49" s="173">
        <f t="shared" si="11"/>
        <v>1.9117812409219475</v>
      </c>
      <c r="AJ49" s="171">
        <f t="shared" si="12"/>
        <v>174003.59988212585</v>
      </c>
      <c r="AK49" s="171">
        <f t="shared" si="13"/>
        <v>49750</v>
      </c>
    </row>
    <row r="50" spans="1:37" ht="13.8" customHeight="1" x14ac:dyDescent="0.3">
      <c r="A50" s="192" t="s">
        <v>261</v>
      </c>
      <c r="B50" s="149">
        <v>1</v>
      </c>
      <c r="C50" s="74" t="s">
        <v>817</v>
      </c>
      <c r="D50" s="74" t="s">
        <v>720</v>
      </c>
      <c r="E50" s="74">
        <v>45957</v>
      </c>
      <c r="F50" s="74">
        <v>45958</v>
      </c>
      <c r="G50" s="74" t="s">
        <v>818</v>
      </c>
      <c r="H50" s="74" t="s">
        <v>957</v>
      </c>
      <c r="I50" s="74" t="s">
        <v>261</v>
      </c>
      <c r="J50" s="74" t="s">
        <v>736</v>
      </c>
      <c r="K50" s="74" t="s">
        <v>727</v>
      </c>
      <c r="L50" s="74" t="s">
        <v>721</v>
      </c>
      <c r="M50" s="195" t="s">
        <v>841</v>
      </c>
      <c r="N50" s="176" t="s">
        <v>842</v>
      </c>
      <c r="O50" s="171">
        <v>150000000</v>
      </c>
      <c r="P50" s="74" t="s">
        <v>843</v>
      </c>
      <c r="Q50" s="172">
        <v>2.5700000000000001E-2</v>
      </c>
      <c r="R50" s="172">
        <v>4.9959879564915197E-2</v>
      </c>
      <c r="S50" s="172">
        <v>8.8784539999999995E-2</v>
      </c>
      <c r="T50" s="193">
        <v>100.97</v>
      </c>
      <c r="U50" s="173">
        <v>101.25</v>
      </c>
      <c r="V50" s="171">
        <v>250000</v>
      </c>
      <c r="W50" s="171" t="s">
        <v>778</v>
      </c>
      <c r="X50" s="173">
        <v>1</v>
      </c>
      <c r="Y50" s="171">
        <v>1088.72</v>
      </c>
      <c r="Z50" s="171">
        <v>18</v>
      </c>
      <c r="AA50" s="171">
        <f t="shared" si="7"/>
        <v>253125</v>
      </c>
      <c r="AB50" s="171">
        <f t="shared" si="8"/>
        <v>254213.72</v>
      </c>
      <c r="AC50" s="171">
        <v>253250</v>
      </c>
      <c r="AD50" s="173">
        <v>2.3369863013698629</v>
      </c>
      <c r="AE50" s="194">
        <v>8.3334779999999997E-2</v>
      </c>
      <c r="AF50" s="194">
        <v>4.4182315962045297E-2</v>
      </c>
      <c r="AG50" s="172">
        <f t="shared" si="9"/>
        <v>1.8482315962045297E-2</v>
      </c>
      <c r="AH50" s="172">
        <f t="shared" si="10"/>
        <v>0.58168068921686944</v>
      </c>
      <c r="AI50" s="173">
        <f t="shared" si="11"/>
        <v>1.7191562631146029</v>
      </c>
      <c r="AJ50" s="171">
        <f t="shared" si="12"/>
        <v>22196.134999999998</v>
      </c>
      <c r="AK50" s="171">
        <f t="shared" si="13"/>
        <v>6425</v>
      </c>
    </row>
    <row r="51" spans="1:37" ht="13.8" customHeight="1" x14ac:dyDescent="0.3">
      <c r="A51" s="192" t="s">
        <v>527</v>
      </c>
      <c r="B51" s="149">
        <v>1</v>
      </c>
      <c r="C51" s="74" t="s">
        <v>817</v>
      </c>
      <c r="D51" s="74" t="s">
        <v>720</v>
      </c>
      <c r="E51" s="74">
        <v>45960</v>
      </c>
      <c r="F51" s="74">
        <v>45961</v>
      </c>
      <c r="G51" s="74" t="s">
        <v>818</v>
      </c>
      <c r="H51" s="74" t="s">
        <v>958</v>
      </c>
      <c r="I51" s="74" t="s">
        <v>527</v>
      </c>
      <c r="J51" s="74" t="s">
        <v>748</v>
      </c>
      <c r="K51" s="74" t="s">
        <v>722</v>
      </c>
      <c r="L51" s="74" t="s">
        <v>721</v>
      </c>
      <c r="M51" s="195" t="s">
        <v>879</v>
      </c>
      <c r="N51" s="176" t="s">
        <v>880</v>
      </c>
      <c r="O51" s="171">
        <v>150000000</v>
      </c>
      <c r="P51" s="74" t="s">
        <v>839</v>
      </c>
      <c r="Q51" s="172">
        <v>1.06E-2</v>
      </c>
      <c r="R51" s="172">
        <v>6.6935978235605917E-2</v>
      </c>
      <c r="S51" s="172">
        <v>0.1055</v>
      </c>
      <c r="T51" s="193">
        <v>103.31</v>
      </c>
      <c r="U51" s="173">
        <v>103.15</v>
      </c>
      <c r="V51" s="171">
        <v>250000</v>
      </c>
      <c r="W51" s="171" t="s">
        <v>778</v>
      </c>
      <c r="X51" s="173">
        <v>1</v>
      </c>
      <c r="Y51" s="171">
        <v>193.47</v>
      </c>
      <c r="Z51" s="171">
        <v>3</v>
      </c>
      <c r="AA51" s="171">
        <f t="shared" si="7"/>
        <v>257875</v>
      </c>
      <c r="AB51" s="171">
        <f t="shared" si="8"/>
        <v>258068.47</v>
      </c>
      <c r="AC51" s="171">
        <v>258000</v>
      </c>
      <c r="AD51" s="173">
        <v>0.75068493150684934</v>
      </c>
      <c r="AE51" s="194">
        <v>6.3872529999999997E-2</v>
      </c>
      <c r="AF51" s="194">
        <v>2.5372528841074379E-2</v>
      </c>
      <c r="AG51" s="172">
        <f t="shared" si="9"/>
        <v>1.4772528841074379E-2</v>
      </c>
      <c r="AH51" s="172">
        <f t="shared" si="10"/>
        <v>0.4177746753741064</v>
      </c>
      <c r="AI51" s="173">
        <f t="shared" si="11"/>
        <v>2.3936347963277713</v>
      </c>
      <c r="AJ51" s="171">
        <f t="shared" si="12"/>
        <v>26375</v>
      </c>
      <c r="AK51" s="171">
        <f t="shared" si="13"/>
        <v>2650</v>
      </c>
    </row>
    <row r="52" spans="1:37" ht="13.8" customHeight="1" x14ac:dyDescent="0.3">
      <c r="A52" s="192" t="s">
        <v>592</v>
      </c>
      <c r="B52" s="149">
        <v>1</v>
      </c>
      <c r="C52" s="74" t="s">
        <v>817</v>
      </c>
      <c r="D52" s="74" t="s">
        <v>720</v>
      </c>
      <c r="E52" s="74">
        <v>45960</v>
      </c>
      <c r="F52" s="74">
        <v>45961</v>
      </c>
      <c r="G52" s="74" t="s">
        <v>818</v>
      </c>
      <c r="H52" s="74" t="s">
        <v>959</v>
      </c>
      <c r="I52" s="74" t="s">
        <v>592</v>
      </c>
      <c r="J52" s="74" t="s">
        <v>735</v>
      </c>
      <c r="K52" s="74" t="s">
        <v>722</v>
      </c>
      <c r="L52" s="74" t="s">
        <v>721</v>
      </c>
      <c r="M52" s="195" t="s">
        <v>960</v>
      </c>
      <c r="N52" s="176" t="s">
        <v>961</v>
      </c>
      <c r="O52" s="171">
        <v>225000000</v>
      </c>
      <c r="P52" s="74" t="s">
        <v>839</v>
      </c>
      <c r="Q52" s="172">
        <v>1.8599999999999998E-2</v>
      </c>
      <c r="R52" s="172">
        <v>6.7344707219000002E-2</v>
      </c>
      <c r="S52" s="172">
        <v>0.106</v>
      </c>
      <c r="T52" s="193">
        <v>102.23</v>
      </c>
      <c r="U52" s="173">
        <v>102.35</v>
      </c>
      <c r="V52" s="171">
        <v>250000</v>
      </c>
      <c r="W52" s="171" t="s">
        <v>778</v>
      </c>
      <c r="X52" s="173">
        <v>1</v>
      </c>
      <c r="Y52" s="171">
        <v>4311.71</v>
      </c>
      <c r="Z52" s="171">
        <v>59</v>
      </c>
      <c r="AA52" s="171">
        <f t="shared" si="7"/>
        <v>255875</v>
      </c>
      <c r="AB52" s="171">
        <f t="shared" si="8"/>
        <v>260186.71</v>
      </c>
      <c r="AC52" s="171">
        <v>255637.5</v>
      </c>
      <c r="AD52" s="173">
        <v>0.61643835616438358</v>
      </c>
      <c r="AE52" s="194">
        <v>6.777103000000001E-2</v>
      </c>
      <c r="AF52" s="194">
        <v>2.9271027283087749E-2</v>
      </c>
      <c r="AG52" s="172">
        <f t="shared" si="9"/>
        <v>1.0671027283087751E-2</v>
      </c>
      <c r="AH52" s="172">
        <f t="shared" si="10"/>
        <v>0.6354406294017132</v>
      </c>
      <c r="AI52" s="173">
        <f t="shared" si="11"/>
        <v>1.5737111442520297</v>
      </c>
      <c r="AJ52" s="171">
        <f t="shared" si="12"/>
        <v>26500</v>
      </c>
      <c r="AK52" s="171">
        <f t="shared" si="13"/>
        <v>4650</v>
      </c>
    </row>
    <row r="53" spans="1:37" ht="13.8" customHeight="1" x14ac:dyDescent="0.3">
      <c r="A53" s="192" t="s">
        <v>325</v>
      </c>
      <c r="B53" s="149">
        <v>6</v>
      </c>
      <c r="C53" s="74" t="s">
        <v>817</v>
      </c>
      <c r="D53" s="74" t="s">
        <v>720</v>
      </c>
      <c r="E53" s="74">
        <v>45964</v>
      </c>
      <c r="F53" s="74">
        <v>45965</v>
      </c>
      <c r="G53" s="74" t="s">
        <v>818</v>
      </c>
      <c r="H53" s="74" t="s">
        <v>962</v>
      </c>
      <c r="I53" s="74" t="s">
        <v>325</v>
      </c>
      <c r="J53" s="74" t="s">
        <v>753</v>
      </c>
      <c r="K53" s="74" t="s">
        <v>722</v>
      </c>
      <c r="L53" s="74" t="s">
        <v>721</v>
      </c>
      <c r="M53" s="195" t="s">
        <v>963</v>
      </c>
      <c r="N53" s="176" t="s">
        <v>964</v>
      </c>
      <c r="O53" s="171">
        <v>250000000</v>
      </c>
      <c r="P53" s="74" t="s">
        <v>895</v>
      </c>
      <c r="Q53" s="172">
        <v>2.0199999999999999E-2</v>
      </c>
      <c r="R53" s="172">
        <v>5.7464214954606088E-2</v>
      </c>
      <c r="S53" s="172">
        <v>9.6000000000000002E-2</v>
      </c>
      <c r="T53" s="193">
        <v>104.66</v>
      </c>
      <c r="U53" s="173">
        <v>105.6</v>
      </c>
      <c r="V53" s="171">
        <v>250000</v>
      </c>
      <c r="W53" s="171" t="s">
        <v>778</v>
      </c>
      <c r="X53" s="173">
        <v>1</v>
      </c>
      <c r="Y53" s="171">
        <v>1312.99</v>
      </c>
      <c r="Z53" s="171">
        <v>20</v>
      </c>
      <c r="AA53" s="171">
        <f t="shared" si="7"/>
        <v>264000</v>
      </c>
      <c r="AB53" s="171">
        <f t="shared" si="8"/>
        <v>265312.99</v>
      </c>
      <c r="AC53" s="171">
        <v>264125</v>
      </c>
      <c r="AD53" s="173">
        <v>2.5863013698630142</v>
      </c>
      <c r="AE53" s="194">
        <v>7.2376590000000005E-2</v>
      </c>
      <c r="AF53" s="194">
        <v>3.4076587406479709E-2</v>
      </c>
      <c r="AG53" s="172">
        <f t="shared" si="9"/>
        <v>1.387658740647971E-2</v>
      </c>
      <c r="AH53" s="172">
        <f t="shared" si="10"/>
        <v>0.59278236283011554</v>
      </c>
      <c r="AI53" s="173">
        <f t="shared" si="11"/>
        <v>1.6869597725980052</v>
      </c>
      <c r="AJ53" s="171">
        <f t="shared" si="12"/>
        <v>24000</v>
      </c>
      <c r="AK53" s="171">
        <f t="shared" si="13"/>
        <v>5050</v>
      </c>
    </row>
    <row r="54" spans="1:37" ht="13.8" customHeight="1" x14ac:dyDescent="0.3">
      <c r="A54" s="192" t="s">
        <v>229</v>
      </c>
      <c r="B54" s="149">
        <v>1</v>
      </c>
      <c r="C54" s="74" t="s">
        <v>817</v>
      </c>
      <c r="D54" s="74" t="s">
        <v>720</v>
      </c>
      <c r="E54" s="74">
        <v>45965</v>
      </c>
      <c r="F54" s="74">
        <v>45966</v>
      </c>
      <c r="G54" s="74" t="s">
        <v>823</v>
      </c>
      <c r="H54" s="74" t="s">
        <v>965</v>
      </c>
      <c r="I54" s="74" t="s">
        <v>229</v>
      </c>
      <c r="J54" s="74" t="s">
        <v>751</v>
      </c>
      <c r="K54" s="74" t="s">
        <v>727</v>
      </c>
      <c r="L54" s="74" t="s">
        <v>721</v>
      </c>
      <c r="M54" s="195" t="s">
        <v>966</v>
      </c>
      <c r="N54" s="176" t="s">
        <v>964</v>
      </c>
      <c r="O54" s="171">
        <v>200000000</v>
      </c>
      <c r="P54" s="74" t="s">
        <v>843</v>
      </c>
      <c r="Q54" s="172">
        <v>1.84E-2</v>
      </c>
      <c r="R54" s="172">
        <v>4.4998097121062182E-2</v>
      </c>
      <c r="S54" s="172">
        <v>8.3599999999999994E-2</v>
      </c>
      <c r="T54" s="193">
        <v>100.51</v>
      </c>
      <c r="U54" s="173">
        <v>103</v>
      </c>
      <c r="V54" s="171">
        <v>250000</v>
      </c>
      <c r="W54" s="171" t="s">
        <v>778</v>
      </c>
      <c r="X54" s="173">
        <v>1</v>
      </c>
      <c r="Y54" s="171">
        <v>1692.64</v>
      </c>
      <c r="Z54" s="171">
        <v>29</v>
      </c>
      <c r="AA54" s="171">
        <f t="shared" si="7"/>
        <v>257500</v>
      </c>
      <c r="AB54" s="171">
        <f t="shared" si="8"/>
        <v>259192.64</v>
      </c>
      <c r="AC54" s="171">
        <v>257612.5</v>
      </c>
      <c r="AD54" s="173">
        <v>2.5863013698630142</v>
      </c>
      <c r="AE54" s="194">
        <v>7.1044219999999991E-2</v>
      </c>
      <c r="AF54" s="194">
        <v>3.2444220183021823E-2</v>
      </c>
      <c r="AG54" s="172">
        <f t="shared" si="9"/>
        <v>1.4044220183021823E-2</v>
      </c>
      <c r="AH54" s="172">
        <f t="shared" si="10"/>
        <v>0.56712720774927994</v>
      </c>
      <c r="AI54" s="173">
        <f t="shared" si="11"/>
        <v>1.7632728360337948</v>
      </c>
      <c r="AJ54" s="171">
        <f t="shared" si="12"/>
        <v>20900</v>
      </c>
      <c r="AK54" s="171">
        <f t="shared" si="13"/>
        <v>4600</v>
      </c>
    </row>
    <row r="55" spans="1:37" s="196" customFormat="1" ht="13.8" customHeight="1" x14ac:dyDescent="0.3">
      <c r="A55" s="192" t="s">
        <v>50</v>
      </c>
      <c r="B55" s="149">
        <v>6</v>
      </c>
      <c r="C55" s="74" t="s">
        <v>817</v>
      </c>
      <c r="D55" s="74" t="s">
        <v>720</v>
      </c>
      <c r="E55" s="74">
        <v>45966</v>
      </c>
      <c r="F55" s="74">
        <v>45968</v>
      </c>
      <c r="G55" s="74" t="s">
        <v>818</v>
      </c>
      <c r="H55" s="74" t="s">
        <v>967</v>
      </c>
      <c r="I55" s="74" t="s">
        <v>50</v>
      </c>
      <c r="J55" s="74" t="s">
        <v>767</v>
      </c>
      <c r="K55" s="74" t="s">
        <v>727</v>
      </c>
      <c r="L55" s="74" t="s">
        <v>721</v>
      </c>
      <c r="M55" s="195" t="s">
        <v>968</v>
      </c>
      <c r="N55" s="176" t="s">
        <v>969</v>
      </c>
      <c r="O55" s="171">
        <v>200000000</v>
      </c>
      <c r="P55" s="74" t="s">
        <v>970</v>
      </c>
      <c r="Q55" s="172">
        <v>2.0299999999999999E-2</v>
      </c>
      <c r="R55" s="172">
        <v>5.610743814497457E-2</v>
      </c>
      <c r="S55" s="172">
        <v>9.35E-2</v>
      </c>
      <c r="T55" s="193">
        <v>100.48</v>
      </c>
      <c r="U55" s="173">
        <v>102.9</v>
      </c>
      <c r="V55" s="171">
        <v>500000</v>
      </c>
      <c r="W55" s="171" t="s">
        <v>778</v>
      </c>
      <c r="X55" s="173">
        <v>1</v>
      </c>
      <c r="Y55" s="171">
        <v>8662.2199999999993</v>
      </c>
      <c r="Z55" s="171">
        <v>66</v>
      </c>
      <c r="AA55" s="171">
        <f t="shared" si="7"/>
        <v>514500</v>
      </c>
      <c r="AB55" s="171">
        <f t="shared" si="8"/>
        <v>523162.22</v>
      </c>
      <c r="AC55" s="171">
        <v>514500</v>
      </c>
      <c r="AD55" s="173">
        <v>2.117808219178082</v>
      </c>
      <c r="AE55" s="194">
        <v>7.9524259999999999E-2</v>
      </c>
      <c r="AF55" s="194">
        <v>4.1124258599312957E-2</v>
      </c>
      <c r="AG55" s="172">
        <f t="shared" si="9"/>
        <v>2.0824258599312959E-2</v>
      </c>
      <c r="AH55" s="172">
        <f t="shared" si="10"/>
        <v>0.49362592035492991</v>
      </c>
      <c r="AI55" s="173">
        <f t="shared" si="11"/>
        <v>2.0258255467641852</v>
      </c>
      <c r="AJ55" s="171">
        <f t="shared" si="12"/>
        <v>46750</v>
      </c>
      <c r="AK55" s="171">
        <f t="shared" si="13"/>
        <v>10150</v>
      </c>
    </row>
    <row r="56" spans="1:37" ht="13.8" customHeight="1" x14ac:dyDescent="0.3">
      <c r="A56" s="192" t="s">
        <v>285</v>
      </c>
      <c r="B56" s="149">
        <v>2</v>
      </c>
      <c r="C56" s="74" t="s">
        <v>817</v>
      </c>
      <c r="D56" s="74" t="s">
        <v>720</v>
      </c>
      <c r="E56" s="74">
        <v>45967</v>
      </c>
      <c r="F56" s="74">
        <v>45968</v>
      </c>
      <c r="G56" s="74" t="s">
        <v>823</v>
      </c>
      <c r="H56" s="74" t="s">
        <v>971</v>
      </c>
      <c r="I56" s="74" t="s">
        <v>285</v>
      </c>
      <c r="J56" s="74" t="s">
        <v>768</v>
      </c>
      <c r="K56" s="74" t="s">
        <v>727</v>
      </c>
      <c r="L56" s="74" t="s">
        <v>721</v>
      </c>
      <c r="M56" s="195" t="s">
        <v>972</v>
      </c>
      <c r="N56" s="176" t="s">
        <v>918</v>
      </c>
      <c r="O56" s="171">
        <v>200000000</v>
      </c>
      <c r="P56" s="74" t="s">
        <v>891</v>
      </c>
      <c r="Q56" s="172">
        <v>7.0000000000000001E-3</v>
      </c>
      <c r="R56" s="172">
        <v>8.4885863725577285E-2</v>
      </c>
      <c r="S56" s="172">
        <v>0.1236</v>
      </c>
      <c r="T56" s="193">
        <v>104.89</v>
      </c>
      <c r="U56" s="173">
        <v>107.2</v>
      </c>
      <c r="V56" s="171">
        <v>250000</v>
      </c>
      <c r="W56" s="171" t="s">
        <v>778</v>
      </c>
      <c r="X56" s="173">
        <v>1</v>
      </c>
      <c r="Y56" s="171">
        <v>3162.43</v>
      </c>
      <c r="Z56" s="171">
        <v>37</v>
      </c>
      <c r="AA56" s="171">
        <f t="shared" si="7"/>
        <v>268000</v>
      </c>
      <c r="AB56" s="171">
        <f t="shared" si="8"/>
        <v>271162.43</v>
      </c>
      <c r="AC56" s="171">
        <v>271162.43</v>
      </c>
      <c r="AD56" s="173">
        <v>2.1698630136986301</v>
      </c>
      <c r="AE56" s="172">
        <v>8.7042410000000001E-2</v>
      </c>
      <c r="AF56" s="172">
        <v>4.8542410345483802E-2</v>
      </c>
      <c r="AG56" s="172">
        <f t="shared" si="9"/>
        <v>4.1542410345483803E-2</v>
      </c>
      <c r="AH56" s="172">
        <f t="shared" si="10"/>
        <v>0.14420379932063371</v>
      </c>
      <c r="AI56" s="173">
        <f t="shared" si="11"/>
        <v>6.934630049354829</v>
      </c>
      <c r="AJ56" s="171">
        <f t="shared" si="12"/>
        <v>30900</v>
      </c>
      <c r="AK56" s="171">
        <f t="shared" si="13"/>
        <v>1750</v>
      </c>
    </row>
    <row r="57" spans="1:37" x14ac:dyDescent="0.3">
      <c r="AB57" s="171">
        <f>SUBTOTAL(9,AB8:AB56)</f>
        <v>13995145.050000003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A1:H327"/>
  <sheetViews>
    <sheetView zoomScale="110" zoomScaleNormal="110" workbookViewId="0">
      <pane ySplit="1" topLeftCell="A40" activePane="bottomLeft" state="frozen"/>
      <selection pane="bottomLeft" activeCell="C49" sqref="C49"/>
    </sheetView>
  </sheetViews>
  <sheetFormatPr defaultColWidth="10.33203125" defaultRowHeight="13.2" x14ac:dyDescent="0.25"/>
  <cols>
    <col min="1" max="1" width="16" style="146" bestFit="1" customWidth="1"/>
    <col min="2" max="2" width="13.5546875" style="146" bestFit="1" customWidth="1"/>
    <col min="3" max="3" width="53.109375" style="146" bestFit="1" customWidth="1"/>
    <col min="4" max="4" width="16.33203125" style="147" bestFit="1" customWidth="1"/>
    <col min="5" max="5" width="19.88671875" style="147" bestFit="1" customWidth="1"/>
    <col min="6" max="6" width="17.77734375" style="147" bestFit="1" customWidth="1"/>
    <col min="7" max="7" width="18.77734375" style="147" bestFit="1" customWidth="1"/>
    <col min="8" max="8" width="15.109375" style="147" bestFit="1" customWidth="1"/>
    <col min="9" max="9" width="10.33203125" style="146" customWidth="1"/>
    <col min="10" max="16384" width="10.33203125" style="146"/>
  </cols>
  <sheetData>
    <row r="1" spans="1:8" ht="14.4" customHeight="1" thickBot="1" x14ac:dyDescent="0.35">
      <c r="A1" s="164" t="s">
        <v>0</v>
      </c>
      <c r="B1" s="165" t="s">
        <v>1</v>
      </c>
      <c r="C1" s="165" t="s">
        <v>2</v>
      </c>
      <c r="D1" s="166" t="s">
        <v>3</v>
      </c>
      <c r="E1" s="166" t="s">
        <v>4</v>
      </c>
      <c r="F1" s="166" t="s">
        <v>5</v>
      </c>
      <c r="G1" s="166" t="s">
        <v>6</v>
      </c>
      <c r="H1" s="167" t="s">
        <v>7</v>
      </c>
    </row>
    <row r="2" spans="1:8" ht="14.4" customHeight="1" x14ac:dyDescent="0.3">
      <c r="A2" s="160">
        <v>1</v>
      </c>
      <c r="B2" s="161" t="s">
        <v>8</v>
      </c>
      <c r="C2" s="162" t="s">
        <v>9</v>
      </c>
      <c r="D2" s="162"/>
      <c r="E2" s="163">
        <v>1950000000</v>
      </c>
      <c r="F2" s="163">
        <v>700000000</v>
      </c>
      <c r="G2" s="163"/>
      <c r="H2" s="163">
        <v>50000000</v>
      </c>
    </row>
    <row r="3" spans="1:8" ht="14.4" customHeight="1" x14ac:dyDescent="0.3">
      <c r="A3" s="70">
        <v>2</v>
      </c>
      <c r="B3" s="150" t="s">
        <v>10</v>
      </c>
      <c r="C3" s="151" t="s">
        <v>11</v>
      </c>
      <c r="D3" s="151"/>
      <c r="E3" s="152">
        <v>1200000000</v>
      </c>
      <c r="F3" s="152">
        <v>1150000000</v>
      </c>
      <c r="G3" s="152"/>
      <c r="H3" s="152">
        <v>125000000</v>
      </c>
    </row>
    <row r="4" spans="1:8" ht="14.4" customHeight="1" x14ac:dyDescent="0.3">
      <c r="A4" s="70">
        <v>3</v>
      </c>
      <c r="B4" s="150" t="s">
        <v>12</v>
      </c>
      <c r="C4" s="151" t="s">
        <v>13</v>
      </c>
      <c r="D4" s="151"/>
      <c r="E4" s="152">
        <v>1000000000</v>
      </c>
      <c r="F4" s="152">
        <v>950000000</v>
      </c>
      <c r="G4" s="152"/>
      <c r="H4" s="152">
        <v>125000000</v>
      </c>
    </row>
    <row r="5" spans="1:8" ht="14.4" customHeight="1" x14ac:dyDescent="0.3">
      <c r="A5" s="70">
        <v>4</v>
      </c>
      <c r="B5" s="150" t="s">
        <v>14</v>
      </c>
      <c r="C5" s="151" t="s">
        <v>15</v>
      </c>
      <c r="D5" s="151"/>
      <c r="E5" s="152">
        <v>1950000000</v>
      </c>
      <c r="F5" s="152">
        <v>400000000</v>
      </c>
      <c r="G5" s="152"/>
      <c r="H5" s="152">
        <v>125000000</v>
      </c>
    </row>
    <row r="6" spans="1:8" ht="14.4" customHeight="1" x14ac:dyDescent="0.3">
      <c r="A6" s="70">
        <v>5</v>
      </c>
      <c r="B6" s="150" t="s">
        <v>16</v>
      </c>
      <c r="C6" s="151" t="s">
        <v>17</v>
      </c>
      <c r="D6" s="151"/>
      <c r="E6" s="152">
        <v>1200000000</v>
      </c>
      <c r="F6" s="152">
        <v>750000000</v>
      </c>
      <c r="G6" s="152"/>
      <c r="H6" s="152">
        <v>100000000</v>
      </c>
    </row>
    <row r="7" spans="1:8" ht="14.4" customHeight="1" x14ac:dyDescent="0.3">
      <c r="A7" s="70">
        <v>6</v>
      </c>
      <c r="B7" s="150" t="s">
        <v>18</v>
      </c>
      <c r="C7" s="151" t="s">
        <v>19</v>
      </c>
      <c r="D7" s="151"/>
      <c r="E7" s="152">
        <v>6500000000</v>
      </c>
      <c r="F7" s="152">
        <v>5000000000</v>
      </c>
      <c r="G7" s="152"/>
      <c r="H7" s="152">
        <v>100000000</v>
      </c>
    </row>
    <row r="8" spans="1:8" ht="14.4" customHeight="1" x14ac:dyDescent="0.3">
      <c r="A8" s="70">
        <v>7</v>
      </c>
      <c r="B8" s="150" t="s">
        <v>20</v>
      </c>
      <c r="C8" s="151" t="s">
        <v>21</v>
      </c>
      <c r="D8" s="151"/>
      <c r="E8" s="152"/>
      <c r="F8" s="152">
        <v>42106000000</v>
      </c>
      <c r="G8" s="152"/>
      <c r="H8" s="152">
        <v>150000000</v>
      </c>
    </row>
    <row r="9" spans="1:8" ht="14.4" customHeight="1" x14ac:dyDescent="0.3">
      <c r="A9" s="70">
        <v>8</v>
      </c>
      <c r="B9" s="150" t="s">
        <v>22</v>
      </c>
      <c r="C9" s="151" t="s">
        <v>23</v>
      </c>
      <c r="D9" s="151"/>
      <c r="E9" s="152">
        <v>3300000000</v>
      </c>
      <c r="F9" s="152">
        <v>600000000</v>
      </c>
      <c r="G9" s="152"/>
      <c r="H9" s="152">
        <v>100000000</v>
      </c>
    </row>
    <row r="10" spans="1:8" ht="14.4" customHeight="1" x14ac:dyDescent="0.3">
      <c r="A10" s="70">
        <v>9</v>
      </c>
      <c r="B10" s="150" t="s">
        <v>24</v>
      </c>
      <c r="C10" s="151" t="s">
        <v>25</v>
      </c>
      <c r="D10" s="151"/>
      <c r="E10" s="152"/>
      <c r="F10" s="152">
        <v>420000000</v>
      </c>
      <c r="G10" s="152"/>
      <c r="H10" s="152">
        <v>50000000</v>
      </c>
    </row>
    <row r="11" spans="1:8" ht="14.4" customHeight="1" x14ac:dyDescent="0.3">
      <c r="A11" s="70">
        <v>10</v>
      </c>
      <c r="B11" s="150" t="s">
        <v>26</v>
      </c>
      <c r="C11" s="151" t="s">
        <v>27</v>
      </c>
      <c r="D11" s="151"/>
      <c r="E11" s="152"/>
      <c r="F11" s="152">
        <v>16626000000</v>
      </c>
      <c r="G11" s="152">
        <v>58160000000</v>
      </c>
      <c r="H11" s="152">
        <v>500000000</v>
      </c>
    </row>
    <row r="12" spans="1:8" ht="14.4" customHeight="1" x14ac:dyDescent="0.3">
      <c r="A12" s="70">
        <v>11</v>
      </c>
      <c r="B12" s="150" t="s">
        <v>28</v>
      </c>
      <c r="C12" s="151" t="s">
        <v>29</v>
      </c>
      <c r="D12" s="151"/>
      <c r="E12" s="152"/>
      <c r="F12" s="152">
        <v>100000000</v>
      </c>
      <c r="G12" s="152">
        <v>600000000</v>
      </c>
      <c r="H12" s="152">
        <v>125000000</v>
      </c>
    </row>
    <row r="13" spans="1:8" ht="14.4" customHeight="1" x14ac:dyDescent="0.3">
      <c r="A13" s="70">
        <v>12</v>
      </c>
      <c r="B13" s="150" t="s">
        <v>30</v>
      </c>
      <c r="C13" s="151" t="s">
        <v>31</v>
      </c>
      <c r="D13" s="151"/>
      <c r="E13" s="152"/>
      <c r="F13" s="152">
        <v>100000000</v>
      </c>
      <c r="G13" s="152">
        <v>396000000</v>
      </c>
      <c r="H13" s="152">
        <v>100000000</v>
      </c>
    </row>
    <row r="14" spans="1:8" ht="14.4" customHeight="1" x14ac:dyDescent="0.3">
      <c r="A14" s="70">
        <v>13</v>
      </c>
      <c r="B14" s="150" t="s">
        <v>32</v>
      </c>
      <c r="C14" s="151" t="s">
        <v>33</v>
      </c>
      <c r="D14" s="151">
        <v>0</v>
      </c>
      <c r="E14" s="152"/>
      <c r="F14" s="152">
        <v>350000000</v>
      </c>
      <c r="G14" s="152">
        <v>3400000000</v>
      </c>
      <c r="H14" s="152">
        <v>350000000</v>
      </c>
    </row>
    <row r="15" spans="1:8" ht="14.4" customHeight="1" x14ac:dyDescent="0.3">
      <c r="A15" s="70">
        <v>14</v>
      </c>
      <c r="B15" s="150" t="s">
        <v>34</v>
      </c>
      <c r="C15" s="151" t="s">
        <v>35</v>
      </c>
      <c r="D15" s="151">
        <v>0</v>
      </c>
      <c r="E15" s="152"/>
      <c r="F15" s="152">
        <v>450000000</v>
      </c>
      <c r="G15" s="152">
        <v>2350000000</v>
      </c>
      <c r="H15" s="152">
        <v>450000000</v>
      </c>
    </row>
    <row r="16" spans="1:8" ht="14.4" customHeight="1" x14ac:dyDescent="0.3">
      <c r="A16" s="70">
        <v>15</v>
      </c>
      <c r="B16" s="150" t="s">
        <v>36</v>
      </c>
      <c r="C16" s="151" t="s">
        <v>37</v>
      </c>
      <c r="D16" s="151"/>
      <c r="E16" s="152">
        <v>1000000000</v>
      </c>
      <c r="F16" s="152">
        <v>650000000</v>
      </c>
      <c r="G16" s="152"/>
      <c r="H16" s="152">
        <v>105000000</v>
      </c>
    </row>
    <row r="17" spans="1:8" ht="14.4" customHeight="1" x14ac:dyDescent="0.3">
      <c r="A17" s="70">
        <v>16</v>
      </c>
      <c r="B17" s="150" t="s">
        <v>38</v>
      </c>
      <c r="C17" s="151" t="s">
        <v>39</v>
      </c>
      <c r="D17" s="151"/>
      <c r="E17" s="152">
        <v>300000000</v>
      </c>
      <c r="F17" s="152">
        <v>200000000</v>
      </c>
      <c r="G17" s="152"/>
      <c r="H17" s="152">
        <v>100000000</v>
      </c>
    </row>
    <row r="18" spans="1:8" ht="14.4" customHeight="1" x14ac:dyDescent="0.3">
      <c r="A18" s="70">
        <v>17</v>
      </c>
      <c r="B18" s="150" t="s">
        <v>40</v>
      </c>
      <c r="C18" s="151" t="s">
        <v>41</v>
      </c>
      <c r="D18" s="151">
        <v>0</v>
      </c>
      <c r="E18" s="152">
        <v>1510000000</v>
      </c>
      <c r="F18" s="152">
        <v>420000000</v>
      </c>
      <c r="G18" s="152"/>
      <c r="H18" s="152">
        <v>200000000</v>
      </c>
    </row>
    <row r="19" spans="1:8" ht="14.4" customHeight="1" x14ac:dyDescent="0.3">
      <c r="A19" s="70">
        <v>18</v>
      </c>
      <c r="B19" s="150" t="s">
        <v>42</v>
      </c>
      <c r="C19" s="151" t="s">
        <v>43</v>
      </c>
      <c r="D19" s="151">
        <v>0</v>
      </c>
      <c r="E19" s="152">
        <v>1510000000</v>
      </c>
      <c r="F19" s="152">
        <v>420000000</v>
      </c>
      <c r="G19" s="152"/>
      <c r="H19" s="152">
        <v>175000000</v>
      </c>
    </row>
    <row r="20" spans="1:8" ht="14.4" customHeight="1" x14ac:dyDescent="0.3">
      <c r="A20" s="70">
        <v>19</v>
      </c>
      <c r="B20" s="150" t="s">
        <v>44</v>
      </c>
      <c r="C20" s="151" t="s">
        <v>45</v>
      </c>
      <c r="D20" s="151"/>
      <c r="E20" s="152">
        <v>2350000000</v>
      </c>
      <c r="F20" s="152">
        <v>150000000</v>
      </c>
      <c r="G20" s="152"/>
      <c r="H20" s="152">
        <v>150000000</v>
      </c>
    </row>
    <row r="21" spans="1:8" ht="14.4" customHeight="1" x14ac:dyDescent="0.3">
      <c r="A21" s="70">
        <v>20</v>
      </c>
      <c r="B21" s="150" t="s">
        <v>46</v>
      </c>
      <c r="C21" s="151" t="s">
        <v>47</v>
      </c>
      <c r="D21" s="151">
        <v>0</v>
      </c>
      <c r="E21" s="152"/>
      <c r="F21" s="152">
        <v>100000000</v>
      </c>
      <c r="G21" s="152"/>
      <c r="H21" s="152">
        <v>70000000</v>
      </c>
    </row>
    <row r="22" spans="1:8" ht="14.4" customHeight="1" x14ac:dyDescent="0.3">
      <c r="A22" s="70">
        <v>21</v>
      </c>
      <c r="B22" s="150" t="s">
        <v>48</v>
      </c>
      <c r="C22" s="151" t="s">
        <v>49</v>
      </c>
      <c r="D22" s="151">
        <v>0</v>
      </c>
      <c r="E22" s="152">
        <v>1050000000</v>
      </c>
      <c r="F22" s="152">
        <v>330000000</v>
      </c>
      <c r="G22" s="152"/>
      <c r="H22" s="152">
        <v>75000000</v>
      </c>
    </row>
    <row r="23" spans="1:8" ht="14.4" customHeight="1" x14ac:dyDescent="0.3">
      <c r="A23" s="70">
        <v>22</v>
      </c>
      <c r="B23" s="150" t="s">
        <v>50</v>
      </c>
      <c r="C23" s="151" t="s">
        <v>51</v>
      </c>
      <c r="D23" s="151">
        <v>0</v>
      </c>
      <c r="E23" s="152">
        <v>1050000000</v>
      </c>
      <c r="F23" s="152">
        <v>200000000</v>
      </c>
      <c r="G23" s="152"/>
      <c r="H23" s="152">
        <v>200000000</v>
      </c>
    </row>
    <row r="24" spans="1:8" ht="14.4" customHeight="1" x14ac:dyDescent="0.3">
      <c r="A24" s="70">
        <v>23</v>
      </c>
      <c r="B24" s="150" t="s">
        <v>52</v>
      </c>
      <c r="C24" s="151" t="s">
        <v>53</v>
      </c>
      <c r="D24" s="151">
        <v>0</v>
      </c>
      <c r="E24" s="152">
        <v>4250000000</v>
      </c>
      <c r="F24" s="152">
        <v>950000000</v>
      </c>
      <c r="G24" s="152"/>
      <c r="H24" s="152">
        <v>350000000</v>
      </c>
    </row>
    <row r="25" spans="1:8" ht="14.4" customHeight="1" x14ac:dyDescent="0.3">
      <c r="A25" s="70">
        <v>24</v>
      </c>
      <c r="B25" s="150" t="s">
        <v>54</v>
      </c>
      <c r="C25" s="151" t="s">
        <v>55</v>
      </c>
      <c r="D25" s="151">
        <v>0</v>
      </c>
      <c r="E25" s="152">
        <v>4250000000</v>
      </c>
      <c r="F25" s="152">
        <v>1999375000</v>
      </c>
      <c r="G25" s="152"/>
      <c r="H25" s="152">
        <v>300000000</v>
      </c>
    </row>
    <row r="26" spans="1:8" ht="14.4" customHeight="1" x14ac:dyDescent="0.3">
      <c r="A26" s="70">
        <v>25</v>
      </c>
      <c r="B26" s="150" t="s">
        <v>56</v>
      </c>
      <c r="C26" s="151" t="s">
        <v>57</v>
      </c>
      <c r="D26" s="151"/>
      <c r="E26" s="152">
        <v>152330000000</v>
      </c>
      <c r="F26" s="152">
        <v>59765000000</v>
      </c>
      <c r="G26" s="152"/>
      <c r="H26" s="152">
        <v>300000000</v>
      </c>
    </row>
    <row r="27" spans="1:8" ht="14.4" customHeight="1" x14ac:dyDescent="0.3">
      <c r="A27" s="70">
        <v>26</v>
      </c>
      <c r="B27" s="150" t="s">
        <v>58</v>
      </c>
      <c r="C27" s="151" t="s">
        <v>59</v>
      </c>
      <c r="D27" s="151">
        <v>0</v>
      </c>
      <c r="E27" s="152">
        <v>50000000</v>
      </c>
      <c r="F27" s="152">
        <v>800000000</v>
      </c>
      <c r="G27" s="152">
        <v>3625000000</v>
      </c>
      <c r="H27" s="152">
        <v>50000000</v>
      </c>
    </row>
    <row r="28" spans="1:8" ht="14.4" customHeight="1" x14ac:dyDescent="0.3">
      <c r="A28" s="70">
        <v>27</v>
      </c>
      <c r="B28" s="150" t="s">
        <v>60</v>
      </c>
      <c r="C28" s="151" t="s">
        <v>61</v>
      </c>
      <c r="D28" s="151">
        <v>0</v>
      </c>
      <c r="E28" s="152">
        <v>50000000</v>
      </c>
      <c r="F28" s="152">
        <v>1100000000</v>
      </c>
      <c r="G28" s="152">
        <v>4425000000</v>
      </c>
      <c r="H28" s="152">
        <v>150000000</v>
      </c>
    </row>
    <row r="29" spans="1:8" ht="14.4" customHeight="1" x14ac:dyDescent="0.3">
      <c r="A29" s="70">
        <v>28</v>
      </c>
      <c r="B29" s="150" t="s">
        <v>62</v>
      </c>
      <c r="C29" s="151" t="s">
        <v>63</v>
      </c>
      <c r="D29" s="151">
        <v>0</v>
      </c>
      <c r="E29" s="152">
        <v>50000000</v>
      </c>
      <c r="F29" s="152">
        <v>450000000</v>
      </c>
      <c r="G29" s="152">
        <v>5525000000</v>
      </c>
      <c r="H29" s="152">
        <v>225000000</v>
      </c>
    </row>
    <row r="30" spans="1:8" ht="14.4" customHeight="1" x14ac:dyDescent="0.3">
      <c r="A30" s="70">
        <v>29</v>
      </c>
      <c r="B30" s="150" t="s">
        <v>64</v>
      </c>
      <c r="C30" s="151" t="s">
        <v>65</v>
      </c>
      <c r="D30" s="151">
        <v>0</v>
      </c>
      <c r="E30" s="152">
        <v>445000000</v>
      </c>
      <c r="F30" s="152">
        <v>330000000</v>
      </c>
      <c r="G30" s="152"/>
      <c r="H30" s="152">
        <v>200000000</v>
      </c>
    </row>
    <row r="31" spans="1:8" ht="14.4" customHeight="1" x14ac:dyDescent="0.3">
      <c r="A31" s="70">
        <v>30</v>
      </c>
      <c r="B31" s="150" t="s">
        <v>66</v>
      </c>
      <c r="C31" s="151" t="s">
        <v>67</v>
      </c>
      <c r="D31" s="151"/>
      <c r="E31" s="152"/>
      <c r="F31" s="152">
        <v>250000000</v>
      </c>
      <c r="G31" s="152">
        <v>500000000</v>
      </c>
      <c r="H31" s="152">
        <v>250000000</v>
      </c>
    </row>
    <row r="32" spans="1:8" ht="14.4" customHeight="1" x14ac:dyDescent="0.3">
      <c r="A32" s="70">
        <v>31</v>
      </c>
      <c r="B32" s="150" t="s">
        <v>68</v>
      </c>
      <c r="C32" s="151" t="s">
        <v>69</v>
      </c>
      <c r="D32" s="151">
        <v>0</v>
      </c>
      <c r="E32" s="152">
        <v>1800000000</v>
      </c>
      <c r="F32" s="152">
        <v>1400000000</v>
      </c>
      <c r="G32" s="152"/>
      <c r="H32" s="152">
        <v>175000000</v>
      </c>
    </row>
    <row r="33" spans="1:8" ht="14.4" customHeight="1" x14ac:dyDescent="0.3">
      <c r="A33" s="70">
        <v>32</v>
      </c>
      <c r="B33" s="150" t="s">
        <v>70</v>
      </c>
      <c r="C33" s="151" t="s">
        <v>71</v>
      </c>
      <c r="D33" s="151">
        <v>0</v>
      </c>
      <c r="E33" s="152">
        <v>3200000000</v>
      </c>
      <c r="F33" s="152">
        <v>1300000000</v>
      </c>
      <c r="G33" s="152"/>
      <c r="H33" s="152">
        <v>125000000</v>
      </c>
    </row>
    <row r="34" spans="1:8" ht="14.4" customHeight="1" x14ac:dyDescent="0.3">
      <c r="A34" s="70">
        <v>33</v>
      </c>
      <c r="B34" s="150" t="s">
        <v>72</v>
      </c>
      <c r="C34" s="151" t="s">
        <v>73</v>
      </c>
      <c r="D34" s="151">
        <v>0</v>
      </c>
      <c r="E34" s="152">
        <v>3200000000</v>
      </c>
      <c r="F34" s="152">
        <v>1300000000</v>
      </c>
      <c r="G34" s="152"/>
      <c r="H34" s="152">
        <v>60000000</v>
      </c>
    </row>
    <row r="35" spans="1:8" ht="14.4" customHeight="1" x14ac:dyDescent="0.3">
      <c r="A35" s="70">
        <v>34</v>
      </c>
      <c r="B35" s="150" t="s">
        <v>74</v>
      </c>
      <c r="C35" s="151" t="s">
        <v>75</v>
      </c>
      <c r="D35" s="151">
        <v>0</v>
      </c>
      <c r="E35" s="152">
        <v>5000000000</v>
      </c>
      <c r="F35" s="152">
        <v>500000000</v>
      </c>
      <c r="G35" s="152"/>
      <c r="H35" s="152">
        <v>135000000</v>
      </c>
    </row>
    <row r="36" spans="1:8" ht="14.4" customHeight="1" x14ac:dyDescent="0.3">
      <c r="A36" s="70">
        <v>35</v>
      </c>
      <c r="B36" s="150" t="s">
        <v>76</v>
      </c>
      <c r="C36" s="151" t="s">
        <v>77</v>
      </c>
      <c r="D36" s="151">
        <v>0</v>
      </c>
      <c r="E36" s="152">
        <v>3200000000</v>
      </c>
      <c r="F36" s="152">
        <v>1300000000</v>
      </c>
      <c r="G36" s="152"/>
      <c r="H36" s="152">
        <v>150000000</v>
      </c>
    </row>
    <row r="37" spans="1:8" ht="14.4" customHeight="1" x14ac:dyDescent="0.3">
      <c r="A37" s="70">
        <v>36</v>
      </c>
      <c r="B37" s="150" t="s">
        <v>78</v>
      </c>
      <c r="C37" s="151" t="s">
        <v>79</v>
      </c>
      <c r="D37" s="151"/>
      <c r="E37" s="152">
        <v>5500000000</v>
      </c>
      <c r="F37" s="152">
        <v>600000000</v>
      </c>
      <c r="G37" s="152"/>
      <c r="H37" s="152">
        <v>200000000</v>
      </c>
    </row>
    <row r="38" spans="1:8" ht="14.4" customHeight="1" x14ac:dyDescent="0.3">
      <c r="A38" s="70">
        <v>37</v>
      </c>
      <c r="B38" s="150" t="s">
        <v>80</v>
      </c>
      <c r="C38" s="151" t="s">
        <v>81</v>
      </c>
      <c r="D38" s="151">
        <v>0</v>
      </c>
      <c r="E38" s="152">
        <v>2100000000</v>
      </c>
      <c r="F38" s="152">
        <v>1100000000</v>
      </c>
      <c r="G38" s="152"/>
      <c r="H38" s="152">
        <v>75000000</v>
      </c>
    </row>
    <row r="39" spans="1:8" ht="14.4" customHeight="1" x14ac:dyDescent="0.3">
      <c r="A39" s="70">
        <v>38</v>
      </c>
      <c r="B39" s="150" t="s">
        <v>82</v>
      </c>
      <c r="C39" s="151" t="s">
        <v>83</v>
      </c>
      <c r="D39" s="151">
        <v>0</v>
      </c>
      <c r="E39" s="152">
        <v>3200000000</v>
      </c>
      <c r="F39" s="152">
        <v>1300000000</v>
      </c>
      <c r="G39" s="152"/>
      <c r="H39" s="152">
        <v>200000000</v>
      </c>
    </row>
    <row r="40" spans="1:8" ht="14.4" customHeight="1" x14ac:dyDescent="0.3">
      <c r="A40" s="70">
        <v>39</v>
      </c>
      <c r="B40" s="150" t="s">
        <v>84</v>
      </c>
      <c r="C40" s="151" t="s">
        <v>85</v>
      </c>
      <c r="D40" s="151">
        <v>0</v>
      </c>
      <c r="E40" s="152">
        <v>4500000000</v>
      </c>
      <c r="F40" s="152">
        <v>500000000</v>
      </c>
      <c r="G40" s="152"/>
      <c r="H40" s="152">
        <v>175000000</v>
      </c>
    </row>
    <row r="41" spans="1:8" ht="14.4" customHeight="1" x14ac:dyDescent="0.3">
      <c r="A41" s="70">
        <v>40</v>
      </c>
      <c r="B41" s="150" t="s">
        <v>86</v>
      </c>
      <c r="C41" s="151" t="s">
        <v>87</v>
      </c>
      <c r="D41" s="151"/>
      <c r="E41" s="152">
        <v>500000000</v>
      </c>
      <c r="F41" s="152">
        <v>500000000</v>
      </c>
      <c r="G41" s="152"/>
      <c r="H41" s="152">
        <v>250000000</v>
      </c>
    </row>
    <row r="42" spans="1:8" ht="14.4" customHeight="1" x14ac:dyDescent="0.3">
      <c r="A42" s="70">
        <v>41</v>
      </c>
      <c r="B42" s="150" t="s">
        <v>88</v>
      </c>
      <c r="C42" s="151" t="s">
        <v>89</v>
      </c>
      <c r="D42" s="151"/>
      <c r="E42" s="152">
        <v>500000000</v>
      </c>
      <c r="F42" s="152">
        <v>300000000</v>
      </c>
      <c r="G42" s="152"/>
      <c r="H42" s="152">
        <v>100000000</v>
      </c>
    </row>
    <row r="43" spans="1:8" ht="14.4" customHeight="1" x14ac:dyDescent="0.3">
      <c r="A43" s="70">
        <v>42</v>
      </c>
      <c r="B43" s="150" t="s">
        <v>90</v>
      </c>
      <c r="C43" s="151" t="s">
        <v>91</v>
      </c>
      <c r="D43" s="151"/>
      <c r="E43" s="152"/>
      <c r="F43" s="152">
        <v>400000000</v>
      </c>
      <c r="G43" s="152">
        <v>850000000</v>
      </c>
      <c r="H43" s="152">
        <v>100000000</v>
      </c>
    </row>
    <row r="44" spans="1:8" ht="14.4" customHeight="1" x14ac:dyDescent="0.3">
      <c r="A44" s="70">
        <v>43</v>
      </c>
      <c r="B44" s="150" t="s">
        <v>92</v>
      </c>
      <c r="C44" s="151" t="s">
        <v>93</v>
      </c>
      <c r="D44" s="151"/>
      <c r="E44" s="152"/>
      <c r="F44" s="152">
        <v>300000000</v>
      </c>
      <c r="G44" s="152">
        <v>550000000</v>
      </c>
      <c r="H44" s="152">
        <v>150000000</v>
      </c>
    </row>
    <row r="45" spans="1:8" ht="14.4" customHeight="1" x14ac:dyDescent="0.3">
      <c r="A45" s="70">
        <v>44</v>
      </c>
      <c r="B45" s="150" t="s">
        <v>94</v>
      </c>
      <c r="C45" s="151" t="s">
        <v>95</v>
      </c>
      <c r="D45" s="151"/>
      <c r="E45" s="152"/>
      <c r="F45" s="152">
        <v>500000000</v>
      </c>
      <c r="G45" s="152">
        <v>1250000000</v>
      </c>
      <c r="H45" s="152">
        <v>100000000</v>
      </c>
    </row>
    <row r="46" spans="1:8" ht="14.4" customHeight="1" x14ac:dyDescent="0.3">
      <c r="A46" s="70">
        <v>45</v>
      </c>
      <c r="B46" s="150" t="s">
        <v>96</v>
      </c>
      <c r="C46" s="151" t="s">
        <v>97</v>
      </c>
      <c r="D46" s="151"/>
      <c r="E46" s="152"/>
      <c r="F46" s="152">
        <v>600000000</v>
      </c>
      <c r="G46" s="152">
        <v>1750000000</v>
      </c>
      <c r="H46" s="152">
        <v>225000000</v>
      </c>
    </row>
    <row r="47" spans="1:8" ht="14.4" customHeight="1" x14ac:dyDescent="0.3">
      <c r="A47" s="70">
        <v>46</v>
      </c>
      <c r="B47" s="150" t="s">
        <v>98</v>
      </c>
      <c r="C47" s="151" t="s">
        <v>99</v>
      </c>
      <c r="D47" s="151">
        <v>0</v>
      </c>
      <c r="E47" s="152">
        <v>50000000</v>
      </c>
      <c r="F47" s="152">
        <v>550000000</v>
      </c>
      <c r="G47" s="152">
        <v>3075000000</v>
      </c>
      <c r="H47" s="152">
        <v>35000000</v>
      </c>
    </row>
    <row r="48" spans="1:8" ht="14.4" customHeight="1" x14ac:dyDescent="0.3">
      <c r="A48" s="70">
        <v>47</v>
      </c>
      <c r="B48" s="150" t="s">
        <v>100</v>
      </c>
      <c r="C48" s="151" t="s">
        <v>101</v>
      </c>
      <c r="D48" s="151">
        <v>0</v>
      </c>
      <c r="E48" s="152">
        <v>50000000</v>
      </c>
      <c r="F48" s="152">
        <v>600000000</v>
      </c>
      <c r="G48" s="152">
        <v>3625000000</v>
      </c>
      <c r="H48" s="152">
        <v>60000000</v>
      </c>
    </row>
    <row r="49" spans="1:8" ht="14.4" customHeight="1" x14ac:dyDescent="0.3">
      <c r="A49" s="70">
        <v>48</v>
      </c>
      <c r="B49" s="150" t="s">
        <v>102</v>
      </c>
      <c r="C49" s="151" t="s">
        <v>103</v>
      </c>
      <c r="D49" s="151">
        <v>0</v>
      </c>
      <c r="E49" s="152">
        <v>50000000</v>
      </c>
      <c r="F49" s="152">
        <v>400000000</v>
      </c>
      <c r="G49" s="152">
        <v>4225000000</v>
      </c>
      <c r="H49" s="152">
        <v>155000000</v>
      </c>
    </row>
    <row r="50" spans="1:8" ht="14.4" customHeight="1" x14ac:dyDescent="0.3">
      <c r="A50" s="70">
        <v>49</v>
      </c>
      <c r="B50" s="150" t="s">
        <v>104</v>
      </c>
      <c r="C50" s="151" t="s">
        <v>105</v>
      </c>
      <c r="D50" s="151">
        <v>0</v>
      </c>
      <c r="E50" s="152">
        <v>50000000</v>
      </c>
      <c r="F50" s="152">
        <v>450000000</v>
      </c>
      <c r="G50" s="152">
        <v>5525000000</v>
      </c>
      <c r="H50" s="152">
        <v>180000000</v>
      </c>
    </row>
    <row r="51" spans="1:8" ht="14.4" customHeight="1" x14ac:dyDescent="0.3">
      <c r="A51" s="70">
        <v>50</v>
      </c>
      <c r="B51" s="150" t="s">
        <v>106</v>
      </c>
      <c r="C51" s="151" t="s">
        <v>107</v>
      </c>
      <c r="D51" s="151">
        <v>0</v>
      </c>
      <c r="E51" s="152">
        <v>50000000</v>
      </c>
      <c r="F51" s="152">
        <v>600000000</v>
      </c>
      <c r="G51" s="152">
        <v>3625000000</v>
      </c>
      <c r="H51" s="152">
        <v>125000000</v>
      </c>
    </row>
    <row r="52" spans="1:8" ht="14.4" customHeight="1" x14ac:dyDescent="0.3">
      <c r="A52" s="70">
        <v>51</v>
      </c>
      <c r="B52" s="150" t="s">
        <v>108</v>
      </c>
      <c r="C52" s="151" t="s">
        <v>109</v>
      </c>
      <c r="D52" s="151">
        <v>0</v>
      </c>
      <c r="E52" s="152">
        <v>50000000</v>
      </c>
      <c r="F52" s="152">
        <v>900000000</v>
      </c>
      <c r="G52" s="152">
        <v>4625000000</v>
      </c>
      <c r="H52" s="152">
        <v>275000000</v>
      </c>
    </row>
    <row r="53" spans="1:8" ht="14.4" customHeight="1" x14ac:dyDescent="0.3">
      <c r="A53" s="70">
        <v>52</v>
      </c>
      <c r="B53" s="150" t="s">
        <v>110</v>
      </c>
      <c r="C53" s="151" t="s">
        <v>111</v>
      </c>
      <c r="D53" s="151">
        <v>0</v>
      </c>
      <c r="E53" s="152">
        <v>50000000</v>
      </c>
      <c r="F53" s="152">
        <v>600000000</v>
      </c>
      <c r="G53" s="152">
        <v>3625000000</v>
      </c>
      <c r="H53" s="152">
        <v>50000000</v>
      </c>
    </row>
    <row r="54" spans="1:8" ht="14.4" customHeight="1" x14ac:dyDescent="0.3">
      <c r="A54" s="70">
        <v>53</v>
      </c>
      <c r="B54" s="150" t="s">
        <v>112</v>
      </c>
      <c r="C54" s="151" t="s">
        <v>113</v>
      </c>
      <c r="D54" s="151">
        <v>0</v>
      </c>
      <c r="E54" s="152">
        <v>50000000</v>
      </c>
      <c r="F54" s="152">
        <v>900000000</v>
      </c>
      <c r="G54" s="152">
        <v>4625000000</v>
      </c>
      <c r="H54" s="152">
        <v>75000000</v>
      </c>
    </row>
    <row r="55" spans="1:8" ht="14.4" customHeight="1" x14ac:dyDescent="0.3">
      <c r="A55" s="70">
        <v>54</v>
      </c>
      <c r="B55" s="150" t="s">
        <v>114</v>
      </c>
      <c r="C55" s="151" t="s">
        <v>115</v>
      </c>
      <c r="D55" s="151"/>
      <c r="E55" s="152">
        <v>1310000000</v>
      </c>
      <c r="F55" s="152">
        <v>125000000</v>
      </c>
      <c r="G55" s="152"/>
      <c r="H55" s="152">
        <v>110000000</v>
      </c>
    </row>
    <row r="56" spans="1:8" ht="14.4" customHeight="1" x14ac:dyDescent="0.3">
      <c r="A56" s="70">
        <v>55</v>
      </c>
      <c r="B56" s="150" t="s">
        <v>116</v>
      </c>
      <c r="C56" s="151" t="s">
        <v>117</v>
      </c>
      <c r="D56" s="151">
        <v>200000000</v>
      </c>
      <c r="E56" s="152">
        <v>100000000</v>
      </c>
      <c r="F56" s="152">
        <v>200000000</v>
      </c>
      <c r="G56" s="152">
        <v>200000000</v>
      </c>
      <c r="H56" s="152">
        <v>50000000</v>
      </c>
    </row>
    <row r="57" spans="1:8" ht="14.4" customHeight="1" x14ac:dyDescent="0.3">
      <c r="A57" s="70">
        <v>56</v>
      </c>
      <c r="B57" s="150" t="s">
        <v>118</v>
      </c>
      <c r="C57" s="151" t="s">
        <v>119</v>
      </c>
      <c r="D57" s="151"/>
      <c r="E57" s="152">
        <v>525000000</v>
      </c>
      <c r="F57" s="152">
        <v>160000000</v>
      </c>
      <c r="G57" s="152"/>
      <c r="H57" s="152">
        <v>130000000</v>
      </c>
    </row>
    <row r="58" spans="1:8" ht="14.4" customHeight="1" x14ac:dyDescent="0.3">
      <c r="A58" s="70">
        <v>57</v>
      </c>
      <c r="B58" s="150" t="s">
        <v>120</v>
      </c>
      <c r="C58" s="151" t="s">
        <v>121</v>
      </c>
      <c r="D58" s="151"/>
      <c r="E58" s="152">
        <v>525000000</v>
      </c>
      <c r="F58" s="152">
        <v>400000000</v>
      </c>
      <c r="G58" s="152"/>
      <c r="H58" s="152">
        <v>80000000</v>
      </c>
    </row>
    <row r="59" spans="1:8" ht="14.4" customHeight="1" x14ac:dyDescent="0.3">
      <c r="A59" s="70">
        <v>58</v>
      </c>
      <c r="B59" s="150" t="s">
        <v>122</v>
      </c>
      <c r="C59" s="151" t="s">
        <v>123</v>
      </c>
      <c r="D59" s="151">
        <v>200000000</v>
      </c>
      <c r="E59" s="152">
        <v>100000000</v>
      </c>
      <c r="F59" s="152">
        <v>200000000</v>
      </c>
      <c r="G59" s="152">
        <v>200000000</v>
      </c>
      <c r="H59" s="152">
        <v>150000000</v>
      </c>
    </row>
    <row r="60" spans="1:8" ht="14.4" customHeight="1" x14ac:dyDescent="0.3">
      <c r="A60" s="70">
        <v>59</v>
      </c>
      <c r="B60" s="150" t="s">
        <v>124</v>
      </c>
      <c r="C60" s="151" t="s">
        <v>125</v>
      </c>
      <c r="D60" s="151"/>
      <c r="E60" s="152">
        <v>250000000</v>
      </c>
      <c r="F60" s="152">
        <v>250000000</v>
      </c>
      <c r="G60" s="152"/>
      <c r="H60" s="152">
        <v>150000000</v>
      </c>
    </row>
    <row r="61" spans="1:8" ht="14.4" customHeight="1" x14ac:dyDescent="0.3">
      <c r="A61" s="70">
        <v>60</v>
      </c>
      <c r="B61" s="150" t="s">
        <v>126</v>
      </c>
      <c r="C61" s="151" t="s">
        <v>127</v>
      </c>
      <c r="D61" s="151">
        <v>0</v>
      </c>
      <c r="E61" s="152">
        <v>0</v>
      </c>
      <c r="F61" s="152">
        <v>100000000</v>
      </c>
      <c r="G61" s="152"/>
      <c r="H61" s="152">
        <v>100000000</v>
      </c>
    </row>
    <row r="62" spans="1:8" ht="14.4" customHeight="1" x14ac:dyDescent="0.3">
      <c r="A62" s="70">
        <v>61</v>
      </c>
      <c r="B62" s="150" t="s">
        <v>128</v>
      </c>
      <c r="C62" s="151" t="s">
        <v>129</v>
      </c>
      <c r="D62" s="151">
        <v>0</v>
      </c>
      <c r="E62" s="152">
        <v>0</v>
      </c>
      <c r="F62" s="152">
        <v>150000000</v>
      </c>
      <c r="G62" s="152"/>
      <c r="H62" s="152">
        <v>150000000</v>
      </c>
    </row>
    <row r="63" spans="1:8" ht="14.4" customHeight="1" x14ac:dyDescent="0.3">
      <c r="A63" s="70">
        <v>62</v>
      </c>
      <c r="B63" s="150" t="s">
        <v>130</v>
      </c>
      <c r="C63" s="151" t="s">
        <v>131</v>
      </c>
      <c r="D63" s="151">
        <v>0</v>
      </c>
      <c r="E63" s="152">
        <v>0</v>
      </c>
      <c r="F63" s="152">
        <v>350000000</v>
      </c>
      <c r="G63" s="152"/>
      <c r="H63" s="152">
        <v>350000000</v>
      </c>
    </row>
    <row r="64" spans="1:8" ht="14.4" customHeight="1" x14ac:dyDescent="0.3">
      <c r="A64" s="70">
        <v>63</v>
      </c>
      <c r="B64" s="150" t="s">
        <v>132</v>
      </c>
      <c r="C64" s="151" t="s">
        <v>133</v>
      </c>
      <c r="D64" s="151"/>
      <c r="E64" s="152">
        <v>700000000</v>
      </c>
      <c r="F64" s="152">
        <v>300000000</v>
      </c>
      <c r="G64" s="152"/>
      <c r="H64" s="152">
        <v>150000000</v>
      </c>
    </row>
    <row r="65" spans="1:8" ht="14.4" customHeight="1" x14ac:dyDescent="0.3">
      <c r="A65" s="70">
        <v>64</v>
      </c>
      <c r="B65" s="150" t="s">
        <v>134</v>
      </c>
      <c r="C65" s="151" t="s">
        <v>135</v>
      </c>
      <c r="D65" s="151">
        <v>0</v>
      </c>
      <c r="E65" s="152">
        <v>4250000000</v>
      </c>
      <c r="F65" s="152">
        <v>1000000000</v>
      </c>
      <c r="G65" s="152"/>
      <c r="H65" s="152">
        <v>400000000</v>
      </c>
    </row>
    <row r="66" spans="1:8" ht="14.4" customHeight="1" x14ac:dyDescent="0.3">
      <c r="A66" s="70">
        <v>65</v>
      </c>
      <c r="B66" s="150" t="s">
        <v>136</v>
      </c>
      <c r="C66" s="151" t="s">
        <v>137</v>
      </c>
      <c r="D66" s="151">
        <v>0</v>
      </c>
      <c r="E66" s="152">
        <v>4250000000</v>
      </c>
      <c r="F66" s="152">
        <v>750000000</v>
      </c>
      <c r="G66" s="152"/>
      <c r="H66" s="152">
        <v>100000000</v>
      </c>
    </row>
    <row r="67" spans="1:8" ht="14.4" customHeight="1" x14ac:dyDescent="0.3">
      <c r="A67" s="70">
        <v>66</v>
      </c>
      <c r="B67" s="150" t="s">
        <v>138</v>
      </c>
      <c r="C67" s="151" t="s">
        <v>139</v>
      </c>
      <c r="D67" s="151">
        <v>0</v>
      </c>
      <c r="E67" s="152">
        <v>50000000</v>
      </c>
      <c r="F67" s="152">
        <v>500000000</v>
      </c>
      <c r="G67" s="152">
        <v>4500000000</v>
      </c>
      <c r="H67" s="152">
        <v>150000000</v>
      </c>
    </row>
    <row r="68" spans="1:8" ht="14.4" customHeight="1" x14ac:dyDescent="0.3">
      <c r="A68" s="70">
        <v>67</v>
      </c>
      <c r="B68" s="150" t="s">
        <v>140</v>
      </c>
      <c r="C68" s="151" t="s">
        <v>141</v>
      </c>
      <c r="D68" s="151">
        <v>0</v>
      </c>
      <c r="E68" s="152">
        <v>4250000000</v>
      </c>
      <c r="F68" s="152">
        <v>250000000</v>
      </c>
      <c r="G68" s="152"/>
      <c r="H68" s="152">
        <v>100000000</v>
      </c>
    </row>
    <row r="69" spans="1:8" ht="14.4" customHeight="1" x14ac:dyDescent="0.3">
      <c r="A69" s="70">
        <v>68</v>
      </c>
      <c r="B69" s="150" t="s">
        <v>142</v>
      </c>
      <c r="C69" s="151" t="s">
        <v>143</v>
      </c>
      <c r="D69" s="151">
        <v>0</v>
      </c>
      <c r="E69" s="152">
        <v>4250000000</v>
      </c>
      <c r="F69" s="152">
        <v>750000000</v>
      </c>
      <c r="G69" s="152"/>
      <c r="H69" s="152">
        <v>200000000</v>
      </c>
    </row>
    <row r="70" spans="1:8" ht="14.4" customHeight="1" x14ac:dyDescent="0.3">
      <c r="A70" s="70">
        <v>69</v>
      </c>
      <c r="B70" s="150" t="s">
        <v>138</v>
      </c>
      <c r="C70" s="151" t="s">
        <v>144</v>
      </c>
      <c r="D70" s="151">
        <v>0</v>
      </c>
      <c r="E70" s="152"/>
      <c r="F70" s="152">
        <v>500000000</v>
      </c>
      <c r="G70" s="152"/>
      <c r="H70" s="152">
        <v>175000000</v>
      </c>
    </row>
    <row r="71" spans="1:8" ht="14.4" customHeight="1" x14ac:dyDescent="0.3">
      <c r="A71" s="70">
        <v>70</v>
      </c>
      <c r="B71" s="150" t="s">
        <v>145</v>
      </c>
      <c r="C71" s="151" t="s">
        <v>146</v>
      </c>
      <c r="D71" s="151">
        <v>0</v>
      </c>
      <c r="E71" s="152">
        <v>50000000</v>
      </c>
      <c r="F71" s="152">
        <v>500000000</v>
      </c>
      <c r="G71" s="152">
        <v>4000000000</v>
      </c>
      <c r="H71" s="152">
        <v>175000000</v>
      </c>
    </row>
    <row r="72" spans="1:8" ht="14.4" customHeight="1" x14ac:dyDescent="0.3">
      <c r="A72" s="70">
        <v>71</v>
      </c>
      <c r="B72" s="150" t="s">
        <v>147</v>
      </c>
      <c r="C72" s="151" t="s">
        <v>148</v>
      </c>
      <c r="D72" s="151">
        <v>0</v>
      </c>
      <c r="E72" s="152">
        <v>4250000000</v>
      </c>
      <c r="F72" s="152">
        <v>998636875</v>
      </c>
      <c r="G72" s="152"/>
      <c r="H72" s="152">
        <v>175000000</v>
      </c>
    </row>
    <row r="73" spans="1:8" ht="14.4" customHeight="1" x14ac:dyDescent="0.3">
      <c r="A73" s="70">
        <v>72</v>
      </c>
      <c r="B73" s="150" t="s">
        <v>149</v>
      </c>
      <c r="C73" s="151" t="s">
        <v>150</v>
      </c>
      <c r="D73" s="151">
        <v>0</v>
      </c>
      <c r="E73" s="152">
        <v>4250000000</v>
      </c>
      <c r="F73" s="152">
        <v>1999375000</v>
      </c>
      <c r="G73" s="152"/>
      <c r="H73" s="152">
        <v>100000000</v>
      </c>
    </row>
    <row r="74" spans="1:8" ht="14.4" customHeight="1" x14ac:dyDescent="0.3">
      <c r="A74" s="70">
        <v>73</v>
      </c>
      <c r="B74" s="150" t="s">
        <v>151</v>
      </c>
      <c r="C74" s="151" t="s">
        <v>152</v>
      </c>
      <c r="D74" s="151">
        <v>0</v>
      </c>
      <c r="E74" s="152">
        <v>4250000000</v>
      </c>
      <c r="F74" s="152">
        <v>998636875</v>
      </c>
      <c r="G74" s="152"/>
      <c r="H74" s="152">
        <v>175000000</v>
      </c>
    </row>
    <row r="75" spans="1:8" ht="14.4" customHeight="1" x14ac:dyDescent="0.3">
      <c r="A75" s="70">
        <v>74</v>
      </c>
      <c r="B75" s="150" t="s">
        <v>153</v>
      </c>
      <c r="C75" s="151" t="s">
        <v>154</v>
      </c>
      <c r="D75" s="151">
        <v>0</v>
      </c>
      <c r="E75" s="152">
        <v>4250000000</v>
      </c>
      <c r="F75" s="152">
        <v>1999375000</v>
      </c>
      <c r="G75" s="152"/>
      <c r="H75" s="152">
        <v>300000000</v>
      </c>
    </row>
    <row r="76" spans="1:8" ht="14.4" customHeight="1" x14ac:dyDescent="0.3">
      <c r="A76" s="70">
        <v>75</v>
      </c>
      <c r="B76" s="150" t="s">
        <v>155</v>
      </c>
      <c r="C76" s="151" t="s">
        <v>156</v>
      </c>
      <c r="D76" s="151">
        <v>0</v>
      </c>
      <c r="E76" s="152">
        <v>0</v>
      </c>
      <c r="F76" s="152">
        <v>65000000000</v>
      </c>
      <c r="G76" s="152">
        <v>45000000000</v>
      </c>
      <c r="H76" s="152">
        <v>60000000</v>
      </c>
    </row>
    <row r="77" spans="1:8" ht="14.4" customHeight="1" x14ac:dyDescent="0.3">
      <c r="A77" s="70">
        <v>76</v>
      </c>
      <c r="B77" s="150" t="s">
        <v>157</v>
      </c>
      <c r="C77" s="151" t="s">
        <v>158</v>
      </c>
      <c r="D77" s="151">
        <v>0</v>
      </c>
      <c r="E77" s="152">
        <v>0</v>
      </c>
      <c r="F77" s="152">
        <v>24000000000</v>
      </c>
      <c r="G77" s="152">
        <v>21000000000</v>
      </c>
      <c r="H77" s="152">
        <v>40000000</v>
      </c>
    </row>
    <row r="78" spans="1:8" ht="14.4" customHeight="1" x14ac:dyDescent="0.3">
      <c r="A78" s="70">
        <v>77</v>
      </c>
      <c r="B78" s="150" t="s">
        <v>159</v>
      </c>
      <c r="C78" s="151" t="s">
        <v>160</v>
      </c>
      <c r="D78" s="151"/>
      <c r="E78" s="152"/>
      <c r="F78" s="152">
        <v>1043000000</v>
      </c>
      <c r="G78" s="152">
        <v>2508000000</v>
      </c>
      <c r="H78" s="152">
        <v>60000000</v>
      </c>
    </row>
    <row r="79" spans="1:8" ht="14.4" customHeight="1" x14ac:dyDescent="0.3">
      <c r="A79" s="70">
        <v>78</v>
      </c>
      <c r="B79" s="150" t="s">
        <v>161</v>
      </c>
      <c r="C79" s="151" t="s">
        <v>162</v>
      </c>
      <c r="D79" s="151"/>
      <c r="E79" s="152"/>
      <c r="F79" s="152">
        <v>1156000000</v>
      </c>
      <c r="G79" s="152">
        <v>1578000000</v>
      </c>
      <c r="H79" s="152">
        <v>30000000</v>
      </c>
    </row>
    <row r="80" spans="1:8" ht="14.4" customHeight="1" x14ac:dyDescent="0.3">
      <c r="A80" s="70">
        <v>79</v>
      </c>
      <c r="B80" s="150" t="s">
        <v>163</v>
      </c>
      <c r="C80" s="151" t="s">
        <v>164</v>
      </c>
      <c r="D80" s="151"/>
      <c r="E80" s="152">
        <v>110000000</v>
      </c>
      <c r="F80" s="152">
        <v>175000000</v>
      </c>
      <c r="G80" s="152"/>
      <c r="H80" s="152">
        <v>75000000</v>
      </c>
    </row>
    <row r="81" spans="1:8" ht="14.4" customHeight="1" x14ac:dyDescent="0.3">
      <c r="A81" s="70">
        <v>80</v>
      </c>
      <c r="B81" s="150" t="s">
        <v>165</v>
      </c>
      <c r="C81" s="151" t="s">
        <v>166</v>
      </c>
      <c r="D81" s="151"/>
      <c r="E81" s="152">
        <v>2000000000</v>
      </c>
      <c r="F81" s="152">
        <v>875000000</v>
      </c>
      <c r="G81" s="152"/>
      <c r="H81" s="152">
        <v>100000000</v>
      </c>
    </row>
    <row r="82" spans="1:8" ht="14.4" customHeight="1" x14ac:dyDescent="0.3">
      <c r="A82" s="70">
        <v>81</v>
      </c>
      <c r="B82" s="150" t="s">
        <v>167</v>
      </c>
      <c r="C82" s="151" t="s">
        <v>168</v>
      </c>
      <c r="D82" s="151"/>
      <c r="E82" s="152">
        <v>2000000000</v>
      </c>
      <c r="F82" s="152">
        <v>875000000</v>
      </c>
      <c r="G82" s="152"/>
      <c r="H82" s="152">
        <v>125000000</v>
      </c>
    </row>
    <row r="83" spans="1:8" ht="14.4" customHeight="1" x14ac:dyDescent="0.3">
      <c r="A83" s="70">
        <v>82</v>
      </c>
      <c r="B83" s="150" t="s">
        <v>169</v>
      </c>
      <c r="C83" s="151" t="s">
        <v>170</v>
      </c>
      <c r="D83" s="151"/>
      <c r="E83" s="152">
        <v>1200000000</v>
      </c>
      <c r="F83" s="152">
        <v>600000000</v>
      </c>
      <c r="G83" s="152"/>
      <c r="H83" s="152">
        <v>50000000</v>
      </c>
    </row>
    <row r="84" spans="1:8" ht="14.4" customHeight="1" x14ac:dyDescent="0.3">
      <c r="A84" s="70">
        <v>83</v>
      </c>
      <c r="B84" s="150" t="s">
        <v>171</v>
      </c>
      <c r="C84" s="151" t="s">
        <v>172</v>
      </c>
      <c r="D84" s="151"/>
      <c r="E84" s="152">
        <v>1800000000</v>
      </c>
      <c r="F84" s="152">
        <v>200000000</v>
      </c>
      <c r="G84" s="152"/>
      <c r="H84" s="152">
        <v>200000000</v>
      </c>
    </row>
    <row r="85" spans="1:8" ht="14.4" customHeight="1" x14ac:dyDescent="0.3">
      <c r="A85" s="70">
        <v>84</v>
      </c>
      <c r="B85" s="150" t="s">
        <v>173</v>
      </c>
      <c r="C85" s="151" t="s">
        <v>174</v>
      </c>
      <c r="D85" s="151"/>
      <c r="E85" s="152">
        <v>1200000000</v>
      </c>
      <c r="F85" s="152">
        <v>600000000</v>
      </c>
      <c r="G85" s="152"/>
      <c r="H85" s="152">
        <v>75000000</v>
      </c>
    </row>
    <row r="86" spans="1:8" ht="14.4" customHeight="1" x14ac:dyDescent="0.3">
      <c r="A86" s="70">
        <v>85</v>
      </c>
      <c r="B86" s="150" t="s">
        <v>175</v>
      </c>
      <c r="C86" s="151" t="s">
        <v>176</v>
      </c>
      <c r="D86" s="151"/>
      <c r="E86" s="152">
        <v>0</v>
      </c>
      <c r="F86" s="152">
        <v>1920000000</v>
      </c>
      <c r="G86" s="152">
        <v>5987000000</v>
      </c>
      <c r="H86" s="152">
        <v>105000000</v>
      </c>
    </row>
    <row r="87" spans="1:8" ht="14.4" customHeight="1" x14ac:dyDescent="0.3">
      <c r="A87" s="70">
        <v>86</v>
      </c>
      <c r="B87" s="150" t="s">
        <v>177</v>
      </c>
      <c r="C87" s="151" t="s">
        <v>178</v>
      </c>
      <c r="D87" s="151"/>
      <c r="E87" s="152"/>
      <c r="F87" s="152">
        <v>1516000000</v>
      </c>
      <c r="G87" s="152">
        <v>3700000000</v>
      </c>
      <c r="H87" s="152">
        <v>120000000</v>
      </c>
    </row>
    <row r="88" spans="1:8" ht="14.4" customHeight="1" x14ac:dyDescent="0.3">
      <c r="A88" s="70">
        <v>87</v>
      </c>
      <c r="B88" s="150" t="s">
        <v>179</v>
      </c>
      <c r="C88" s="151" t="s">
        <v>180</v>
      </c>
      <c r="D88" s="151"/>
      <c r="E88" s="152">
        <v>4495000000</v>
      </c>
      <c r="F88" s="152">
        <v>2295000000</v>
      </c>
      <c r="G88" s="152"/>
      <c r="H88" s="152">
        <v>170000000</v>
      </c>
    </row>
    <row r="89" spans="1:8" ht="14.4" customHeight="1" x14ac:dyDescent="0.3">
      <c r="A89" s="70">
        <v>88</v>
      </c>
      <c r="B89" s="150" t="s">
        <v>181</v>
      </c>
      <c r="C89" s="151" t="s">
        <v>182</v>
      </c>
      <c r="D89" s="151"/>
      <c r="E89" s="152">
        <v>2500000000</v>
      </c>
      <c r="F89" s="152">
        <v>1995000000</v>
      </c>
      <c r="G89" s="152"/>
      <c r="H89" s="152">
        <v>105000000</v>
      </c>
    </row>
    <row r="90" spans="1:8" ht="14.4" customHeight="1" x14ac:dyDescent="0.3">
      <c r="A90" s="70">
        <v>89</v>
      </c>
      <c r="B90" s="150" t="s">
        <v>183</v>
      </c>
      <c r="C90" s="151" t="s">
        <v>184</v>
      </c>
      <c r="D90" s="151"/>
      <c r="E90" s="152"/>
      <c r="F90" s="152">
        <v>1920000000</v>
      </c>
      <c r="G90" s="152">
        <v>5987000000</v>
      </c>
      <c r="H90" s="152">
        <v>105000000</v>
      </c>
    </row>
    <row r="91" spans="1:8" ht="14.4" customHeight="1" x14ac:dyDescent="0.3">
      <c r="A91" s="70">
        <v>90</v>
      </c>
      <c r="B91" s="150" t="s">
        <v>185</v>
      </c>
      <c r="C91" s="151" t="s">
        <v>186</v>
      </c>
      <c r="D91" s="151"/>
      <c r="E91" s="152"/>
      <c r="F91" s="152">
        <v>1516000000</v>
      </c>
      <c r="G91" s="152">
        <v>3700000000</v>
      </c>
      <c r="H91" s="152">
        <v>120000000</v>
      </c>
    </row>
    <row r="92" spans="1:8" ht="14.4" customHeight="1" x14ac:dyDescent="0.3">
      <c r="A92" s="70">
        <v>91</v>
      </c>
      <c r="B92" s="150" t="s">
        <v>187</v>
      </c>
      <c r="C92" s="151" t="s">
        <v>188</v>
      </c>
      <c r="D92" s="151"/>
      <c r="E92" s="152">
        <v>4495000000</v>
      </c>
      <c r="F92" s="152">
        <v>2295000000</v>
      </c>
      <c r="G92" s="152"/>
      <c r="H92" s="152">
        <v>170000000</v>
      </c>
    </row>
    <row r="93" spans="1:8" ht="14.4" customHeight="1" x14ac:dyDescent="0.3">
      <c r="A93" s="70">
        <v>92</v>
      </c>
      <c r="B93" s="150" t="s">
        <v>189</v>
      </c>
      <c r="C93" s="151" t="s">
        <v>190</v>
      </c>
      <c r="D93" s="151"/>
      <c r="E93" s="152">
        <v>2500000000</v>
      </c>
      <c r="F93" s="152">
        <v>1995000000</v>
      </c>
      <c r="G93" s="152"/>
      <c r="H93" s="152">
        <v>105000000</v>
      </c>
    </row>
    <row r="94" spans="1:8" ht="14.4" customHeight="1" x14ac:dyDescent="0.3">
      <c r="A94" s="70">
        <v>93</v>
      </c>
      <c r="B94" s="150" t="s">
        <v>191</v>
      </c>
      <c r="C94" s="151" t="s">
        <v>192</v>
      </c>
      <c r="D94" s="151"/>
      <c r="E94" s="152">
        <v>4576000000</v>
      </c>
      <c r="F94" s="152">
        <v>1507000000</v>
      </c>
      <c r="G94" s="152"/>
      <c r="H94" s="152">
        <v>75000000</v>
      </c>
    </row>
    <row r="95" spans="1:8" ht="14.4" customHeight="1" x14ac:dyDescent="0.3">
      <c r="A95" s="70">
        <v>94</v>
      </c>
      <c r="B95" s="150" t="s">
        <v>193</v>
      </c>
      <c r="C95" s="151" t="s">
        <v>194</v>
      </c>
      <c r="D95" s="151"/>
      <c r="E95" s="152">
        <v>4055000000</v>
      </c>
      <c r="F95" s="152">
        <v>1597000000</v>
      </c>
      <c r="G95" s="152"/>
      <c r="H95" s="152">
        <v>125000000</v>
      </c>
    </row>
    <row r="96" spans="1:8" ht="14.4" customHeight="1" x14ac:dyDescent="0.3">
      <c r="A96" s="70">
        <v>95</v>
      </c>
      <c r="B96" s="150" t="s">
        <v>195</v>
      </c>
      <c r="C96" s="151" t="s">
        <v>196</v>
      </c>
      <c r="D96" s="151">
        <v>0</v>
      </c>
      <c r="E96" s="152">
        <v>2095000000</v>
      </c>
      <c r="F96" s="152">
        <v>320000000</v>
      </c>
      <c r="G96" s="152"/>
      <c r="H96" s="152">
        <v>150000000</v>
      </c>
    </row>
    <row r="97" spans="1:8" ht="14.4" customHeight="1" x14ac:dyDescent="0.3">
      <c r="A97" s="70">
        <v>96</v>
      </c>
      <c r="B97" s="150" t="s">
        <v>197</v>
      </c>
      <c r="C97" s="151" t="s">
        <v>198</v>
      </c>
      <c r="D97" s="151">
        <v>0</v>
      </c>
      <c r="E97" s="152">
        <v>0</v>
      </c>
      <c r="F97" s="152">
        <v>734000000</v>
      </c>
      <c r="G97" s="152">
        <v>6139000000</v>
      </c>
      <c r="H97" s="152">
        <v>90000000</v>
      </c>
    </row>
    <row r="98" spans="1:8" ht="14.4" customHeight="1" x14ac:dyDescent="0.3">
      <c r="A98" s="70">
        <v>97</v>
      </c>
      <c r="B98" s="150" t="s">
        <v>199</v>
      </c>
      <c r="C98" s="151" t="s">
        <v>200</v>
      </c>
      <c r="D98" s="151">
        <v>0</v>
      </c>
      <c r="E98" s="152">
        <v>0</v>
      </c>
      <c r="F98" s="152">
        <v>392000000</v>
      </c>
      <c r="G98" s="152">
        <v>6935000000</v>
      </c>
      <c r="H98" s="152">
        <v>90000000</v>
      </c>
    </row>
    <row r="99" spans="1:8" ht="14.4" customHeight="1" x14ac:dyDescent="0.3">
      <c r="A99" s="70">
        <v>98</v>
      </c>
      <c r="B99" s="150" t="s">
        <v>201</v>
      </c>
      <c r="C99" s="151" t="s">
        <v>202</v>
      </c>
      <c r="D99" s="151">
        <v>0</v>
      </c>
      <c r="E99" s="152">
        <v>275000000</v>
      </c>
      <c r="F99" s="152">
        <v>125000000</v>
      </c>
      <c r="G99" s="152"/>
      <c r="H99" s="152">
        <v>110000000</v>
      </c>
    </row>
    <row r="100" spans="1:8" ht="14.4" customHeight="1" x14ac:dyDescent="0.3">
      <c r="A100" s="70">
        <v>99</v>
      </c>
      <c r="B100" s="150" t="s">
        <v>203</v>
      </c>
      <c r="C100" s="151" t="s">
        <v>204</v>
      </c>
      <c r="D100" s="151">
        <v>0</v>
      </c>
      <c r="E100" s="152">
        <v>400000000</v>
      </c>
      <c r="F100" s="152">
        <v>225000000</v>
      </c>
      <c r="G100" s="152"/>
      <c r="H100" s="152">
        <v>200000000</v>
      </c>
    </row>
    <row r="101" spans="1:8" ht="14.4" customHeight="1" x14ac:dyDescent="0.3">
      <c r="A101" s="70">
        <v>100</v>
      </c>
      <c r="B101" s="150" t="s">
        <v>205</v>
      </c>
      <c r="C101" s="151" t="s">
        <v>206</v>
      </c>
      <c r="D101" s="151"/>
      <c r="E101" s="152">
        <v>0</v>
      </c>
      <c r="F101" s="152">
        <v>185000000</v>
      </c>
      <c r="G101" s="152">
        <v>433000000</v>
      </c>
      <c r="H101" s="152">
        <v>200000000</v>
      </c>
    </row>
    <row r="102" spans="1:8" ht="14.4" customHeight="1" x14ac:dyDescent="0.3">
      <c r="A102" s="70">
        <v>101</v>
      </c>
      <c r="B102" s="150" t="s">
        <v>207</v>
      </c>
      <c r="C102" s="151" t="s">
        <v>208</v>
      </c>
      <c r="D102" s="151"/>
      <c r="E102" s="152"/>
      <c r="F102" s="152">
        <v>100000000</v>
      </c>
      <c r="G102" s="152">
        <v>490000000</v>
      </c>
      <c r="H102" s="152">
        <v>100000000</v>
      </c>
    </row>
    <row r="103" spans="1:8" ht="14.4" customHeight="1" x14ac:dyDescent="0.3">
      <c r="A103" s="70">
        <v>102</v>
      </c>
      <c r="B103" s="150" t="s">
        <v>209</v>
      </c>
      <c r="C103" s="151" t="s">
        <v>210</v>
      </c>
      <c r="D103" s="151">
        <v>57000000</v>
      </c>
      <c r="E103" s="152"/>
      <c r="F103" s="152">
        <v>51000000</v>
      </c>
      <c r="G103" s="152">
        <v>57000000</v>
      </c>
      <c r="H103" s="152">
        <v>50000000</v>
      </c>
    </row>
    <row r="104" spans="1:8" ht="14.4" customHeight="1" x14ac:dyDescent="0.3">
      <c r="A104" s="70">
        <v>103</v>
      </c>
      <c r="B104" s="150" t="s">
        <v>211</v>
      </c>
      <c r="C104" s="151" t="s">
        <v>212</v>
      </c>
      <c r="D104" s="151"/>
      <c r="E104" s="152">
        <v>200000000</v>
      </c>
      <c r="F104" s="152">
        <v>240000000</v>
      </c>
      <c r="G104" s="152"/>
      <c r="H104" s="152">
        <v>125000000</v>
      </c>
    </row>
    <row r="105" spans="1:8" ht="14.4" customHeight="1" x14ac:dyDescent="0.3">
      <c r="A105" s="70">
        <v>104</v>
      </c>
      <c r="B105" s="150" t="s">
        <v>213</v>
      </c>
      <c r="C105" s="151" t="s">
        <v>214</v>
      </c>
      <c r="D105" s="151">
        <v>0</v>
      </c>
      <c r="E105" s="152">
        <v>0</v>
      </c>
      <c r="F105" s="152">
        <v>250000000</v>
      </c>
      <c r="G105" s="152"/>
      <c r="H105" s="152">
        <v>100000000</v>
      </c>
    </row>
    <row r="106" spans="1:8" ht="14.4" customHeight="1" x14ac:dyDescent="0.3">
      <c r="A106" s="70">
        <v>105</v>
      </c>
      <c r="B106" s="150" t="s">
        <v>215</v>
      </c>
      <c r="C106" s="151" t="s">
        <v>216</v>
      </c>
      <c r="D106" s="151"/>
      <c r="E106" s="152">
        <v>355000000</v>
      </c>
      <c r="F106" s="152">
        <v>250000000</v>
      </c>
      <c r="G106" s="152"/>
      <c r="H106" s="152">
        <v>200000000</v>
      </c>
    </row>
    <row r="107" spans="1:8" ht="14.4" customHeight="1" x14ac:dyDescent="0.3">
      <c r="A107" s="70">
        <v>106</v>
      </c>
      <c r="B107" s="150" t="s">
        <v>217</v>
      </c>
      <c r="C107" s="151" t="s">
        <v>218</v>
      </c>
      <c r="D107" s="151">
        <v>0</v>
      </c>
      <c r="E107" s="152">
        <v>1500000000</v>
      </c>
      <c r="F107" s="152">
        <v>150000000</v>
      </c>
      <c r="G107" s="152"/>
      <c r="H107" s="152">
        <v>150000000</v>
      </c>
    </row>
    <row r="108" spans="1:8" ht="14.4" customHeight="1" x14ac:dyDescent="0.3">
      <c r="A108" s="70">
        <v>107</v>
      </c>
      <c r="B108" s="150" t="s">
        <v>219</v>
      </c>
      <c r="C108" s="151" t="s">
        <v>220</v>
      </c>
      <c r="D108" s="151">
        <v>0</v>
      </c>
      <c r="E108" s="152">
        <v>525000000</v>
      </c>
      <c r="F108" s="152">
        <v>125000000</v>
      </c>
      <c r="G108" s="152"/>
      <c r="H108" s="152">
        <v>50000000</v>
      </c>
    </row>
    <row r="109" spans="1:8" ht="14.4" customHeight="1" x14ac:dyDescent="0.3">
      <c r="A109" s="70">
        <v>108</v>
      </c>
      <c r="B109" s="150" t="s">
        <v>221</v>
      </c>
      <c r="C109" s="151" t="s">
        <v>222</v>
      </c>
      <c r="D109" s="151">
        <v>0</v>
      </c>
      <c r="E109" s="152">
        <v>900000000</v>
      </c>
      <c r="F109" s="152">
        <v>400000000</v>
      </c>
      <c r="G109" s="152"/>
      <c r="H109" s="152">
        <v>215000000</v>
      </c>
    </row>
    <row r="110" spans="1:8" ht="14.4" customHeight="1" x14ac:dyDescent="0.3">
      <c r="A110" s="70">
        <v>109</v>
      </c>
      <c r="B110" s="150" t="s">
        <v>223</v>
      </c>
      <c r="C110" s="151" t="s">
        <v>224</v>
      </c>
      <c r="D110" s="151">
        <v>0</v>
      </c>
      <c r="E110" s="152">
        <v>650000000</v>
      </c>
      <c r="F110" s="152">
        <v>250000000</v>
      </c>
      <c r="G110" s="152"/>
      <c r="H110" s="152">
        <v>130000000</v>
      </c>
    </row>
    <row r="111" spans="1:8" ht="14.4" customHeight="1" x14ac:dyDescent="0.3">
      <c r="A111" s="70">
        <v>110</v>
      </c>
      <c r="B111" s="150" t="s">
        <v>225</v>
      </c>
      <c r="C111" s="151" t="s">
        <v>226</v>
      </c>
      <c r="D111" s="151">
        <v>0</v>
      </c>
      <c r="E111" s="152">
        <v>325000000</v>
      </c>
      <c r="F111" s="152">
        <v>200000000</v>
      </c>
      <c r="G111" s="152"/>
      <c r="H111" s="152">
        <v>75000000</v>
      </c>
    </row>
    <row r="112" spans="1:8" ht="14.4" customHeight="1" x14ac:dyDescent="0.3">
      <c r="A112" s="70">
        <v>111</v>
      </c>
      <c r="B112" s="150" t="s">
        <v>227</v>
      </c>
      <c r="C112" s="151" t="s">
        <v>228</v>
      </c>
      <c r="D112" s="151">
        <v>0</v>
      </c>
      <c r="E112" s="152">
        <v>1300000000</v>
      </c>
      <c r="F112" s="152">
        <v>200000000</v>
      </c>
      <c r="G112" s="152"/>
      <c r="H112" s="152">
        <v>150000000</v>
      </c>
    </row>
    <row r="113" spans="1:8" ht="14.4" customHeight="1" x14ac:dyDescent="0.3">
      <c r="A113" s="70">
        <v>112</v>
      </c>
      <c r="B113" s="150" t="s">
        <v>229</v>
      </c>
      <c r="C113" s="151" t="s">
        <v>230</v>
      </c>
      <c r="D113" s="151">
        <v>0</v>
      </c>
      <c r="E113" s="152">
        <v>650000000</v>
      </c>
      <c r="F113" s="152">
        <v>650000000</v>
      </c>
      <c r="G113" s="152"/>
      <c r="H113" s="152">
        <v>200000000</v>
      </c>
    </row>
    <row r="114" spans="1:8" ht="14.4" customHeight="1" x14ac:dyDescent="0.3">
      <c r="A114" s="70">
        <v>113</v>
      </c>
      <c r="B114" s="150" t="s">
        <v>231</v>
      </c>
      <c r="C114" s="151" t="s">
        <v>232</v>
      </c>
      <c r="D114" s="151">
        <v>0</v>
      </c>
      <c r="E114" s="152">
        <v>325000000</v>
      </c>
      <c r="F114" s="152">
        <v>325000000</v>
      </c>
      <c r="G114" s="152"/>
      <c r="H114" s="152">
        <v>175000000</v>
      </c>
    </row>
    <row r="115" spans="1:8" ht="14.4" customHeight="1" x14ac:dyDescent="0.3">
      <c r="A115" s="70">
        <v>114</v>
      </c>
      <c r="B115" s="150" t="s">
        <v>233</v>
      </c>
      <c r="C115" s="151" t="s">
        <v>234</v>
      </c>
      <c r="D115" s="151"/>
      <c r="E115" s="152"/>
      <c r="F115" s="152">
        <v>125000000</v>
      </c>
      <c r="G115" s="152">
        <v>310000000</v>
      </c>
      <c r="H115" s="152">
        <v>125000000</v>
      </c>
    </row>
    <row r="116" spans="1:8" ht="14.4" customHeight="1" x14ac:dyDescent="0.3">
      <c r="A116" s="70">
        <v>115</v>
      </c>
      <c r="B116" s="150" t="s">
        <v>235</v>
      </c>
      <c r="C116" s="151" t="s">
        <v>236</v>
      </c>
      <c r="D116" s="151">
        <v>0</v>
      </c>
      <c r="E116" s="152">
        <v>0</v>
      </c>
      <c r="F116" s="152">
        <v>225000000</v>
      </c>
      <c r="G116" s="152"/>
      <c r="H116" s="152">
        <v>225000000</v>
      </c>
    </row>
    <row r="117" spans="1:8" ht="14.4" customHeight="1" x14ac:dyDescent="0.3">
      <c r="A117" s="70">
        <v>116</v>
      </c>
      <c r="B117" s="150" t="s">
        <v>237</v>
      </c>
      <c r="C117" s="150" t="s">
        <v>238</v>
      </c>
      <c r="D117" s="151">
        <v>0</v>
      </c>
      <c r="E117" s="152">
        <v>0</v>
      </c>
      <c r="F117" s="152">
        <v>70000000</v>
      </c>
      <c r="G117" s="152"/>
      <c r="H117" s="152">
        <v>70000000</v>
      </c>
    </row>
    <row r="118" spans="1:8" ht="14.4" customHeight="1" x14ac:dyDescent="0.3">
      <c r="A118" s="70">
        <v>117</v>
      </c>
      <c r="B118" s="150" t="s">
        <v>239</v>
      </c>
      <c r="C118" s="150" t="s">
        <v>240</v>
      </c>
      <c r="D118" s="151">
        <v>0</v>
      </c>
      <c r="E118" s="152">
        <v>0</v>
      </c>
      <c r="F118" s="152">
        <v>125000000</v>
      </c>
      <c r="G118" s="152"/>
      <c r="H118" s="152">
        <v>125000000</v>
      </c>
    </row>
    <row r="119" spans="1:8" ht="14.4" customHeight="1" x14ac:dyDescent="0.3">
      <c r="A119" s="70">
        <v>118</v>
      </c>
      <c r="B119" s="150" t="s">
        <v>241</v>
      </c>
      <c r="C119" s="150" t="s">
        <v>242</v>
      </c>
      <c r="D119" s="151">
        <v>0</v>
      </c>
      <c r="E119" s="152">
        <v>0</v>
      </c>
      <c r="F119" s="152">
        <v>175000000</v>
      </c>
      <c r="G119" s="152"/>
      <c r="H119" s="152">
        <v>175000000</v>
      </c>
    </row>
    <row r="120" spans="1:8" ht="14.4" customHeight="1" x14ac:dyDescent="0.3">
      <c r="A120" s="70">
        <v>119</v>
      </c>
      <c r="B120" s="150" t="s">
        <v>243</v>
      </c>
      <c r="C120" s="150" t="s">
        <v>244</v>
      </c>
      <c r="D120" s="151"/>
      <c r="E120" s="152">
        <v>697000000</v>
      </c>
      <c r="F120" s="152">
        <v>77000000</v>
      </c>
      <c r="G120" s="152"/>
      <c r="H120" s="152">
        <v>80000000</v>
      </c>
    </row>
    <row r="121" spans="1:8" ht="14.4" customHeight="1" x14ac:dyDescent="0.3">
      <c r="A121" s="70">
        <v>120</v>
      </c>
      <c r="B121" s="150" t="s">
        <v>245</v>
      </c>
      <c r="C121" s="150" t="s">
        <v>246</v>
      </c>
      <c r="D121" s="151"/>
      <c r="E121" s="152">
        <v>174000000</v>
      </c>
      <c r="F121" s="152">
        <v>80000000</v>
      </c>
      <c r="G121" s="152"/>
      <c r="H121" s="152">
        <v>60000000</v>
      </c>
    </row>
    <row r="122" spans="1:8" ht="14.4" customHeight="1" x14ac:dyDescent="0.3">
      <c r="A122" s="70">
        <v>121</v>
      </c>
      <c r="B122" s="150" t="s">
        <v>247</v>
      </c>
      <c r="C122" s="150" t="s">
        <v>248</v>
      </c>
      <c r="D122" s="151">
        <v>0</v>
      </c>
      <c r="E122" s="152"/>
      <c r="F122" s="152">
        <v>10000000000</v>
      </c>
      <c r="G122" s="152"/>
      <c r="H122" s="152">
        <v>150000000</v>
      </c>
    </row>
    <row r="123" spans="1:8" ht="14.4" customHeight="1" x14ac:dyDescent="0.3">
      <c r="A123" s="70">
        <v>122</v>
      </c>
      <c r="B123" s="150" t="s">
        <v>249</v>
      </c>
      <c r="C123" s="150" t="s">
        <v>250</v>
      </c>
      <c r="D123" s="151"/>
      <c r="E123" s="152">
        <v>100000000</v>
      </c>
      <c r="F123" s="152">
        <v>100000000</v>
      </c>
      <c r="G123" s="152"/>
      <c r="H123" s="152">
        <v>100000000</v>
      </c>
    </row>
    <row r="124" spans="1:8" ht="14.4" customHeight="1" x14ac:dyDescent="0.3">
      <c r="A124" s="70">
        <v>123</v>
      </c>
      <c r="B124" s="150" t="s">
        <v>251</v>
      </c>
      <c r="C124" s="150" t="s">
        <v>252</v>
      </c>
      <c r="D124" s="151">
        <v>0</v>
      </c>
      <c r="E124" s="152"/>
      <c r="F124" s="152">
        <v>145000000</v>
      </c>
      <c r="G124" s="152">
        <v>175000000</v>
      </c>
      <c r="H124" s="152">
        <v>145000000</v>
      </c>
    </row>
    <row r="125" spans="1:8" ht="14.4" customHeight="1" x14ac:dyDescent="0.3">
      <c r="A125" s="70">
        <v>124</v>
      </c>
      <c r="B125" s="150" t="s">
        <v>253</v>
      </c>
      <c r="C125" s="150" t="s">
        <v>254</v>
      </c>
      <c r="D125" s="151"/>
      <c r="E125" s="152">
        <v>1225000000</v>
      </c>
      <c r="F125" s="152">
        <v>100000000</v>
      </c>
      <c r="G125" s="152"/>
      <c r="H125" s="152">
        <v>75000000</v>
      </c>
    </row>
    <row r="126" spans="1:8" ht="14.4" customHeight="1" x14ac:dyDescent="0.3">
      <c r="A126" s="70">
        <v>125</v>
      </c>
      <c r="B126" s="150" t="s">
        <v>255</v>
      </c>
      <c r="C126" s="150" t="s">
        <v>256</v>
      </c>
      <c r="D126" s="151"/>
      <c r="E126" s="152">
        <v>325000000</v>
      </c>
      <c r="F126" s="152">
        <v>100000000</v>
      </c>
      <c r="G126" s="152"/>
      <c r="H126" s="152">
        <v>75000000</v>
      </c>
    </row>
    <row r="127" spans="1:8" ht="14.4" customHeight="1" x14ac:dyDescent="0.3">
      <c r="A127" s="70">
        <v>126</v>
      </c>
      <c r="B127" s="150" t="s">
        <v>257</v>
      </c>
      <c r="C127" s="150" t="s">
        <v>258</v>
      </c>
      <c r="D127" s="151"/>
      <c r="E127" s="152">
        <v>1000000000</v>
      </c>
      <c r="F127" s="152">
        <v>225000000</v>
      </c>
      <c r="G127" s="152"/>
      <c r="H127" s="152">
        <v>175000000</v>
      </c>
    </row>
    <row r="128" spans="1:8" ht="14.4" customHeight="1" x14ac:dyDescent="0.3">
      <c r="A128" s="70">
        <v>127</v>
      </c>
      <c r="B128" s="150" t="s">
        <v>259</v>
      </c>
      <c r="C128" s="150" t="s">
        <v>260</v>
      </c>
      <c r="D128" s="151"/>
      <c r="E128" s="152">
        <v>700000000</v>
      </c>
      <c r="F128" s="152">
        <v>300000000</v>
      </c>
      <c r="G128" s="152"/>
      <c r="H128" s="152">
        <v>300000000</v>
      </c>
    </row>
    <row r="129" spans="1:8" ht="14.4" customHeight="1" x14ac:dyDescent="0.3">
      <c r="A129" s="70">
        <v>128</v>
      </c>
      <c r="B129" s="150" t="s">
        <v>261</v>
      </c>
      <c r="C129" s="150" t="s">
        <v>262</v>
      </c>
      <c r="D129" s="151"/>
      <c r="E129" s="152">
        <v>425000000</v>
      </c>
      <c r="F129" s="152">
        <v>150000000</v>
      </c>
      <c r="G129" s="152"/>
      <c r="H129" s="152">
        <v>150000000</v>
      </c>
    </row>
    <row r="130" spans="1:8" ht="14.4" customHeight="1" x14ac:dyDescent="0.3">
      <c r="A130" s="70">
        <v>129</v>
      </c>
      <c r="B130" s="150" t="s">
        <v>263</v>
      </c>
      <c r="C130" s="150" t="s">
        <v>264</v>
      </c>
      <c r="D130" s="151"/>
      <c r="E130" s="152"/>
      <c r="F130" s="152">
        <v>600000000</v>
      </c>
      <c r="G130" s="152">
        <v>800000000</v>
      </c>
      <c r="H130" s="152">
        <v>140000000</v>
      </c>
    </row>
    <row r="131" spans="1:8" ht="14.4" customHeight="1" x14ac:dyDescent="0.3">
      <c r="A131" s="70">
        <v>130</v>
      </c>
      <c r="B131" s="150" t="s">
        <v>265</v>
      </c>
      <c r="C131" s="150" t="s">
        <v>266</v>
      </c>
      <c r="D131" s="151">
        <v>0</v>
      </c>
      <c r="E131" s="152">
        <v>0</v>
      </c>
      <c r="F131" s="152">
        <v>85000000</v>
      </c>
      <c r="G131" s="152"/>
      <c r="H131" s="152">
        <v>85000000</v>
      </c>
    </row>
    <row r="132" spans="1:8" ht="14.4" customHeight="1" x14ac:dyDescent="0.3">
      <c r="A132" s="70">
        <v>131</v>
      </c>
      <c r="B132" s="150" t="s">
        <v>267</v>
      </c>
      <c r="C132" s="153" t="s">
        <v>268</v>
      </c>
      <c r="D132" s="151"/>
      <c r="E132" s="152"/>
      <c r="F132" s="152">
        <v>50000000</v>
      </c>
      <c r="G132" s="152"/>
      <c r="H132" s="152">
        <v>50000000</v>
      </c>
    </row>
    <row r="133" spans="1:8" ht="14.4" customHeight="1" x14ac:dyDescent="0.3">
      <c r="A133" s="70">
        <v>132</v>
      </c>
      <c r="B133" s="150" t="s">
        <v>269</v>
      </c>
      <c r="C133" s="150" t="s">
        <v>270</v>
      </c>
      <c r="D133" s="151"/>
      <c r="E133" s="152">
        <v>700000000</v>
      </c>
      <c r="F133" s="152">
        <v>200000000</v>
      </c>
      <c r="G133" s="152"/>
      <c r="H133" s="152">
        <v>100000000</v>
      </c>
    </row>
    <row r="134" spans="1:8" ht="14.4" customHeight="1" x14ac:dyDescent="0.3">
      <c r="A134" s="70">
        <v>133</v>
      </c>
      <c r="B134" s="150" t="s">
        <v>271</v>
      </c>
      <c r="C134" s="150" t="s">
        <v>272</v>
      </c>
      <c r="D134" s="151"/>
      <c r="E134" s="152">
        <v>290000000</v>
      </c>
      <c r="F134" s="152">
        <v>205000000</v>
      </c>
      <c r="G134" s="152"/>
      <c r="H134" s="152">
        <v>100000000</v>
      </c>
    </row>
    <row r="135" spans="1:8" ht="14.4" customHeight="1" x14ac:dyDescent="0.3">
      <c r="A135" s="70">
        <v>134</v>
      </c>
      <c r="B135" s="150" t="s">
        <v>273</v>
      </c>
      <c r="C135" s="150" t="s">
        <v>274</v>
      </c>
      <c r="D135" s="151">
        <v>0</v>
      </c>
      <c r="E135" s="152">
        <v>300000000</v>
      </c>
      <c r="F135" s="152">
        <v>250000000</v>
      </c>
      <c r="G135" s="152"/>
      <c r="H135" s="152">
        <v>120000000</v>
      </c>
    </row>
    <row r="136" spans="1:8" ht="14.4" customHeight="1" x14ac:dyDescent="0.3">
      <c r="A136" s="70">
        <v>135</v>
      </c>
      <c r="B136" s="150" t="s">
        <v>275</v>
      </c>
      <c r="C136" s="150" t="s">
        <v>276</v>
      </c>
      <c r="D136" s="151">
        <v>0</v>
      </c>
      <c r="E136" s="152">
        <v>345000000</v>
      </c>
      <c r="F136" s="152">
        <v>115000000</v>
      </c>
      <c r="G136" s="152"/>
      <c r="H136" s="152">
        <v>115000000</v>
      </c>
    </row>
    <row r="137" spans="1:8" ht="14.4" customHeight="1" x14ac:dyDescent="0.3">
      <c r="A137" s="70">
        <v>136</v>
      </c>
      <c r="B137" s="150" t="s">
        <v>277</v>
      </c>
      <c r="C137" s="150" t="s">
        <v>278</v>
      </c>
      <c r="D137" s="151"/>
      <c r="E137" s="152">
        <v>700000000</v>
      </c>
      <c r="F137" s="152">
        <v>100000000</v>
      </c>
      <c r="G137" s="152"/>
      <c r="H137" s="152">
        <v>50000000</v>
      </c>
    </row>
    <row r="138" spans="1:8" ht="14.4" customHeight="1" x14ac:dyDescent="0.3">
      <c r="A138" s="70">
        <v>137</v>
      </c>
      <c r="B138" s="150" t="s">
        <v>279</v>
      </c>
      <c r="C138" s="150" t="s">
        <v>280</v>
      </c>
      <c r="D138" s="151"/>
      <c r="E138" s="152">
        <v>560000000</v>
      </c>
      <c r="F138" s="152">
        <v>140000000</v>
      </c>
      <c r="G138" s="152"/>
      <c r="H138" s="152">
        <v>50000000</v>
      </c>
    </row>
    <row r="139" spans="1:8" ht="14.4" customHeight="1" x14ac:dyDescent="0.3">
      <c r="A139" s="70">
        <v>138</v>
      </c>
      <c r="B139" s="150" t="s">
        <v>281</v>
      </c>
      <c r="C139" s="150" t="s">
        <v>282</v>
      </c>
      <c r="D139" s="151">
        <v>0</v>
      </c>
      <c r="E139" s="152">
        <v>1000000000</v>
      </c>
      <c r="F139" s="152">
        <v>600000000</v>
      </c>
      <c r="G139" s="152"/>
      <c r="H139" s="152">
        <v>200000000</v>
      </c>
    </row>
    <row r="140" spans="1:8" ht="14.4" customHeight="1" x14ac:dyDescent="0.3">
      <c r="A140" s="70">
        <v>139</v>
      </c>
      <c r="B140" s="150" t="s">
        <v>283</v>
      </c>
      <c r="C140" s="150" t="s">
        <v>284</v>
      </c>
      <c r="D140" s="151">
        <v>0</v>
      </c>
      <c r="E140" s="152">
        <v>500000000</v>
      </c>
      <c r="F140" s="152">
        <v>500000000</v>
      </c>
      <c r="G140" s="152"/>
      <c r="H140" s="152">
        <v>200000000</v>
      </c>
    </row>
    <row r="141" spans="1:8" ht="14.4" customHeight="1" x14ac:dyDescent="0.3">
      <c r="A141" s="70">
        <v>140</v>
      </c>
      <c r="B141" s="150" t="s">
        <v>285</v>
      </c>
      <c r="C141" s="150" t="s">
        <v>286</v>
      </c>
      <c r="D141" s="151"/>
      <c r="E141" s="152">
        <v>50000000</v>
      </c>
      <c r="F141" s="152">
        <v>200000000</v>
      </c>
      <c r="G141" s="152"/>
      <c r="H141" s="152">
        <v>200000000</v>
      </c>
    </row>
    <row r="142" spans="1:8" ht="14.4" customHeight="1" x14ac:dyDescent="0.3">
      <c r="A142" s="70">
        <v>141</v>
      </c>
      <c r="B142" s="150" t="s">
        <v>287</v>
      </c>
      <c r="C142" s="150" t="s">
        <v>288</v>
      </c>
      <c r="D142" s="151">
        <v>0</v>
      </c>
      <c r="E142" s="152"/>
      <c r="F142" s="152">
        <v>600000000</v>
      </c>
      <c r="G142" s="152">
        <v>2800000000</v>
      </c>
      <c r="H142" s="152">
        <v>600000000</v>
      </c>
    </row>
    <row r="143" spans="1:8" ht="14.4" customHeight="1" x14ac:dyDescent="0.3">
      <c r="A143" s="70">
        <v>142</v>
      </c>
      <c r="B143" s="150" t="s">
        <v>289</v>
      </c>
      <c r="C143" s="150" t="s">
        <v>290</v>
      </c>
      <c r="D143" s="151">
        <v>0</v>
      </c>
      <c r="E143" s="152">
        <v>800000000</v>
      </c>
      <c r="F143" s="152">
        <v>250000000</v>
      </c>
      <c r="G143" s="152"/>
      <c r="H143" s="152">
        <v>120000000</v>
      </c>
    </row>
    <row r="144" spans="1:8" ht="14.4" customHeight="1" x14ac:dyDescent="0.3">
      <c r="A144" s="70">
        <v>143</v>
      </c>
      <c r="B144" s="150" t="s">
        <v>291</v>
      </c>
      <c r="C144" s="150" t="s">
        <v>292</v>
      </c>
      <c r="D144" s="151">
        <v>0</v>
      </c>
      <c r="E144" s="152">
        <v>490000000</v>
      </c>
      <c r="F144" s="152">
        <v>310000000</v>
      </c>
      <c r="G144" s="152"/>
      <c r="H144" s="152">
        <v>75000000</v>
      </c>
    </row>
    <row r="145" spans="1:8" ht="14.4" customHeight="1" x14ac:dyDescent="0.3">
      <c r="A145" s="70">
        <v>144</v>
      </c>
      <c r="B145" s="150" t="s">
        <v>293</v>
      </c>
      <c r="C145" s="150" t="s">
        <v>294</v>
      </c>
      <c r="D145" s="151"/>
      <c r="E145" s="152">
        <v>607000000</v>
      </c>
      <c r="F145" s="152">
        <v>257000000</v>
      </c>
      <c r="G145" s="152"/>
      <c r="H145" s="152">
        <v>125000000</v>
      </c>
    </row>
    <row r="146" spans="1:8" ht="14.4" customHeight="1" x14ac:dyDescent="0.3">
      <c r="A146" s="70">
        <v>145</v>
      </c>
      <c r="B146" s="150" t="s">
        <v>295</v>
      </c>
      <c r="C146" s="150" t="s">
        <v>296</v>
      </c>
      <c r="D146" s="151"/>
      <c r="E146" s="152">
        <v>607000000</v>
      </c>
      <c r="F146" s="152">
        <v>250000000</v>
      </c>
      <c r="G146" s="152"/>
      <c r="H146" s="152">
        <v>125000000</v>
      </c>
    </row>
    <row r="147" spans="1:8" ht="14.4" customHeight="1" x14ac:dyDescent="0.3">
      <c r="A147" s="70">
        <v>146</v>
      </c>
      <c r="B147" s="150" t="s">
        <v>297</v>
      </c>
      <c r="C147" s="150" t="s">
        <v>298</v>
      </c>
      <c r="D147" s="151"/>
      <c r="E147" s="152">
        <v>607000000</v>
      </c>
      <c r="F147" s="152">
        <v>300000000</v>
      </c>
      <c r="G147" s="152"/>
      <c r="H147" s="152">
        <v>210000000</v>
      </c>
    </row>
    <row r="148" spans="1:8" ht="14.4" customHeight="1" x14ac:dyDescent="0.3">
      <c r="A148" s="70">
        <v>147</v>
      </c>
      <c r="B148" s="150" t="s">
        <v>299</v>
      </c>
      <c r="C148" s="150" t="s">
        <v>300</v>
      </c>
      <c r="D148" s="151"/>
      <c r="E148" s="152">
        <v>607000000</v>
      </c>
      <c r="F148" s="152">
        <v>100000000</v>
      </c>
      <c r="G148" s="152"/>
      <c r="H148" s="152">
        <v>100000000</v>
      </c>
    </row>
    <row r="149" spans="1:8" ht="14.4" customHeight="1" x14ac:dyDescent="0.3">
      <c r="A149" s="70">
        <v>148</v>
      </c>
      <c r="B149" s="150" t="s">
        <v>301</v>
      </c>
      <c r="C149" s="150" t="s">
        <v>302</v>
      </c>
      <c r="D149" s="151">
        <v>0</v>
      </c>
      <c r="E149" s="152">
        <v>607000000</v>
      </c>
      <c r="F149" s="152">
        <v>100000000</v>
      </c>
      <c r="G149" s="152"/>
      <c r="H149" s="152">
        <v>100000000</v>
      </c>
    </row>
    <row r="150" spans="1:8" ht="14.4" customHeight="1" x14ac:dyDescent="0.3">
      <c r="A150" s="70">
        <v>149</v>
      </c>
      <c r="B150" s="150" t="s">
        <v>303</v>
      </c>
      <c r="C150" s="150" t="s">
        <v>304</v>
      </c>
      <c r="D150" s="151">
        <v>0</v>
      </c>
      <c r="E150" s="152">
        <v>0</v>
      </c>
      <c r="F150" s="152">
        <v>75000000</v>
      </c>
      <c r="G150" s="152"/>
      <c r="H150" s="152">
        <v>75000000</v>
      </c>
    </row>
    <row r="151" spans="1:8" ht="14.4" customHeight="1" x14ac:dyDescent="0.3">
      <c r="A151" s="70">
        <v>150</v>
      </c>
      <c r="B151" s="150" t="s">
        <v>305</v>
      </c>
      <c r="C151" s="150" t="s">
        <v>306</v>
      </c>
      <c r="D151" s="151">
        <v>0</v>
      </c>
      <c r="E151" s="152">
        <v>0</v>
      </c>
      <c r="F151" s="152">
        <v>150000000</v>
      </c>
      <c r="G151" s="152"/>
      <c r="H151" s="152">
        <v>150000000</v>
      </c>
    </row>
    <row r="152" spans="1:8" ht="14.4" customHeight="1" x14ac:dyDescent="0.3">
      <c r="A152" s="70">
        <v>151</v>
      </c>
      <c r="B152" s="150" t="s">
        <v>307</v>
      </c>
      <c r="C152" s="150" t="s">
        <v>308</v>
      </c>
      <c r="D152" s="151">
        <v>0</v>
      </c>
      <c r="E152" s="152">
        <v>0</v>
      </c>
      <c r="F152" s="152">
        <v>150000000</v>
      </c>
      <c r="G152" s="152"/>
      <c r="H152" s="152">
        <v>150000000</v>
      </c>
    </row>
    <row r="153" spans="1:8" ht="14.4" customHeight="1" x14ac:dyDescent="0.3">
      <c r="A153" s="70">
        <v>152</v>
      </c>
      <c r="B153" s="150" t="s">
        <v>309</v>
      </c>
      <c r="C153" s="150" t="s">
        <v>310</v>
      </c>
      <c r="D153" s="151">
        <v>0</v>
      </c>
      <c r="E153" s="152">
        <v>0</v>
      </c>
      <c r="F153" s="152">
        <v>100000000</v>
      </c>
      <c r="G153" s="152"/>
      <c r="H153" s="152">
        <v>100000000</v>
      </c>
    </row>
    <row r="154" spans="1:8" ht="14.4" customHeight="1" x14ac:dyDescent="0.3">
      <c r="A154" s="70">
        <v>153</v>
      </c>
      <c r="B154" s="150" t="s">
        <v>311</v>
      </c>
      <c r="C154" s="150" t="s">
        <v>312</v>
      </c>
      <c r="D154" s="151">
        <v>0</v>
      </c>
      <c r="E154" s="152">
        <v>0</v>
      </c>
      <c r="F154" s="152">
        <v>550000000</v>
      </c>
      <c r="G154" s="152"/>
      <c r="H154" s="152">
        <v>550000000</v>
      </c>
    </row>
    <row r="155" spans="1:8" ht="14.4" customHeight="1" x14ac:dyDescent="0.3">
      <c r="A155" s="70">
        <v>154</v>
      </c>
      <c r="B155" s="150" t="s">
        <v>313</v>
      </c>
      <c r="C155" s="150" t="s">
        <v>314</v>
      </c>
      <c r="D155" s="151">
        <v>0</v>
      </c>
      <c r="E155" s="152">
        <v>0</v>
      </c>
      <c r="F155" s="152">
        <v>225000000</v>
      </c>
      <c r="G155" s="152"/>
      <c r="H155" s="152">
        <v>225000000</v>
      </c>
    </row>
    <row r="156" spans="1:8" ht="14.4" customHeight="1" x14ac:dyDescent="0.3">
      <c r="A156" s="70">
        <v>155</v>
      </c>
      <c r="B156" s="150" t="s">
        <v>315</v>
      </c>
      <c r="C156" s="150" t="s">
        <v>316</v>
      </c>
      <c r="D156" s="151"/>
      <c r="E156" s="152">
        <v>70000000</v>
      </c>
      <c r="F156" s="152">
        <v>300000000</v>
      </c>
      <c r="G156" s="152">
        <v>1580000000</v>
      </c>
      <c r="H156" s="152">
        <v>175000000</v>
      </c>
    </row>
    <row r="157" spans="1:8" ht="14.4" customHeight="1" x14ac:dyDescent="0.3">
      <c r="A157" s="70">
        <v>156</v>
      </c>
      <c r="B157" s="150" t="s">
        <v>317</v>
      </c>
      <c r="C157" s="150" t="s">
        <v>318</v>
      </c>
      <c r="D157" s="151">
        <v>0</v>
      </c>
      <c r="E157" s="152">
        <v>482000000</v>
      </c>
      <c r="F157" s="152">
        <v>318000000</v>
      </c>
      <c r="G157" s="152"/>
      <c r="H157" s="152">
        <v>100000000</v>
      </c>
    </row>
    <row r="158" spans="1:8" ht="14.4" customHeight="1" x14ac:dyDescent="0.3">
      <c r="A158" s="70">
        <v>157</v>
      </c>
      <c r="B158" s="150" t="s">
        <v>319</v>
      </c>
      <c r="C158" s="150" t="s">
        <v>320</v>
      </c>
      <c r="D158" s="151">
        <v>0</v>
      </c>
      <c r="E158" s="152">
        <v>0</v>
      </c>
      <c r="F158" s="152">
        <v>100000000</v>
      </c>
      <c r="G158" s="152"/>
      <c r="H158" s="152">
        <v>41776653</v>
      </c>
    </row>
    <row r="159" spans="1:8" ht="14.4" customHeight="1" x14ac:dyDescent="0.3">
      <c r="A159" s="70">
        <v>158</v>
      </c>
      <c r="B159" s="150" t="s">
        <v>321</v>
      </c>
      <c r="C159" s="150" t="s">
        <v>322</v>
      </c>
      <c r="D159" s="151">
        <v>0</v>
      </c>
      <c r="E159" s="152">
        <v>100000000</v>
      </c>
      <c r="F159" s="152">
        <v>382000000</v>
      </c>
      <c r="G159" s="152"/>
      <c r="H159" s="152">
        <v>120000000</v>
      </c>
    </row>
    <row r="160" spans="1:8" ht="14.4" customHeight="1" x14ac:dyDescent="0.3">
      <c r="A160" s="70">
        <v>159</v>
      </c>
      <c r="B160" s="150" t="s">
        <v>323</v>
      </c>
      <c r="C160" s="150" t="s">
        <v>324</v>
      </c>
      <c r="D160" s="151">
        <v>0</v>
      </c>
      <c r="E160" s="152">
        <v>0</v>
      </c>
      <c r="F160" s="152">
        <v>100000000</v>
      </c>
      <c r="G160" s="152"/>
      <c r="H160" s="152">
        <v>25000000</v>
      </c>
    </row>
    <row r="161" spans="1:8" ht="14.4" customHeight="1" x14ac:dyDescent="0.3">
      <c r="A161" s="70">
        <v>160</v>
      </c>
      <c r="B161" s="150" t="s">
        <v>325</v>
      </c>
      <c r="C161" s="150" t="s">
        <v>326</v>
      </c>
      <c r="D161" s="151"/>
      <c r="E161" s="152"/>
      <c r="F161" s="152">
        <v>1427000000</v>
      </c>
      <c r="G161" s="152">
        <v>4800000000</v>
      </c>
      <c r="H161" s="152">
        <v>250000000</v>
      </c>
    </row>
    <row r="162" spans="1:8" ht="14.4" customHeight="1" x14ac:dyDescent="0.3">
      <c r="A162" s="70">
        <v>161</v>
      </c>
      <c r="B162" s="150" t="s">
        <v>327</v>
      </c>
      <c r="C162" s="150" t="s">
        <v>328</v>
      </c>
      <c r="D162" s="151"/>
      <c r="E162" s="152"/>
      <c r="F162" s="152">
        <v>800000000</v>
      </c>
      <c r="G162" s="152">
        <v>3000000000</v>
      </c>
      <c r="H162" s="152">
        <v>200000000</v>
      </c>
    </row>
    <row r="163" spans="1:8" ht="14.4" customHeight="1" x14ac:dyDescent="0.3">
      <c r="A163" s="70">
        <v>162</v>
      </c>
      <c r="B163" s="150" t="s">
        <v>329</v>
      </c>
      <c r="C163" s="150" t="s">
        <v>330</v>
      </c>
      <c r="D163" s="151"/>
      <c r="E163" s="152"/>
      <c r="F163" s="152">
        <v>1000000000</v>
      </c>
      <c r="G163" s="152">
        <v>2000000000</v>
      </c>
      <c r="H163" s="152">
        <v>100000000</v>
      </c>
    </row>
    <row r="164" spans="1:8" ht="14.4" customHeight="1" x14ac:dyDescent="0.3">
      <c r="A164" s="70">
        <v>163</v>
      </c>
      <c r="B164" s="150" t="s">
        <v>331</v>
      </c>
      <c r="C164" s="150" t="s">
        <v>332</v>
      </c>
      <c r="D164" s="151"/>
      <c r="E164" s="152">
        <v>180000000</v>
      </c>
      <c r="F164" s="152">
        <v>320000000</v>
      </c>
      <c r="G164" s="152"/>
      <c r="H164" s="152">
        <v>200000000</v>
      </c>
    </row>
    <row r="165" spans="1:8" ht="14.4" customHeight="1" x14ac:dyDescent="0.3">
      <c r="A165" s="70">
        <v>164</v>
      </c>
      <c r="B165" s="150" t="s">
        <v>333</v>
      </c>
      <c r="C165" s="150" t="s">
        <v>334</v>
      </c>
      <c r="D165" s="151">
        <v>0</v>
      </c>
      <c r="E165" s="152">
        <v>605000000</v>
      </c>
      <c r="F165" s="152">
        <v>200000000</v>
      </c>
      <c r="G165" s="152"/>
      <c r="H165" s="152">
        <v>200000000</v>
      </c>
    </row>
    <row r="166" spans="1:8" ht="14.4" customHeight="1" x14ac:dyDescent="0.3">
      <c r="A166" s="70">
        <v>165</v>
      </c>
      <c r="B166" s="150" t="s">
        <v>335</v>
      </c>
      <c r="C166" s="150" t="s">
        <v>336</v>
      </c>
      <c r="D166" s="151">
        <v>0</v>
      </c>
      <c r="E166" s="152">
        <v>405000000</v>
      </c>
      <c r="F166" s="152">
        <v>200000000</v>
      </c>
      <c r="G166" s="152"/>
      <c r="H166" s="152">
        <v>100000000</v>
      </c>
    </row>
    <row r="167" spans="1:8" ht="14.4" customHeight="1" x14ac:dyDescent="0.3">
      <c r="A167" s="70">
        <v>166</v>
      </c>
      <c r="B167" s="150" t="s">
        <v>337</v>
      </c>
      <c r="C167" s="150" t="s">
        <v>338</v>
      </c>
      <c r="D167" s="151"/>
      <c r="E167" s="152">
        <v>405000000</v>
      </c>
      <c r="F167" s="152">
        <v>200000000</v>
      </c>
      <c r="G167" s="152"/>
      <c r="H167" s="152">
        <v>100000000</v>
      </c>
    </row>
    <row r="168" spans="1:8" ht="14.4" customHeight="1" x14ac:dyDescent="0.3">
      <c r="A168" s="70">
        <v>167</v>
      </c>
      <c r="B168" s="150" t="s">
        <v>339</v>
      </c>
      <c r="C168" s="150" t="s">
        <v>340</v>
      </c>
      <c r="D168" s="151"/>
      <c r="E168" s="152"/>
      <c r="F168" s="152">
        <v>20000000000</v>
      </c>
      <c r="G168" s="152">
        <v>80000000000</v>
      </c>
      <c r="H168" s="152">
        <v>150000000</v>
      </c>
    </row>
    <row r="169" spans="1:8" ht="14.4" customHeight="1" x14ac:dyDescent="0.3">
      <c r="A169" s="70">
        <v>168</v>
      </c>
      <c r="B169" s="150" t="s">
        <v>341</v>
      </c>
      <c r="C169" s="150" t="s">
        <v>342</v>
      </c>
      <c r="D169" s="151"/>
      <c r="E169" s="152">
        <v>225000000</v>
      </c>
      <c r="F169" s="152">
        <v>160000000</v>
      </c>
      <c r="G169" s="152"/>
      <c r="H169" s="152">
        <v>100000000</v>
      </c>
    </row>
    <row r="170" spans="1:8" ht="14.4" customHeight="1" x14ac:dyDescent="0.3">
      <c r="A170" s="70">
        <v>169</v>
      </c>
      <c r="B170" s="150" t="s">
        <v>343</v>
      </c>
      <c r="C170" s="150" t="s">
        <v>344</v>
      </c>
      <c r="D170" s="151">
        <v>0</v>
      </c>
      <c r="E170" s="152">
        <v>517100000</v>
      </c>
      <c r="F170" s="152">
        <v>268800000</v>
      </c>
      <c r="G170" s="152"/>
      <c r="H170" s="152">
        <v>50000000</v>
      </c>
    </row>
    <row r="171" spans="1:8" ht="14.4" customHeight="1" x14ac:dyDescent="0.3">
      <c r="A171" s="70">
        <v>170</v>
      </c>
      <c r="B171" s="150" t="s">
        <v>345</v>
      </c>
      <c r="C171" s="150" t="s">
        <v>346</v>
      </c>
      <c r="D171" s="151">
        <v>0</v>
      </c>
      <c r="E171" s="152">
        <v>517100000</v>
      </c>
      <c r="F171" s="152">
        <v>290100000</v>
      </c>
      <c r="G171" s="152"/>
      <c r="H171" s="152">
        <v>50000000</v>
      </c>
    </row>
    <row r="172" spans="1:8" ht="14.4" customHeight="1" x14ac:dyDescent="0.3">
      <c r="A172" s="70">
        <v>171</v>
      </c>
      <c r="B172" s="150" t="s">
        <v>347</v>
      </c>
      <c r="C172" s="150" t="s">
        <v>348</v>
      </c>
      <c r="D172" s="151">
        <v>0</v>
      </c>
      <c r="E172" s="152">
        <v>517100000</v>
      </c>
      <c r="F172" s="152">
        <v>285300000</v>
      </c>
      <c r="G172" s="152"/>
      <c r="H172" s="152">
        <v>165000000</v>
      </c>
    </row>
    <row r="173" spans="1:8" ht="14.4" customHeight="1" x14ac:dyDescent="0.3">
      <c r="A173" s="70">
        <v>172</v>
      </c>
      <c r="B173" s="150" t="s">
        <v>349</v>
      </c>
      <c r="C173" s="150" t="s">
        <v>350</v>
      </c>
      <c r="D173" s="151">
        <v>0</v>
      </c>
      <c r="E173" s="152">
        <v>353200000</v>
      </c>
      <c r="F173" s="152">
        <v>163900000</v>
      </c>
      <c r="G173" s="152"/>
      <c r="H173" s="152">
        <v>100000000</v>
      </c>
    </row>
    <row r="174" spans="1:8" ht="14.4" customHeight="1" x14ac:dyDescent="0.3">
      <c r="A174" s="70">
        <v>173</v>
      </c>
      <c r="B174" s="150" t="s">
        <v>351</v>
      </c>
      <c r="C174" s="150" t="s">
        <v>352</v>
      </c>
      <c r="D174" s="151">
        <v>0</v>
      </c>
      <c r="E174" s="152">
        <v>517100000</v>
      </c>
      <c r="F174" s="152">
        <v>268800000</v>
      </c>
      <c r="G174" s="152"/>
      <c r="H174" s="152">
        <v>100000000</v>
      </c>
    </row>
    <row r="175" spans="1:8" ht="14.4" customHeight="1" x14ac:dyDescent="0.3">
      <c r="A175" s="70">
        <v>174</v>
      </c>
      <c r="B175" s="150" t="s">
        <v>353</v>
      </c>
      <c r="C175" s="150" t="s">
        <v>354</v>
      </c>
      <c r="D175" s="151">
        <v>0</v>
      </c>
      <c r="E175" s="152">
        <v>517100000</v>
      </c>
      <c r="F175" s="152">
        <v>290100000</v>
      </c>
      <c r="G175" s="152"/>
      <c r="H175" s="152">
        <v>100000000</v>
      </c>
    </row>
    <row r="176" spans="1:8" ht="14.4" customHeight="1" x14ac:dyDescent="0.3">
      <c r="A176" s="70">
        <v>175</v>
      </c>
      <c r="B176" s="150" t="s">
        <v>355</v>
      </c>
      <c r="C176" s="150" t="s">
        <v>356</v>
      </c>
      <c r="D176" s="151">
        <v>60000000</v>
      </c>
      <c r="E176" s="152">
        <v>25000000</v>
      </c>
      <c r="F176" s="152">
        <v>120000000</v>
      </c>
      <c r="G176" s="152">
        <v>120000000</v>
      </c>
      <c r="H176" s="152">
        <v>120000000</v>
      </c>
    </row>
    <row r="177" spans="1:8" ht="14.4" customHeight="1" x14ac:dyDescent="0.3">
      <c r="A177" s="70">
        <v>176</v>
      </c>
      <c r="B177" s="150" t="s">
        <v>357</v>
      </c>
      <c r="C177" s="150" t="s">
        <v>358</v>
      </c>
      <c r="D177" s="151">
        <v>0</v>
      </c>
      <c r="E177" s="152">
        <v>545600000</v>
      </c>
      <c r="F177" s="152">
        <v>110200000</v>
      </c>
      <c r="G177" s="152"/>
      <c r="H177" s="152">
        <v>50000000</v>
      </c>
    </row>
    <row r="178" spans="1:8" ht="14.4" customHeight="1" x14ac:dyDescent="0.3">
      <c r="A178" s="70">
        <v>177</v>
      </c>
      <c r="B178" s="150" t="s">
        <v>359</v>
      </c>
      <c r="C178" s="150" t="s">
        <v>360</v>
      </c>
      <c r="D178" s="151">
        <v>0</v>
      </c>
      <c r="E178" s="152">
        <v>60000000</v>
      </c>
      <c r="F178" s="152">
        <v>138700000</v>
      </c>
      <c r="G178" s="152"/>
      <c r="H178" s="152">
        <v>60000000</v>
      </c>
    </row>
    <row r="179" spans="1:8" ht="14.4" customHeight="1" x14ac:dyDescent="0.3">
      <c r="A179" s="70">
        <v>178</v>
      </c>
      <c r="B179" s="150" t="s">
        <v>361</v>
      </c>
      <c r="C179" s="150" t="s">
        <v>362</v>
      </c>
      <c r="D179" s="151">
        <v>0</v>
      </c>
      <c r="E179" s="152">
        <v>353200000</v>
      </c>
      <c r="F179" s="152">
        <v>192400000</v>
      </c>
      <c r="G179" s="152"/>
      <c r="H179" s="152">
        <v>75000000</v>
      </c>
    </row>
    <row r="180" spans="1:8" ht="14.4" customHeight="1" x14ac:dyDescent="0.3">
      <c r="A180" s="70">
        <v>179</v>
      </c>
      <c r="B180" s="150" t="s">
        <v>363</v>
      </c>
      <c r="C180" s="150" t="s">
        <v>364</v>
      </c>
      <c r="D180" s="151"/>
      <c r="E180" s="152"/>
      <c r="F180" s="152">
        <v>200000000</v>
      </c>
      <c r="G180" s="152">
        <v>575000000</v>
      </c>
      <c r="H180" s="152">
        <v>125000000</v>
      </c>
    </row>
    <row r="181" spans="1:8" ht="14.4" customHeight="1" x14ac:dyDescent="0.3">
      <c r="A181" s="70">
        <v>180</v>
      </c>
      <c r="B181" s="150" t="s">
        <v>365</v>
      </c>
      <c r="C181" s="150" t="s">
        <v>366</v>
      </c>
      <c r="D181" s="151"/>
      <c r="E181" s="152"/>
      <c r="F181" s="152">
        <v>200000000</v>
      </c>
      <c r="G181" s="152">
        <v>800000000</v>
      </c>
      <c r="H181" s="152">
        <v>150000000</v>
      </c>
    </row>
    <row r="182" spans="1:8" ht="14.4" customHeight="1" x14ac:dyDescent="0.3">
      <c r="A182" s="70">
        <v>181</v>
      </c>
      <c r="B182" s="150" t="s">
        <v>367</v>
      </c>
      <c r="C182" s="150" t="s">
        <v>368</v>
      </c>
      <c r="D182" s="151">
        <v>50000000</v>
      </c>
      <c r="E182" s="152">
        <v>110000000</v>
      </c>
      <c r="F182" s="152">
        <v>50000000</v>
      </c>
      <c r="G182" s="152">
        <v>50000000</v>
      </c>
      <c r="H182" s="152">
        <v>50000000</v>
      </c>
    </row>
    <row r="183" spans="1:8" ht="14.4" customHeight="1" x14ac:dyDescent="0.3">
      <c r="A183" s="70">
        <v>182</v>
      </c>
      <c r="B183" s="150" t="s">
        <v>369</v>
      </c>
      <c r="C183" s="150" t="s">
        <v>370</v>
      </c>
      <c r="D183" s="151"/>
      <c r="E183" s="152">
        <v>1330000000</v>
      </c>
      <c r="F183" s="152">
        <v>445000000</v>
      </c>
      <c r="G183" s="152"/>
      <c r="H183" s="152">
        <v>200000000</v>
      </c>
    </row>
    <row r="184" spans="1:8" ht="14.4" customHeight="1" x14ac:dyDescent="0.3">
      <c r="A184" s="70">
        <v>183</v>
      </c>
      <c r="B184" s="150" t="s">
        <v>371</v>
      </c>
      <c r="C184" s="150" t="s">
        <v>372</v>
      </c>
      <c r="D184" s="151"/>
      <c r="E184" s="152">
        <v>490000000</v>
      </c>
      <c r="F184" s="152">
        <v>310000000</v>
      </c>
      <c r="G184" s="152"/>
      <c r="H184" s="152">
        <v>75000000</v>
      </c>
    </row>
    <row r="185" spans="1:8" ht="14.4" customHeight="1" x14ac:dyDescent="0.3">
      <c r="A185" s="70">
        <v>184</v>
      </c>
      <c r="B185" s="150" t="s">
        <v>373</v>
      </c>
      <c r="C185" s="150" t="s">
        <v>374</v>
      </c>
      <c r="D185" s="151"/>
      <c r="E185" s="152">
        <v>1050000000</v>
      </c>
      <c r="F185" s="152">
        <v>280000000</v>
      </c>
      <c r="G185" s="152"/>
      <c r="H185" s="152">
        <v>280000000</v>
      </c>
    </row>
    <row r="186" spans="1:8" ht="14.4" customHeight="1" x14ac:dyDescent="0.3">
      <c r="A186" s="70">
        <v>185</v>
      </c>
      <c r="B186" s="150" t="s">
        <v>375</v>
      </c>
      <c r="C186" s="150" t="s">
        <v>376</v>
      </c>
      <c r="D186" s="151">
        <v>0</v>
      </c>
      <c r="E186" s="152"/>
      <c r="F186" s="152">
        <v>95000000</v>
      </c>
      <c r="G186" s="152"/>
      <c r="H186" s="152">
        <v>95000000</v>
      </c>
    </row>
    <row r="187" spans="1:8" ht="14.4" customHeight="1" x14ac:dyDescent="0.3">
      <c r="A187" s="70">
        <v>186</v>
      </c>
      <c r="B187" s="150" t="s">
        <v>377</v>
      </c>
      <c r="C187" s="150" t="s">
        <v>378</v>
      </c>
      <c r="D187" s="151"/>
      <c r="E187" s="152">
        <v>600000000</v>
      </c>
      <c r="F187" s="152">
        <v>200000000</v>
      </c>
      <c r="G187" s="152"/>
      <c r="H187" s="152">
        <v>65000000</v>
      </c>
    </row>
    <row r="188" spans="1:8" ht="14.4" customHeight="1" x14ac:dyDescent="0.3">
      <c r="A188" s="70">
        <v>187</v>
      </c>
      <c r="B188" s="150" t="s">
        <v>379</v>
      </c>
      <c r="C188" s="150" t="s">
        <v>380</v>
      </c>
      <c r="D188" s="151"/>
      <c r="E188" s="152">
        <v>300000000</v>
      </c>
      <c r="F188" s="152">
        <v>300000000</v>
      </c>
      <c r="G188" s="152"/>
      <c r="H188" s="152">
        <v>125000000</v>
      </c>
    </row>
    <row r="189" spans="1:8" ht="14.4" customHeight="1" x14ac:dyDescent="0.3">
      <c r="A189" s="70">
        <v>188</v>
      </c>
      <c r="B189" s="150" t="s">
        <v>381</v>
      </c>
      <c r="C189" s="150" t="s">
        <v>382</v>
      </c>
      <c r="D189" s="151"/>
      <c r="E189" s="152">
        <v>1600000000</v>
      </c>
      <c r="F189" s="152">
        <v>150000000</v>
      </c>
      <c r="G189" s="152"/>
      <c r="H189" s="152">
        <v>150000000</v>
      </c>
    </row>
    <row r="190" spans="1:8" ht="14.4" customHeight="1" x14ac:dyDescent="0.3">
      <c r="A190" s="70">
        <v>189</v>
      </c>
      <c r="B190" s="150" t="s">
        <v>383</v>
      </c>
      <c r="C190" s="150" t="s">
        <v>384</v>
      </c>
      <c r="D190" s="151">
        <v>0</v>
      </c>
      <c r="E190" s="152">
        <v>0</v>
      </c>
      <c r="F190" s="152">
        <v>10000000000</v>
      </c>
      <c r="G190" s="152"/>
      <c r="H190" s="152">
        <v>150000000</v>
      </c>
    </row>
    <row r="191" spans="1:8" ht="14.4" customHeight="1" x14ac:dyDescent="0.3">
      <c r="A191" s="70">
        <v>190</v>
      </c>
      <c r="B191" s="150" t="s">
        <v>385</v>
      </c>
      <c r="C191" s="150" t="s">
        <v>386</v>
      </c>
      <c r="D191" s="151">
        <v>0</v>
      </c>
      <c r="E191" s="152">
        <v>0</v>
      </c>
      <c r="F191" s="152">
        <v>19000000000</v>
      </c>
      <c r="G191" s="152">
        <v>29000000000</v>
      </c>
      <c r="H191" s="152">
        <v>87500000</v>
      </c>
    </row>
    <row r="192" spans="1:8" ht="14.4" customHeight="1" x14ac:dyDescent="0.3">
      <c r="A192" s="70">
        <v>191</v>
      </c>
      <c r="B192" s="150" t="s">
        <v>387</v>
      </c>
      <c r="C192" s="150" t="s">
        <v>388</v>
      </c>
      <c r="D192" s="151">
        <v>0</v>
      </c>
      <c r="E192" s="152">
        <v>0</v>
      </c>
      <c r="F192" s="152">
        <v>40000000000</v>
      </c>
      <c r="G192" s="152">
        <v>80000000000</v>
      </c>
      <c r="H192" s="152">
        <v>122500000</v>
      </c>
    </row>
    <row r="193" spans="1:8" ht="14.4" customHeight="1" x14ac:dyDescent="0.3">
      <c r="A193" s="70">
        <v>192</v>
      </c>
      <c r="B193" s="150" t="s">
        <v>389</v>
      </c>
      <c r="C193" s="150" t="s">
        <v>390</v>
      </c>
      <c r="D193" s="151">
        <v>0</v>
      </c>
      <c r="E193" s="152">
        <v>0</v>
      </c>
      <c r="F193" s="152">
        <v>38500000000</v>
      </c>
      <c r="G193" s="152">
        <v>75000000000</v>
      </c>
      <c r="H193" s="152">
        <v>65000000</v>
      </c>
    </row>
    <row r="194" spans="1:8" ht="14.4" customHeight="1" x14ac:dyDescent="0.3">
      <c r="A194" s="70">
        <v>193</v>
      </c>
      <c r="B194" s="150" t="s">
        <v>391</v>
      </c>
      <c r="C194" s="150" t="s">
        <v>392</v>
      </c>
      <c r="D194" s="151">
        <v>0</v>
      </c>
      <c r="E194" s="152">
        <v>0</v>
      </c>
      <c r="F194" s="152">
        <v>100000000</v>
      </c>
      <c r="G194" s="152"/>
      <c r="H194" s="152">
        <v>100000000</v>
      </c>
    </row>
    <row r="195" spans="1:8" ht="14.4" customHeight="1" x14ac:dyDescent="0.3">
      <c r="A195" s="70">
        <v>194</v>
      </c>
      <c r="B195" s="150" t="s">
        <v>393</v>
      </c>
      <c r="C195" s="150" t="s">
        <v>394</v>
      </c>
      <c r="D195" s="151">
        <v>0</v>
      </c>
      <c r="E195" s="152">
        <v>0</v>
      </c>
      <c r="F195" s="152">
        <v>150000000</v>
      </c>
      <c r="G195" s="152">
        <v>0</v>
      </c>
      <c r="H195" s="152">
        <v>150000000</v>
      </c>
    </row>
    <row r="196" spans="1:8" ht="14.4" customHeight="1" x14ac:dyDescent="0.3">
      <c r="A196" s="70">
        <v>195</v>
      </c>
      <c r="B196" s="150" t="s">
        <v>395</v>
      </c>
      <c r="C196" s="150" t="s">
        <v>396</v>
      </c>
      <c r="D196" s="151"/>
      <c r="E196" s="152"/>
      <c r="F196" s="152">
        <v>100000000</v>
      </c>
      <c r="G196" s="152"/>
      <c r="H196" s="152">
        <v>100000000</v>
      </c>
    </row>
    <row r="197" spans="1:8" ht="14.4" customHeight="1" x14ac:dyDescent="0.3">
      <c r="A197" s="70">
        <v>196</v>
      </c>
      <c r="B197" s="150" t="s">
        <v>397</v>
      </c>
      <c r="C197" s="150" t="s">
        <v>398</v>
      </c>
      <c r="D197" s="151"/>
      <c r="E197" s="152"/>
      <c r="F197" s="152">
        <v>100000000</v>
      </c>
      <c r="G197" s="152"/>
      <c r="H197" s="152">
        <v>120000000</v>
      </c>
    </row>
    <row r="198" spans="1:8" ht="14.4" customHeight="1" x14ac:dyDescent="0.3">
      <c r="A198" s="70">
        <v>197</v>
      </c>
      <c r="B198" s="150" t="s">
        <v>399</v>
      </c>
      <c r="C198" s="150" t="s">
        <v>400</v>
      </c>
      <c r="D198" s="151"/>
      <c r="E198" s="152"/>
      <c r="F198" s="152">
        <v>100000000</v>
      </c>
      <c r="G198" s="152"/>
      <c r="H198" s="152">
        <v>100000000</v>
      </c>
    </row>
    <row r="199" spans="1:8" ht="14.4" customHeight="1" x14ac:dyDescent="0.3">
      <c r="A199" s="70">
        <v>198</v>
      </c>
      <c r="B199" s="150" t="s">
        <v>401</v>
      </c>
      <c r="C199" s="150" t="s">
        <v>402</v>
      </c>
      <c r="D199" s="151"/>
      <c r="E199" s="152"/>
      <c r="F199" s="152">
        <v>100000000</v>
      </c>
      <c r="G199" s="152"/>
      <c r="H199" s="152">
        <v>100000000</v>
      </c>
    </row>
    <row r="200" spans="1:8" ht="14.4" customHeight="1" x14ac:dyDescent="0.3">
      <c r="A200" s="70">
        <v>199</v>
      </c>
      <c r="B200" s="150" t="s">
        <v>403</v>
      </c>
      <c r="C200" s="150" t="s">
        <v>404</v>
      </c>
      <c r="D200" s="151"/>
      <c r="E200" s="152">
        <v>0</v>
      </c>
      <c r="F200" s="152">
        <v>164000000</v>
      </c>
      <c r="G200" s="152"/>
      <c r="H200" s="152">
        <v>150000000</v>
      </c>
    </row>
    <row r="201" spans="1:8" ht="14.4" customHeight="1" x14ac:dyDescent="0.3">
      <c r="A201" s="70">
        <v>200</v>
      </c>
      <c r="B201" s="150" t="s">
        <v>405</v>
      </c>
      <c r="C201" s="150" t="s">
        <v>406</v>
      </c>
      <c r="D201" s="151"/>
      <c r="E201" s="152">
        <v>0</v>
      </c>
      <c r="F201" s="152">
        <v>251000000</v>
      </c>
      <c r="G201" s="152"/>
      <c r="H201" s="152">
        <v>45000000</v>
      </c>
    </row>
    <row r="202" spans="1:8" ht="14.4" customHeight="1" x14ac:dyDescent="0.3">
      <c r="A202" s="70">
        <v>201</v>
      </c>
      <c r="B202" s="150" t="s">
        <v>407</v>
      </c>
      <c r="C202" s="150" t="s">
        <v>408</v>
      </c>
      <c r="D202" s="151"/>
      <c r="E202" s="152">
        <v>0</v>
      </c>
      <c r="F202" s="152">
        <v>270000000</v>
      </c>
      <c r="G202" s="152"/>
      <c r="H202" s="152">
        <v>50000000</v>
      </c>
    </row>
    <row r="203" spans="1:8" ht="14.4" customHeight="1" x14ac:dyDescent="0.3">
      <c r="A203" s="70">
        <v>202</v>
      </c>
      <c r="B203" s="150" t="s">
        <v>409</v>
      </c>
      <c r="C203" s="150" t="s">
        <v>410</v>
      </c>
      <c r="D203" s="151"/>
      <c r="E203" s="152">
        <v>600000000</v>
      </c>
      <c r="F203" s="152">
        <v>800000000</v>
      </c>
      <c r="G203" s="152"/>
      <c r="H203" s="152">
        <v>150000000</v>
      </c>
    </row>
    <row r="204" spans="1:8" ht="14.4" customHeight="1" x14ac:dyDescent="0.3">
      <c r="A204" s="70">
        <v>203</v>
      </c>
      <c r="B204" s="150" t="s">
        <v>411</v>
      </c>
      <c r="C204" s="150" t="s">
        <v>412</v>
      </c>
      <c r="D204" s="151"/>
      <c r="E204" s="152">
        <v>130000000</v>
      </c>
      <c r="F204" s="152">
        <v>125000000</v>
      </c>
      <c r="G204" s="152"/>
      <c r="H204" s="152">
        <v>125000000</v>
      </c>
    </row>
    <row r="205" spans="1:8" ht="14.4" customHeight="1" x14ac:dyDescent="0.3">
      <c r="A205" s="70">
        <v>204</v>
      </c>
      <c r="B205" s="150" t="s">
        <v>413</v>
      </c>
      <c r="C205" s="150" t="s">
        <v>414</v>
      </c>
      <c r="D205" s="151"/>
      <c r="E205" s="152">
        <v>82000000</v>
      </c>
      <c r="F205" s="152">
        <v>125000000</v>
      </c>
      <c r="G205" s="152"/>
      <c r="H205" s="152">
        <v>125000000</v>
      </c>
    </row>
    <row r="206" spans="1:8" ht="14.4" customHeight="1" x14ac:dyDescent="0.3">
      <c r="A206" s="70">
        <v>205</v>
      </c>
      <c r="B206" s="150" t="s">
        <v>415</v>
      </c>
      <c r="C206" s="150" t="s">
        <v>416</v>
      </c>
      <c r="D206" s="151"/>
      <c r="E206" s="152">
        <v>528000000</v>
      </c>
      <c r="F206" s="152">
        <v>400000000</v>
      </c>
      <c r="G206" s="152"/>
      <c r="H206" s="152">
        <v>300000000</v>
      </c>
    </row>
    <row r="207" spans="1:8" ht="14.4" customHeight="1" x14ac:dyDescent="0.3">
      <c r="A207" s="70">
        <v>206</v>
      </c>
      <c r="B207" s="150" t="s">
        <v>417</v>
      </c>
      <c r="C207" s="150" t="s">
        <v>418</v>
      </c>
      <c r="D207" s="151"/>
      <c r="E207" s="152">
        <v>393000000</v>
      </c>
      <c r="F207" s="152">
        <v>135000000</v>
      </c>
      <c r="G207" s="152"/>
      <c r="H207" s="152">
        <v>55000000</v>
      </c>
    </row>
    <row r="208" spans="1:8" ht="14.4" customHeight="1" x14ac:dyDescent="0.3">
      <c r="A208" s="70">
        <v>207</v>
      </c>
      <c r="B208" s="150" t="s">
        <v>419</v>
      </c>
      <c r="C208" s="150" t="s">
        <v>420</v>
      </c>
      <c r="D208" s="151"/>
      <c r="E208" s="152">
        <v>928000000</v>
      </c>
      <c r="F208" s="152">
        <v>132000000</v>
      </c>
      <c r="G208" s="152"/>
      <c r="H208" s="152">
        <v>100000000</v>
      </c>
    </row>
    <row r="209" spans="1:8" ht="14.4" customHeight="1" x14ac:dyDescent="0.3">
      <c r="A209" s="70">
        <v>208</v>
      </c>
      <c r="B209" s="150" t="s">
        <v>421</v>
      </c>
      <c r="C209" s="150" t="s">
        <v>422</v>
      </c>
      <c r="D209" s="151"/>
      <c r="E209" s="152"/>
      <c r="F209" s="152">
        <v>100000000</v>
      </c>
      <c r="G209" s="152"/>
      <c r="H209" s="152">
        <v>100000000</v>
      </c>
    </row>
    <row r="210" spans="1:8" ht="14.4" customHeight="1" x14ac:dyDescent="0.3">
      <c r="A210" s="70">
        <v>209</v>
      </c>
      <c r="B210" s="150" t="s">
        <v>423</v>
      </c>
      <c r="C210" s="150" t="s">
        <v>424</v>
      </c>
      <c r="D210" s="151">
        <v>0</v>
      </c>
      <c r="E210" s="152">
        <v>2500000000</v>
      </c>
      <c r="F210" s="152">
        <v>1300000000</v>
      </c>
      <c r="G210" s="152"/>
      <c r="H210" s="152">
        <v>150000000</v>
      </c>
    </row>
    <row r="211" spans="1:8" ht="14.4" customHeight="1" x14ac:dyDescent="0.3">
      <c r="A211" s="70">
        <v>210</v>
      </c>
      <c r="B211" s="150" t="s">
        <v>425</v>
      </c>
      <c r="C211" s="150" t="s">
        <v>426</v>
      </c>
      <c r="D211" s="151"/>
      <c r="E211" s="152">
        <v>150000000</v>
      </c>
      <c r="F211" s="152">
        <v>100000000</v>
      </c>
      <c r="G211" s="152"/>
      <c r="H211" s="152">
        <v>100000000</v>
      </c>
    </row>
    <row r="212" spans="1:8" ht="14.4" customHeight="1" x14ac:dyDescent="0.3">
      <c r="A212" s="70">
        <v>211</v>
      </c>
      <c r="B212" s="150" t="s">
        <v>427</v>
      </c>
      <c r="C212" s="150" t="s">
        <v>428</v>
      </c>
      <c r="D212" s="151"/>
      <c r="E212" s="152"/>
      <c r="F212" s="152">
        <v>200000000</v>
      </c>
      <c r="G212" s="152"/>
      <c r="H212" s="152">
        <v>125000000</v>
      </c>
    </row>
    <row r="213" spans="1:8" ht="14.4" customHeight="1" x14ac:dyDescent="0.3">
      <c r="A213" s="70">
        <v>212</v>
      </c>
      <c r="B213" s="150" t="s">
        <v>429</v>
      </c>
      <c r="C213" s="150" t="s">
        <v>430</v>
      </c>
      <c r="D213" s="151"/>
      <c r="E213" s="152">
        <v>400000000</v>
      </c>
      <c r="F213" s="152">
        <v>100000000</v>
      </c>
      <c r="G213" s="152"/>
      <c r="H213" s="152">
        <v>75000000</v>
      </c>
    </row>
    <row r="214" spans="1:8" ht="14.4" customHeight="1" x14ac:dyDescent="0.3">
      <c r="A214" s="70">
        <v>213</v>
      </c>
      <c r="B214" s="150" t="s">
        <v>431</v>
      </c>
      <c r="C214" s="150" t="s">
        <v>432</v>
      </c>
      <c r="D214" s="151">
        <v>0</v>
      </c>
      <c r="E214" s="152">
        <v>0</v>
      </c>
      <c r="F214" s="152">
        <v>100000000</v>
      </c>
      <c r="G214" s="152"/>
      <c r="H214" s="152">
        <v>100000000</v>
      </c>
    </row>
    <row r="215" spans="1:8" ht="14.4" customHeight="1" x14ac:dyDescent="0.3">
      <c r="A215" s="70">
        <v>214</v>
      </c>
      <c r="B215" s="150" t="s">
        <v>433</v>
      </c>
      <c r="C215" s="150" t="s">
        <v>434</v>
      </c>
      <c r="D215" s="151"/>
      <c r="E215" s="152"/>
      <c r="F215" s="152">
        <v>60000000</v>
      </c>
      <c r="G215" s="152"/>
      <c r="H215" s="152">
        <v>60000000</v>
      </c>
    </row>
    <row r="216" spans="1:8" ht="14.4" customHeight="1" x14ac:dyDescent="0.3">
      <c r="A216" s="70">
        <v>215</v>
      </c>
      <c r="B216" s="150" t="s">
        <v>435</v>
      </c>
      <c r="C216" s="150" t="s">
        <v>436</v>
      </c>
      <c r="D216" s="151"/>
      <c r="E216" s="152"/>
      <c r="F216" s="152">
        <v>100000000</v>
      </c>
      <c r="G216" s="152"/>
      <c r="H216" s="152">
        <v>100000000</v>
      </c>
    </row>
    <row r="217" spans="1:8" ht="14.4" customHeight="1" x14ac:dyDescent="0.3">
      <c r="A217" s="70">
        <v>216</v>
      </c>
      <c r="B217" s="150" t="s">
        <v>437</v>
      </c>
      <c r="C217" s="150" t="s">
        <v>438</v>
      </c>
      <c r="D217" s="151"/>
      <c r="E217" s="152"/>
      <c r="F217" s="152">
        <v>170000000</v>
      </c>
      <c r="G217" s="152"/>
      <c r="H217" s="152">
        <v>170000000</v>
      </c>
    </row>
    <row r="218" spans="1:8" ht="14.4" customHeight="1" x14ac:dyDescent="0.3">
      <c r="A218" s="70">
        <v>217</v>
      </c>
      <c r="B218" s="150" t="s">
        <v>439</v>
      </c>
      <c r="C218" s="150" t="s">
        <v>440</v>
      </c>
      <c r="D218" s="151">
        <v>0</v>
      </c>
      <c r="E218" s="152">
        <v>0</v>
      </c>
      <c r="F218" s="152">
        <v>500000000</v>
      </c>
      <c r="G218" s="152">
        <v>4125000000</v>
      </c>
      <c r="H218" s="152">
        <v>150000000</v>
      </c>
    </row>
    <row r="219" spans="1:8" ht="14.4" customHeight="1" x14ac:dyDescent="0.3">
      <c r="A219" s="70">
        <v>218</v>
      </c>
      <c r="B219" s="150" t="s">
        <v>441</v>
      </c>
      <c r="C219" s="150" t="s">
        <v>442</v>
      </c>
      <c r="D219" s="151"/>
      <c r="E219" s="152">
        <v>1600000000</v>
      </c>
      <c r="F219" s="152">
        <v>150000000</v>
      </c>
      <c r="G219" s="152"/>
      <c r="H219" s="152">
        <v>150000000</v>
      </c>
    </row>
    <row r="220" spans="1:8" ht="14.4" customHeight="1" x14ac:dyDescent="0.3">
      <c r="A220" s="70">
        <v>219</v>
      </c>
      <c r="B220" s="150" t="s">
        <v>443</v>
      </c>
      <c r="C220" s="150" t="s">
        <v>444</v>
      </c>
      <c r="D220" s="151"/>
      <c r="E220" s="152"/>
      <c r="F220" s="152">
        <v>1454000000</v>
      </c>
      <c r="G220" s="152">
        <v>9847000000</v>
      </c>
      <c r="H220" s="152">
        <v>450000000</v>
      </c>
    </row>
    <row r="221" spans="1:8" ht="14.4" customHeight="1" x14ac:dyDescent="0.3">
      <c r="A221" s="70">
        <v>220</v>
      </c>
      <c r="B221" s="150" t="s">
        <v>445</v>
      </c>
      <c r="C221" s="150" t="s">
        <v>446</v>
      </c>
      <c r="D221" s="151">
        <v>0</v>
      </c>
      <c r="E221" s="152">
        <v>0</v>
      </c>
      <c r="F221" s="152">
        <v>1217000000</v>
      </c>
      <c r="G221" s="152">
        <v>8630000000</v>
      </c>
      <c r="H221" s="152">
        <v>425000000</v>
      </c>
    </row>
    <row r="222" spans="1:8" ht="14.4" customHeight="1" x14ac:dyDescent="0.3">
      <c r="A222" s="70">
        <v>221</v>
      </c>
      <c r="B222" s="150" t="s">
        <v>447</v>
      </c>
      <c r="C222" s="150" t="s">
        <v>448</v>
      </c>
      <c r="D222" s="151"/>
      <c r="E222" s="152"/>
      <c r="F222" s="152">
        <v>1430000000</v>
      </c>
      <c r="G222" s="152">
        <v>7200000000</v>
      </c>
      <c r="H222" s="152">
        <v>225000000</v>
      </c>
    </row>
    <row r="223" spans="1:8" ht="14.4" customHeight="1" x14ac:dyDescent="0.3">
      <c r="A223" s="70">
        <v>222</v>
      </c>
      <c r="B223" s="150" t="s">
        <v>449</v>
      </c>
      <c r="C223" s="150" t="s">
        <v>450</v>
      </c>
      <c r="D223" s="151"/>
      <c r="E223" s="152"/>
      <c r="F223" s="152">
        <v>1200000000</v>
      </c>
      <c r="G223" s="152">
        <v>9600000000</v>
      </c>
      <c r="H223" s="152">
        <v>450000000</v>
      </c>
    </row>
    <row r="224" spans="1:8" ht="14.4" customHeight="1" x14ac:dyDescent="0.3">
      <c r="A224" s="70">
        <v>223</v>
      </c>
      <c r="B224" s="150" t="s">
        <v>451</v>
      </c>
      <c r="C224" s="150" t="s">
        <v>452</v>
      </c>
      <c r="D224" s="151">
        <v>0</v>
      </c>
      <c r="E224" s="152">
        <v>0</v>
      </c>
      <c r="F224" s="152">
        <v>1200000000</v>
      </c>
      <c r="G224" s="152">
        <v>8400000000</v>
      </c>
      <c r="H224" s="152">
        <v>475000000</v>
      </c>
    </row>
    <row r="225" spans="1:8" ht="14.4" customHeight="1" x14ac:dyDescent="0.3">
      <c r="A225" s="70">
        <v>224</v>
      </c>
      <c r="B225" s="150" t="s">
        <v>453</v>
      </c>
      <c r="C225" s="150" t="s">
        <v>454</v>
      </c>
      <c r="D225" s="151"/>
      <c r="E225" s="152"/>
      <c r="F225" s="152">
        <v>1200000000</v>
      </c>
      <c r="G225" s="152">
        <v>7200000000</v>
      </c>
      <c r="H225" s="152">
        <v>375000000</v>
      </c>
    </row>
    <row r="226" spans="1:8" ht="14.4" customHeight="1" x14ac:dyDescent="0.3">
      <c r="A226" s="70">
        <v>225</v>
      </c>
      <c r="B226" s="150" t="s">
        <v>455</v>
      </c>
      <c r="C226" s="150" t="s">
        <v>456</v>
      </c>
      <c r="D226" s="151"/>
      <c r="E226" s="152"/>
      <c r="F226" s="152">
        <v>711000000</v>
      </c>
      <c r="G226" s="152">
        <v>6489000000</v>
      </c>
      <c r="H226" s="152">
        <v>225000000</v>
      </c>
    </row>
    <row r="227" spans="1:8" ht="14.4" customHeight="1" x14ac:dyDescent="0.3">
      <c r="A227" s="70">
        <v>226</v>
      </c>
      <c r="B227" s="150" t="s">
        <v>457</v>
      </c>
      <c r="C227" s="150" t="s">
        <v>458</v>
      </c>
      <c r="D227" s="151">
        <v>0</v>
      </c>
      <c r="E227" s="152">
        <v>1025000000</v>
      </c>
      <c r="F227" s="152">
        <v>400000000</v>
      </c>
      <c r="G227" s="152"/>
      <c r="H227" s="152">
        <v>255000000</v>
      </c>
    </row>
    <row r="228" spans="1:8" ht="14.4" customHeight="1" x14ac:dyDescent="0.3">
      <c r="A228" s="70">
        <v>227</v>
      </c>
      <c r="B228" s="150" t="s">
        <v>459</v>
      </c>
      <c r="C228" s="150" t="s">
        <v>460</v>
      </c>
      <c r="D228" s="151"/>
      <c r="E228" s="152">
        <v>75000000</v>
      </c>
      <c r="F228" s="152">
        <v>110000000</v>
      </c>
      <c r="G228" s="152"/>
      <c r="H228" s="152">
        <v>110000000</v>
      </c>
    </row>
    <row r="229" spans="1:8" ht="14.4" customHeight="1" x14ac:dyDescent="0.3">
      <c r="A229" s="70">
        <v>228</v>
      </c>
      <c r="B229" s="150" t="s">
        <v>461</v>
      </c>
      <c r="C229" s="150" t="s">
        <v>462</v>
      </c>
      <c r="D229" s="151">
        <v>0</v>
      </c>
      <c r="E229" s="152">
        <v>796000000</v>
      </c>
      <c r="F229" s="152">
        <v>511000000</v>
      </c>
      <c r="G229" s="152"/>
      <c r="H229" s="152">
        <v>300000000</v>
      </c>
    </row>
    <row r="230" spans="1:8" ht="14.4" customHeight="1" x14ac:dyDescent="0.3">
      <c r="A230" s="70">
        <v>229</v>
      </c>
      <c r="B230" s="150" t="s">
        <v>463</v>
      </c>
      <c r="C230" s="150" t="s">
        <v>464</v>
      </c>
      <c r="D230" s="151"/>
      <c r="E230" s="152">
        <v>665000000</v>
      </c>
      <c r="F230" s="152">
        <v>200000000</v>
      </c>
      <c r="G230" s="152"/>
      <c r="H230" s="152">
        <v>200000000</v>
      </c>
    </row>
    <row r="231" spans="1:8" ht="14.4" customHeight="1" x14ac:dyDescent="0.3">
      <c r="A231" s="70">
        <v>230</v>
      </c>
      <c r="B231" s="150" t="s">
        <v>465</v>
      </c>
      <c r="C231" s="150" t="s">
        <v>466</v>
      </c>
      <c r="D231" s="151"/>
      <c r="E231" s="152">
        <v>50000000</v>
      </c>
      <c r="F231" s="152">
        <v>100000000</v>
      </c>
      <c r="G231" s="152"/>
      <c r="H231" s="152">
        <v>75000000</v>
      </c>
    </row>
    <row r="232" spans="1:8" ht="14.4" customHeight="1" x14ac:dyDescent="0.3">
      <c r="A232" s="70">
        <v>231</v>
      </c>
      <c r="B232" s="150" t="s">
        <v>467</v>
      </c>
      <c r="C232" s="150" t="s">
        <v>468</v>
      </c>
      <c r="D232" s="151"/>
      <c r="E232" s="152">
        <v>745000000</v>
      </c>
      <c r="F232" s="152">
        <v>300000000</v>
      </c>
      <c r="G232" s="152"/>
      <c r="H232" s="152">
        <v>150000000</v>
      </c>
    </row>
    <row r="233" spans="1:8" ht="14.4" customHeight="1" x14ac:dyDescent="0.3">
      <c r="A233" s="70">
        <v>232</v>
      </c>
      <c r="B233" s="150" t="s">
        <v>469</v>
      </c>
      <c r="C233" s="150" t="s">
        <v>470</v>
      </c>
      <c r="D233" s="151">
        <v>0</v>
      </c>
      <c r="E233" s="152">
        <v>800000000</v>
      </c>
      <c r="F233" s="152">
        <v>250000000</v>
      </c>
      <c r="G233" s="152"/>
      <c r="H233" s="152">
        <v>250000000</v>
      </c>
    </row>
    <row r="234" spans="1:8" ht="14.4" customHeight="1" x14ac:dyDescent="0.3">
      <c r="A234" s="70">
        <v>233</v>
      </c>
      <c r="B234" s="150" t="s">
        <v>471</v>
      </c>
      <c r="C234" s="150" t="s">
        <v>472</v>
      </c>
      <c r="D234" s="151">
        <v>0</v>
      </c>
      <c r="E234" s="152">
        <v>600000000</v>
      </c>
      <c r="F234" s="152">
        <v>200000000</v>
      </c>
      <c r="G234" s="152"/>
      <c r="H234" s="152">
        <v>150000000</v>
      </c>
    </row>
    <row r="235" spans="1:8" ht="14.4" customHeight="1" x14ac:dyDescent="0.3">
      <c r="A235" s="70">
        <v>234</v>
      </c>
      <c r="B235" s="150" t="s">
        <v>473</v>
      </c>
      <c r="C235" s="150" t="s">
        <v>474</v>
      </c>
      <c r="D235" s="151">
        <v>0</v>
      </c>
      <c r="E235" s="152">
        <v>925000000</v>
      </c>
      <c r="F235" s="152">
        <v>200000000</v>
      </c>
      <c r="G235" s="152"/>
      <c r="H235" s="152">
        <v>175000000</v>
      </c>
    </row>
    <row r="236" spans="1:8" ht="14.4" customHeight="1" x14ac:dyDescent="0.3">
      <c r="A236" s="70">
        <v>235</v>
      </c>
      <c r="B236" s="150" t="s">
        <v>475</v>
      </c>
      <c r="C236" s="150" t="s">
        <v>476</v>
      </c>
      <c r="D236" s="151"/>
      <c r="E236" s="152">
        <v>1045000000</v>
      </c>
      <c r="F236" s="152">
        <v>400000000</v>
      </c>
      <c r="G236" s="152"/>
      <c r="H236" s="152">
        <v>250000000</v>
      </c>
    </row>
    <row r="237" spans="1:8" s="148" customFormat="1" ht="14.4" customHeight="1" x14ac:dyDescent="0.3">
      <c r="A237" s="154">
        <v>236</v>
      </c>
      <c r="B237" s="150" t="s">
        <v>477</v>
      </c>
      <c r="C237" s="155" t="s">
        <v>478</v>
      </c>
      <c r="D237" s="156">
        <v>0</v>
      </c>
      <c r="E237" s="157">
        <v>0</v>
      </c>
      <c r="F237" s="157">
        <v>150000000</v>
      </c>
      <c r="G237" s="157"/>
      <c r="H237" s="157">
        <v>150000000</v>
      </c>
    </row>
    <row r="238" spans="1:8" ht="14.4" customHeight="1" x14ac:dyDescent="0.3">
      <c r="A238" s="70">
        <v>237</v>
      </c>
      <c r="B238" s="150" t="s">
        <v>479</v>
      </c>
      <c r="C238" s="150" t="s">
        <v>480</v>
      </c>
      <c r="D238" s="151">
        <v>0</v>
      </c>
      <c r="E238" s="152">
        <v>0</v>
      </c>
      <c r="F238" s="152">
        <v>225000000</v>
      </c>
      <c r="G238" s="152"/>
      <c r="H238" s="152">
        <v>225000000</v>
      </c>
    </row>
    <row r="239" spans="1:8" ht="14.4" customHeight="1" x14ac:dyDescent="0.3">
      <c r="A239" s="70">
        <v>238</v>
      </c>
      <c r="B239" s="150" t="s">
        <v>481</v>
      </c>
      <c r="C239" s="150" t="s">
        <v>482</v>
      </c>
      <c r="D239" s="151">
        <v>0</v>
      </c>
      <c r="E239" s="152">
        <v>0</v>
      </c>
      <c r="F239" s="152">
        <v>225000000</v>
      </c>
      <c r="G239" s="152"/>
      <c r="H239" s="152">
        <v>225000000</v>
      </c>
    </row>
    <row r="240" spans="1:8" ht="14.4" customHeight="1" x14ac:dyDescent="0.3">
      <c r="A240" s="70">
        <v>239</v>
      </c>
      <c r="B240" s="150" t="s">
        <v>483</v>
      </c>
      <c r="C240" s="150" t="s">
        <v>484</v>
      </c>
      <c r="D240" s="151">
        <v>0</v>
      </c>
      <c r="E240" s="152">
        <v>0</v>
      </c>
      <c r="F240" s="152">
        <v>1000000000</v>
      </c>
      <c r="G240" s="152">
        <v>8184000000</v>
      </c>
      <c r="H240" s="152">
        <v>185000000</v>
      </c>
    </row>
    <row r="241" spans="1:8" ht="14.4" customHeight="1" x14ac:dyDescent="0.3">
      <c r="A241" s="70">
        <v>240</v>
      </c>
      <c r="B241" s="150" t="s">
        <v>485</v>
      </c>
      <c r="C241" s="150" t="s">
        <v>486</v>
      </c>
      <c r="D241" s="151">
        <v>0</v>
      </c>
      <c r="E241" s="152">
        <v>0</v>
      </c>
      <c r="F241" s="152">
        <v>500000000</v>
      </c>
      <c r="G241" s="152">
        <v>4222000000</v>
      </c>
      <c r="H241" s="152">
        <v>120000000</v>
      </c>
    </row>
    <row r="242" spans="1:8" ht="14.4" customHeight="1" x14ac:dyDescent="0.3">
      <c r="A242" s="70">
        <v>241</v>
      </c>
      <c r="B242" s="150" t="s">
        <v>487</v>
      </c>
      <c r="C242" s="150" t="s">
        <v>488</v>
      </c>
      <c r="D242" s="151"/>
      <c r="E242" s="152"/>
      <c r="F242" s="152">
        <v>400000000</v>
      </c>
      <c r="G242" s="152">
        <v>1700000000</v>
      </c>
      <c r="H242" s="152">
        <v>400000000</v>
      </c>
    </row>
    <row r="243" spans="1:8" ht="14.4" customHeight="1" x14ac:dyDescent="0.3">
      <c r="A243" s="70">
        <v>242</v>
      </c>
      <c r="B243" s="150" t="s">
        <v>489</v>
      </c>
      <c r="C243" s="150" t="s">
        <v>490</v>
      </c>
      <c r="D243" s="151">
        <v>0</v>
      </c>
      <c r="E243" s="152">
        <v>0</v>
      </c>
      <c r="F243" s="152">
        <v>500000000</v>
      </c>
      <c r="G243" s="152">
        <v>2776000000</v>
      </c>
      <c r="H243" s="152">
        <v>230000000</v>
      </c>
    </row>
    <row r="244" spans="1:8" ht="14.4" customHeight="1" x14ac:dyDescent="0.3">
      <c r="A244" s="70">
        <v>243</v>
      </c>
      <c r="B244" s="150" t="s">
        <v>491</v>
      </c>
      <c r="C244" s="150" t="s">
        <v>492</v>
      </c>
      <c r="D244" s="151">
        <v>0</v>
      </c>
      <c r="E244" s="152">
        <v>0</v>
      </c>
      <c r="F244" s="152">
        <v>1000000000</v>
      </c>
      <c r="G244" s="152">
        <v>8184000000</v>
      </c>
      <c r="H244" s="152">
        <v>300000000</v>
      </c>
    </row>
    <row r="245" spans="1:8" ht="14.4" customHeight="1" x14ac:dyDescent="0.3">
      <c r="A245" s="70">
        <v>244</v>
      </c>
      <c r="B245" s="150" t="s">
        <v>493</v>
      </c>
      <c r="C245" s="150" t="s">
        <v>494</v>
      </c>
      <c r="D245" s="151">
        <v>0</v>
      </c>
      <c r="E245" s="152">
        <v>0</v>
      </c>
      <c r="F245" s="152">
        <v>500000000</v>
      </c>
      <c r="G245" s="152">
        <v>3567000000</v>
      </c>
      <c r="H245" s="152">
        <v>350000000</v>
      </c>
    </row>
    <row r="246" spans="1:8" ht="14.4" customHeight="1" x14ac:dyDescent="0.3">
      <c r="A246" s="70">
        <v>245</v>
      </c>
      <c r="B246" s="150" t="s">
        <v>495</v>
      </c>
      <c r="C246" s="150" t="s">
        <v>496</v>
      </c>
      <c r="D246" s="151">
        <v>0</v>
      </c>
      <c r="E246" s="152">
        <v>0</v>
      </c>
      <c r="F246" s="152">
        <v>1000000000</v>
      </c>
      <c r="G246" s="152">
        <v>8184000000</v>
      </c>
      <c r="H246" s="152">
        <v>125000000</v>
      </c>
    </row>
    <row r="247" spans="1:8" ht="14.4" customHeight="1" x14ac:dyDescent="0.3">
      <c r="A247" s="70">
        <v>246</v>
      </c>
      <c r="B247" s="150" t="s">
        <v>497</v>
      </c>
      <c r="C247" s="150" t="s">
        <v>498</v>
      </c>
      <c r="D247" s="151">
        <v>0</v>
      </c>
      <c r="E247" s="152">
        <v>0</v>
      </c>
      <c r="F247" s="152">
        <v>500000000</v>
      </c>
      <c r="G247" s="152">
        <v>4222000000</v>
      </c>
      <c r="H247" s="152">
        <v>75000000</v>
      </c>
    </row>
    <row r="248" spans="1:8" ht="14.4" customHeight="1" x14ac:dyDescent="0.3">
      <c r="A248" s="70">
        <v>247</v>
      </c>
      <c r="B248" s="150" t="s">
        <v>499</v>
      </c>
      <c r="C248" s="150" t="s">
        <v>500</v>
      </c>
      <c r="D248" s="151">
        <v>0</v>
      </c>
      <c r="E248" s="152">
        <v>0</v>
      </c>
      <c r="F248" s="152">
        <v>500000000</v>
      </c>
      <c r="G248" s="152">
        <v>2100000000</v>
      </c>
      <c r="H248" s="152">
        <v>400000000</v>
      </c>
    </row>
    <row r="249" spans="1:8" ht="14.4" customHeight="1" x14ac:dyDescent="0.3">
      <c r="A249" s="70">
        <v>248</v>
      </c>
      <c r="B249" s="150" t="s">
        <v>501</v>
      </c>
      <c r="C249" s="150" t="s">
        <v>502</v>
      </c>
      <c r="D249" s="151">
        <v>0</v>
      </c>
      <c r="E249" s="152"/>
      <c r="F249" s="152">
        <v>87000000</v>
      </c>
      <c r="G249" s="152">
        <v>178000000</v>
      </c>
      <c r="H249" s="152">
        <v>110000000</v>
      </c>
    </row>
    <row r="250" spans="1:8" ht="14.4" customHeight="1" x14ac:dyDescent="0.3">
      <c r="A250" s="70">
        <v>249</v>
      </c>
      <c r="B250" s="150" t="s">
        <v>503</v>
      </c>
      <c r="C250" s="150" t="s">
        <v>504</v>
      </c>
      <c r="D250" s="151"/>
      <c r="E250" s="152">
        <v>2172000000</v>
      </c>
      <c r="F250" s="152">
        <v>272000000</v>
      </c>
      <c r="G250" s="152"/>
      <c r="H250" s="152">
        <v>225000000</v>
      </c>
    </row>
    <row r="251" spans="1:8" ht="14.4" customHeight="1" x14ac:dyDescent="0.3">
      <c r="A251" s="70">
        <v>250</v>
      </c>
      <c r="B251" s="150" t="s">
        <v>505</v>
      </c>
      <c r="C251" s="150" t="s">
        <v>506</v>
      </c>
      <c r="D251" s="151">
        <v>0</v>
      </c>
      <c r="E251" s="152">
        <v>8000000000</v>
      </c>
      <c r="F251" s="152">
        <v>2465000000</v>
      </c>
      <c r="G251" s="152"/>
      <c r="H251" s="152">
        <v>225000000</v>
      </c>
    </row>
    <row r="252" spans="1:8" ht="14.4" customHeight="1" x14ac:dyDescent="0.3">
      <c r="A252" s="70">
        <v>251</v>
      </c>
      <c r="B252" s="150" t="s">
        <v>507</v>
      </c>
      <c r="C252" s="150" t="s">
        <v>508</v>
      </c>
      <c r="D252" s="151">
        <v>0</v>
      </c>
      <c r="E252" s="152">
        <v>7000000000</v>
      </c>
      <c r="F252" s="152">
        <v>1516000000</v>
      </c>
      <c r="G252" s="152"/>
      <c r="H252" s="152">
        <v>50000000</v>
      </c>
    </row>
    <row r="253" spans="1:8" ht="14.4" customHeight="1" x14ac:dyDescent="0.3">
      <c r="A253" s="70">
        <v>252</v>
      </c>
      <c r="B253" s="150" t="s">
        <v>509</v>
      </c>
      <c r="C253" s="150" t="s">
        <v>510</v>
      </c>
      <c r="D253" s="151">
        <v>0</v>
      </c>
      <c r="E253" s="152">
        <v>9000000000</v>
      </c>
      <c r="F253" s="152">
        <v>2000000000</v>
      </c>
      <c r="G253" s="152"/>
      <c r="H253" s="152">
        <v>475000000</v>
      </c>
    </row>
    <row r="254" spans="1:8" ht="14.4" customHeight="1" x14ac:dyDescent="0.3">
      <c r="A254" s="70">
        <v>253</v>
      </c>
      <c r="B254" s="150" t="s">
        <v>511</v>
      </c>
      <c r="C254" s="150" t="s">
        <v>512</v>
      </c>
      <c r="D254" s="151">
        <v>0</v>
      </c>
      <c r="E254" s="152">
        <v>8000000000</v>
      </c>
      <c r="F254" s="152">
        <v>1000000000</v>
      </c>
      <c r="G254" s="152"/>
      <c r="H254" s="152">
        <v>100000000</v>
      </c>
    </row>
    <row r="255" spans="1:8" ht="14.4" customHeight="1" x14ac:dyDescent="0.3">
      <c r="A255" s="70">
        <v>254</v>
      </c>
      <c r="B255" s="150" t="s">
        <v>513</v>
      </c>
      <c r="C255" s="150" t="s">
        <v>514</v>
      </c>
      <c r="D255" s="151"/>
      <c r="E255" s="152">
        <v>1191000000</v>
      </c>
      <c r="F255" s="152">
        <v>301000000</v>
      </c>
      <c r="G255" s="152"/>
      <c r="H255" s="152">
        <v>200000000</v>
      </c>
    </row>
    <row r="256" spans="1:8" ht="14.4" customHeight="1" x14ac:dyDescent="0.3">
      <c r="A256" s="70">
        <v>255</v>
      </c>
      <c r="B256" s="150" t="s">
        <v>515</v>
      </c>
      <c r="C256" s="150" t="s">
        <v>516</v>
      </c>
      <c r="D256" s="151"/>
      <c r="E256" s="152">
        <v>0</v>
      </c>
      <c r="F256" s="152">
        <v>150000000</v>
      </c>
      <c r="G256" s="152"/>
      <c r="H256" s="152">
        <v>150000000</v>
      </c>
    </row>
    <row r="257" spans="1:8" ht="14.4" customHeight="1" x14ac:dyDescent="0.3">
      <c r="A257" s="70">
        <v>256</v>
      </c>
      <c r="B257" s="150" t="s">
        <v>517</v>
      </c>
      <c r="C257" s="150" t="s">
        <v>518</v>
      </c>
      <c r="D257" s="151"/>
      <c r="E257" s="152">
        <v>190000000</v>
      </c>
      <c r="F257" s="152">
        <v>100000000</v>
      </c>
      <c r="G257" s="152"/>
      <c r="H257" s="152">
        <v>100000000</v>
      </c>
    </row>
    <row r="258" spans="1:8" ht="14.4" customHeight="1" x14ac:dyDescent="0.3">
      <c r="A258" s="70">
        <v>257</v>
      </c>
      <c r="B258" s="150" t="s">
        <v>519</v>
      </c>
      <c r="C258" s="150" t="s">
        <v>520</v>
      </c>
      <c r="D258" s="151"/>
      <c r="E258" s="152"/>
      <c r="F258" s="152">
        <v>150000000</v>
      </c>
      <c r="G258" s="152"/>
      <c r="H258" s="152">
        <v>150000000</v>
      </c>
    </row>
    <row r="259" spans="1:8" ht="14.4" customHeight="1" x14ac:dyDescent="0.3">
      <c r="A259" s="70">
        <v>258</v>
      </c>
      <c r="B259" s="150" t="s">
        <v>521</v>
      </c>
      <c r="C259" s="150" t="s">
        <v>522</v>
      </c>
      <c r="D259" s="151"/>
      <c r="E259" s="152">
        <v>250000000</v>
      </c>
      <c r="F259" s="152">
        <v>200000000</v>
      </c>
      <c r="G259" s="152"/>
      <c r="H259" s="152">
        <v>150000000</v>
      </c>
    </row>
    <row r="260" spans="1:8" ht="14.4" customHeight="1" x14ac:dyDescent="0.3">
      <c r="A260" s="70">
        <v>259</v>
      </c>
      <c r="B260" s="150" t="s">
        <v>523</v>
      </c>
      <c r="C260" s="150" t="s">
        <v>524</v>
      </c>
      <c r="D260" s="151">
        <v>0</v>
      </c>
      <c r="E260" s="152">
        <v>300000000</v>
      </c>
      <c r="F260" s="152">
        <v>300000000</v>
      </c>
      <c r="G260" s="152"/>
      <c r="H260" s="152">
        <v>110000000</v>
      </c>
    </row>
    <row r="261" spans="1:8" ht="14.4" customHeight="1" x14ac:dyDescent="0.3">
      <c r="A261" s="70">
        <v>260</v>
      </c>
      <c r="B261" s="150" t="s">
        <v>525</v>
      </c>
      <c r="C261" s="150" t="s">
        <v>526</v>
      </c>
      <c r="D261" s="151">
        <v>90000000</v>
      </c>
      <c r="E261" s="152">
        <v>75000000</v>
      </c>
      <c r="F261" s="152">
        <v>90000000</v>
      </c>
      <c r="G261" s="152">
        <v>90000000</v>
      </c>
      <c r="H261" s="152">
        <v>50000000</v>
      </c>
    </row>
    <row r="262" spans="1:8" ht="14.4" customHeight="1" x14ac:dyDescent="0.3">
      <c r="A262" s="70">
        <v>261</v>
      </c>
      <c r="B262" s="150" t="s">
        <v>527</v>
      </c>
      <c r="C262" s="150" t="s">
        <v>528</v>
      </c>
      <c r="D262" s="151"/>
      <c r="E262" s="152"/>
      <c r="F262" s="152">
        <v>150000000</v>
      </c>
      <c r="G262" s="152">
        <v>750000000</v>
      </c>
      <c r="H262" s="152">
        <v>150000000</v>
      </c>
    </row>
    <row r="263" spans="1:8" ht="14.4" customHeight="1" x14ac:dyDescent="0.3">
      <c r="A263" s="70">
        <v>262</v>
      </c>
      <c r="B263" s="150" t="s">
        <v>529</v>
      </c>
      <c r="C263" s="150" t="s">
        <v>530</v>
      </c>
      <c r="D263" s="151"/>
      <c r="E263" s="152"/>
      <c r="F263" s="152">
        <v>300000000</v>
      </c>
      <c r="G263" s="152"/>
      <c r="H263" s="152">
        <v>100000000</v>
      </c>
    </row>
    <row r="264" spans="1:8" ht="14.4" customHeight="1" x14ac:dyDescent="0.3">
      <c r="A264" s="70">
        <v>263</v>
      </c>
      <c r="B264" s="150" t="s">
        <v>531</v>
      </c>
      <c r="C264" s="150" t="s">
        <v>532</v>
      </c>
      <c r="D264" s="151"/>
      <c r="E264" s="152">
        <v>280000000</v>
      </c>
      <c r="F264" s="152">
        <v>110000000</v>
      </c>
      <c r="G264" s="152"/>
      <c r="H264" s="152">
        <v>95000000</v>
      </c>
    </row>
    <row r="265" spans="1:8" ht="14.4" customHeight="1" x14ac:dyDescent="0.3">
      <c r="A265" s="70">
        <v>264</v>
      </c>
      <c r="B265" s="150" t="s">
        <v>533</v>
      </c>
      <c r="C265" s="150" t="s">
        <v>534</v>
      </c>
      <c r="D265" s="151">
        <v>0</v>
      </c>
      <c r="E265" s="152"/>
      <c r="F265" s="152">
        <v>36000000</v>
      </c>
      <c r="G265" s="152">
        <v>142000000</v>
      </c>
      <c r="H265" s="152">
        <v>100000000</v>
      </c>
    </row>
    <row r="266" spans="1:8" ht="14.4" customHeight="1" x14ac:dyDescent="0.3">
      <c r="A266" s="70">
        <v>265</v>
      </c>
      <c r="B266" s="150" t="s">
        <v>535</v>
      </c>
      <c r="C266" s="150" t="s">
        <v>536</v>
      </c>
      <c r="D266" s="151"/>
      <c r="E266" s="152">
        <v>600000000</v>
      </c>
      <c r="F266" s="152">
        <v>300000000</v>
      </c>
      <c r="G266" s="152"/>
      <c r="H266" s="152">
        <v>100000000</v>
      </c>
    </row>
    <row r="267" spans="1:8" ht="14.4" customHeight="1" x14ac:dyDescent="0.3">
      <c r="A267" s="70">
        <v>266</v>
      </c>
      <c r="B267" s="150" t="s">
        <v>537</v>
      </c>
      <c r="C267" s="150" t="s">
        <v>538</v>
      </c>
      <c r="D267" s="151">
        <v>0</v>
      </c>
      <c r="E267" s="152">
        <v>900000000</v>
      </c>
      <c r="F267" s="152">
        <v>300000000</v>
      </c>
      <c r="G267" s="152"/>
      <c r="H267" s="152">
        <v>200000000</v>
      </c>
    </row>
    <row r="268" spans="1:8" ht="14.4" customHeight="1" x14ac:dyDescent="0.3">
      <c r="A268" s="70">
        <v>267</v>
      </c>
      <c r="B268" s="150" t="s">
        <v>539</v>
      </c>
      <c r="C268" s="150" t="s">
        <v>540</v>
      </c>
      <c r="D268" s="151"/>
      <c r="E268" s="152"/>
      <c r="F268" s="152">
        <v>85000000</v>
      </c>
      <c r="G268" s="152">
        <v>189000000</v>
      </c>
      <c r="H268" s="152">
        <v>85000000</v>
      </c>
    </row>
    <row r="269" spans="1:8" ht="14.4" customHeight="1" x14ac:dyDescent="0.3">
      <c r="A269" s="70">
        <v>268</v>
      </c>
      <c r="B269" s="150" t="s">
        <v>541</v>
      </c>
      <c r="C269" s="150" t="s">
        <v>542</v>
      </c>
      <c r="D269" s="151">
        <v>5000000</v>
      </c>
      <c r="E269" s="152">
        <v>25000000</v>
      </c>
      <c r="F269" s="152">
        <v>5000000</v>
      </c>
      <c r="G269" s="152">
        <v>5000000</v>
      </c>
      <c r="H269" s="152">
        <v>30000000</v>
      </c>
    </row>
    <row r="270" spans="1:8" ht="14.4" customHeight="1" x14ac:dyDescent="0.3">
      <c r="A270" s="70">
        <v>269</v>
      </c>
      <c r="B270" s="150" t="s">
        <v>543</v>
      </c>
      <c r="C270" s="150" t="s">
        <v>544</v>
      </c>
      <c r="D270" s="151">
        <v>0</v>
      </c>
      <c r="E270" s="152">
        <v>2500000000</v>
      </c>
      <c r="F270" s="152">
        <v>1300000000</v>
      </c>
      <c r="G270" s="152"/>
      <c r="H270" s="152">
        <v>125000000</v>
      </c>
    </row>
    <row r="271" spans="1:8" ht="14.4" customHeight="1" x14ac:dyDescent="0.3">
      <c r="A271" s="70">
        <v>270</v>
      </c>
      <c r="B271" s="150" t="s">
        <v>545</v>
      </c>
      <c r="C271" s="150" t="s">
        <v>546</v>
      </c>
      <c r="D271" s="151">
        <v>0</v>
      </c>
      <c r="E271" s="152">
        <v>1000000000</v>
      </c>
      <c r="F271" s="152">
        <v>750000000</v>
      </c>
      <c r="G271" s="152"/>
      <c r="H271" s="152">
        <v>100000000</v>
      </c>
    </row>
    <row r="272" spans="1:8" ht="14.4" customHeight="1" x14ac:dyDescent="0.3">
      <c r="A272" s="70">
        <v>271</v>
      </c>
      <c r="B272" s="150" t="s">
        <v>547</v>
      </c>
      <c r="C272" s="150" t="s">
        <v>548</v>
      </c>
      <c r="D272" s="151">
        <v>0</v>
      </c>
      <c r="E272" s="152">
        <v>0</v>
      </c>
      <c r="F272" s="152">
        <v>500000000</v>
      </c>
      <c r="G272" s="152">
        <v>2400000000</v>
      </c>
      <c r="H272" s="152">
        <v>100000000</v>
      </c>
    </row>
    <row r="273" spans="1:8" ht="14.4" customHeight="1" x14ac:dyDescent="0.3">
      <c r="A273" s="70">
        <v>272</v>
      </c>
      <c r="B273" s="150" t="s">
        <v>549</v>
      </c>
      <c r="C273" s="150" t="s">
        <v>550</v>
      </c>
      <c r="D273" s="151"/>
      <c r="E273" s="152"/>
      <c r="F273" s="152">
        <v>1000000000</v>
      </c>
      <c r="G273" s="152">
        <v>3800000000</v>
      </c>
      <c r="H273" s="152">
        <v>500000000</v>
      </c>
    </row>
    <row r="274" spans="1:8" ht="14.4" customHeight="1" x14ac:dyDescent="0.3">
      <c r="A274" s="70">
        <v>273</v>
      </c>
      <c r="B274" s="150" t="s">
        <v>551</v>
      </c>
      <c r="C274" s="150" t="s">
        <v>552</v>
      </c>
      <c r="D274" s="151"/>
      <c r="E274" s="152"/>
      <c r="F274" s="152">
        <v>1427000000</v>
      </c>
      <c r="G274" s="152">
        <v>4800000000</v>
      </c>
      <c r="H274" s="152">
        <v>500000000</v>
      </c>
    </row>
    <row r="275" spans="1:8" ht="14.4" customHeight="1" x14ac:dyDescent="0.3">
      <c r="A275" s="70">
        <v>274</v>
      </c>
      <c r="B275" s="150" t="s">
        <v>553</v>
      </c>
      <c r="C275" s="150" t="s">
        <v>554</v>
      </c>
      <c r="D275" s="151"/>
      <c r="E275" s="152"/>
      <c r="F275" s="152">
        <v>1000000000</v>
      </c>
      <c r="G275" s="152">
        <v>3800000000</v>
      </c>
      <c r="H275" s="152">
        <v>500000000</v>
      </c>
    </row>
    <row r="276" spans="1:8" ht="14.4" customHeight="1" x14ac:dyDescent="0.3">
      <c r="A276" s="70">
        <v>275</v>
      </c>
      <c r="B276" s="150" t="s">
        <v>555</v>
      </c>
      <c r="C276" s="150" t="s">
        <v>556</v>
      </c>
      <c r="D276" s="151"/>
      <c r="E276" s="152"/>
      <c r="F276" s="152">
        <v>1800000000</v>
      </c>
      <c r="G276" s="152">
        <v>2000000000</v>
      </c>
      <c r="H276" s="152">
        <v>400000000</v>
      </c>
    </row>
    <row r="277" spans="1:8" ht="14.4" customHeight="1" x14ac:dyDescent="0.3">
      <c r="A277" s="70">
        <v>276</v>
      </c>
      <c r="B277" s="150" t="s">
        <v>557</v>
      </c>
      <c r="C277" s="150" t="s">
        <v>558</v>
      </c>
      <c r="D277" s="151"/>
      <c r="E277" s="152">
        <v>600000000</v>
      </c>
      <c r="F277" s="152">
        <v>767000000</v>
      </c>
      <c r="G277" s="152"/>
      <c r="H277" s="152">
        <v>100000000</v>
      </c>
    </row>
    <row r="278" spans="1:8" ht="14.4" customHeight="1" x14ac:dyDescent="0.3">
      <c r="A278" s="70">
        <v>277</v>
      </c>
      <c r="B278" s="150" t="s">
        <v>559</v>
      </c>
      <c r="C278" s="150" t="s">
        <v>560</v>
      </c>
      <c r="D278" s="151">
        <v>0</v>
      </c>
      <c r="E278" s="152">
        <v>30000000</v>
      </c>
      <c r="F278" s="152">
        <v>300000000</v>
      </c>
      <c r="G278" s="152"/>
      <c r="H278" s="152">
        <v>300000000</v>
      </c>
    </row>
    <row r="279" spans="1:8" ht="14.4" customHeight="1" x14ac:dyDescent="0.3">
      <c r="A279" s="70">
        <v>278</v>
      </c>
      <c r="B279" s="150" t="s">
        <v>561</v>
      </c>
      <c r="C279" s="150" t="s">
        <v>562</v>
      </c>
      <c r="D279" s="151">
        <v>0</v>
      </c>
      <c r="E279" s="152">
        <v>0</v>
      </c>
      <c r="F279" s="152">
        <v>200000000</v>
      </c>
      <c r="G279" s="152">
        <v>1200000000</v>
      </c>
      <c r="H279" s="152">
        <v>175000000</v>
      </c>
    </row>
    <row r="280" spans="1:8" ht="14.4" customHeight="1" x14ac:dyDescent="0.3">
      <c r="A280" s="70">
        <v>279</v>
      </c>
      <c r="B280" s="150" t="s">
        <v>563</v>
      </c>
      <c r="C280" s="150" t="s">
        <v>564</v>
      </c>
      <c r="D280" s="151">
        <v>0</v>
      </c>
      <c r="E280" s="152">
        <v>0</v>
      </c>
      <c r="F280" s="152">
        <v>200000000</v>
      </c>
      <c r="G280" s="152">
        <v>1000000000</v>
      </c>
      <c r="H280" s="152">
        <v>175000000</v>
      </c>
    </row>
    <row r="281" spans="1:8" ht="14.4" customHeight="1" x14ac:dyDescent="0.3">
      <c r="A281" s="70">
        <v>280</v>
      </c>
      <c r="B281" s="150" t="s">
        <v>565</v>
      </c>
      <c r="C281" s="150" t="s">
        <v>566</v>
      </c>
      <c r="D281" s="151">
        <v>0</v>
      </c>
      <c r="E281" s="152">
        <v>0</v>
      </c>
      <c r="F281" s="152">
        <v>150000000</v>
      </c>
      <c r="G281" s="152">
        <v>940000000</v>
      </c>
      <c r="H281" s="152">
        <v>150000000</v>
      </c>
    </row>
    <row r="282" spans="1:8" ht="14.4" customHeight="1" x14ac:dyDescent="0.3">
      <c r="A282" s="70">
        <v>281</v>
      </c>
      <c r="B282" s="150" t="s">
        <v>567</v>
      </c>
      <c r="C282" s="150" t="s">
        <v>568</v>
      </c>
      <c r="D282" s="151">
        <v>0</v>
      </c>
      <c r="E282" s="152">
        <v>0</v>
      </c>
      <c r="F282" s="152">
        <v>240000000</v>
      </c>
      <c r="G282" s="152">
        <v>959000000</v>
      </c>
      <c r="H282" s="152">
        <v>85000000</v>
      </c>
    </row>
    <row r="283" spans="1:8" ht="14.4" customHeight="1" x14ac:dyDescent="0.3">
      <c r="A283" s="70">
        <v>282</v>
      </c>
      <c r="B283" s="150" t="s">
        <v>569</v>
      </c>
      <c r="C283" s="150" t="s">
        <v>570</v>
      </c>
      <c r="D283" s="151">
        <v>0</v>
      </c>
      <c r="E283" s="152">
        <v>1249000000</v>
      </c>
      <c r="F283" s="152">
        <v>208000000</v>
      </c>
      <c r="G283" s="152"/>
      <c r="H283" s="152">
        <v>100000000</v>
      </c>
    </row>
    <row r="284" spans="1:8" ht="14.4" customHeight="1" x14ac:dyDescent="0.3">
      <c r="A284" s="70">
        <v>283</v>
      </c>
      <c r="B284" s="150">
        <v>272383405</v>
      </c>
      <c r="C284" s="150" t="s">
        <v>571</v>
      </c>
      <c r="D284" s="151"/>
      <c r="E284" s="152">
        <v>900000000</v>
      </c>
      <c r="F284" s="152">
        <v>250000000</v>
      </c>
      <c r="G284" s="152"/>
      <c r="H284" s="152">
        <v>175000000</v>
      </c>
    </row>
    <row r="285" spans="1:8" ht="14.4" customHeight="1" x14ac:dyDescent="0.3">
      <c r="A285" s="70">
        <v>284</v>
      </c>
      <c r="B285" s="150" t="s">
        <v>572</v>
      </c>
      <c r="C285" s="150" t="s">
        <v>573</v>
      </c>
      <c r="D285" s="151"/>
      <c r="E285" s="152">
        <v>375000000</v>
      </c>
      <c r="F285" s="152">
        <v>75000000</v>
      </c>
      <c r="G285" s="152"/>
      <c r="H285" s="152">
        <v>75000000</v>
      </c>
    </row>
    <row r="286" spans="1:8" ht="14.4" customHeight="1" x14ac:dyDescent="0.3">
      <c r="A286" s="70">
        <v>285</v>
      </c>
      <c r="B286" s="150" t="s">
        <v>574</v>
      </c>
      <c r="C286" s="150" t="s">
        <v>575</v>
      </c>
      <c r="D286" s="151"/>
      <c r="E286" s="152">
        <v>275000000</v>
      </c>
      <c r="F286" s="152">
        <v>75000000</v>
      </c>
      <c r="G286" s="152"/>
      <c r="H286" s="152">
        <v>75000000</v>
      </c>
    </row>
    <row r="287" spans="1:8" ht="14.4" customHeight="1" x14ac:dyDescent="0.3">
      <c r="A287" s="70">
        <v>286</v>
      </c>
      <c r="B287" s="150" t="s">
        <v>576</v>
      </c>
      <c r="C287" s="150" t="s">
        <v>577</v>
      </c>
      <c r="D287" s="151"/>
      <c r="E287" s="152">
        <v>1100000000</v>
      </c>
      <c r="F287" s="152">
        <v>450000000</v>
      </c>
      <c r="G287" s="152"/>
      <c r="H287" s="152">
        <v>175000000</v>
      </c>
    </row>
    <row r="288" spans="1:8" ht="14.4" customHeight="1" x14ac:dyDescent="0.3">
      <c r="A288" s="70">
        <v>287</v>
      </c>
      <c r="B288" s="150" t="s">
        <v>578</v>
      </c>
      <c r="C288" s="150" t="s">
        <v>579</v>
      </c>
      <c r="D288" s="151">
        <v>0</v>
      </c>
      <c r="E288" s="152">
        <v>0</v>
      </c>
      <c r="F288" s="152">
        <v>47163000000</v>
      </c>
      <c r="G288" s="152">
        <v>102823000000</v>
      </c>
      <c r="H288" s="152">
        <v>100000000</v>
      </c>
    </row>
    <row r="289" spans="1:8" ht="14.4" customHeight="1" x14ac:dyDescent="0.3">
      <c r="A289" s="70">
        <v>288</v>
      </c>
      <c r="B289" s="150" t="s">
        <v>580</v>
      </c>
      <c r="C289" s="150" t="s">
        <v>581</v>
      </c>
      <c r="D289" s="151">
        <v>0</v>
      </c>
      <c r="E289" s="152">
        <v>0</v>
      </c>
      <c r="F289" s="152">
        <v>44649000000</v>
      </c>
      <c r="G289" s="152">
        <v>77130000000</v>
      </c>
      <c r="H289" s="152">
        <v>50000000</v>
      </c>
    </row>
    <row r="290" spans="1:8" ht="14.4" customHeight="1" x14ac:dyDescent="0.3">
      <c r="A290" s="70">
        <v>289</v>
      </c>
      <c r="B290" s="150" t="s">
        <v>582</v>
      </c>
      <c r="C290" s="150" t="s">
        <v>583</v>
      </c>
      <c r="D290" s="151">
        <v>0</v>
      </c>
      <c r="E290" s="152">
        <v>0</v>
      </c>
      <c r="F290" s="152">
        <v>40000000000</v>
      </c>
      <c r="G290" s="152">
        <v>110000000000</v>
      </c>
      <c r="H290" s="152">
        <v>150000000</v>
      </c>
    </row>
    <row r="291" spans="1:8" ht="14.4" customHeight="1" x14ac:dyDescent="0.3">
      <c r="A291" s="70">
        <v>290</v>
      </c>
      <c r="B291" s="150" t="s">
        <v>584</v>
      </c>
      <c r="C291" s="150" t="s">
        <v>585</v>
      </c>
      <c r="D291" s="151">
        <v>0</v>
      </c>
      <c r="E291" s="152">
        <v>0</v>
      </c>
      <c r="F291" s="152">
        <v>43000000000</v>
      </c>
      <c r="G291" s="152">
        <v>78000000000</v>
      </c>
      <c r="H291" s="152">
        <v>150000000</v>
      </c>
    </row>
    <row r="292" spans="1:8" ht="14.4" customHeight="1" x14ac:dyDescent="0.3">
      <c r="A292" s="70">
        <v>291</v>
      </c>
      <c r="B292" s="150" t="s">
        <v>586</v>
      </c>
      <c r="C292" s="150" t="s">
        <v>587</v>
      </c>
      <c r="D292" s="151">
        <v>0</v>
      </c>
      <c r="E292" s="152">
        <v>0</v>
      </c>
      <c r="F292" s="152">
        <v>40000000000</v>
      </c>
      <c r="G292" s="152">
        <v>38000000000</v>
      </c>
      <c r="H292" s="152">
        <v>75000000</v>
      </c>
    </row>
    <row r="293" spans="1:8" ht="14.4" customHeight="1" x14ac:dyDescent="0.3">
      <c r="A293" s="70">
        <v>292</v>
      </c>
      <c r="B293" s="150" t="s">
        <v>588</v>
      </c>
      <c r="C293" s="150" t="s">
        <v>589</v>
      </c>
      <c r="D293" s="151">
        <v>0</v>
      </c>
      <c r="E293" s="152">
        <v>0</v>
      </c>
      <c r="F293" s="152">
        <v>7671000000</v>
      </c>
      <c r="G293" s="152">
        <v>11833000000</v>
      </c>
      <c r="H293" s="152">
        <v>80000000</v>
      </c>
    </row>
    <row r="294" spans="1:8" ht="14.4" customHeight="1" x14ac:dyDescent="0.3">
      <c r="A294" s="70">
        <v>293</v>
      </c>
      <c r="B294" s="150" t="s">
        <v>590</v>
      </c>
      <c r="C294" s="150" t="s">
        <v>591</v>
      </c>
      <c r="D294" s="151">
        <v>0</v>
      </c>
      <c r="E294" s="152">
        <v>2887000000</v>
      </c>
      <c r="F294" s="152">
        <v>575000000</v>
      </c>
      <c r="G294" s="152"/>
      <c r="H294" s="152">
        <v>575000000</v>
      </c>
    </row>
    <row r="295" spans="1:8" ht="14.4" customHeight="1" x14ac:dyDescent="0.3">
      <c r="A295" s="70">
        <v>294</v>
      </c>
      <c r="B295" s="150" t="s">
        <v>592</v>
      </c>
      <c r="C295" s="150" t="s">
        <v>593</v>
      </c>
      <c r="D295" s="151">
        <v>0</v>
      </c>
      <c r="E295" s="152">
        <v>0</v>
      </c>
      <c r="F295" s="152">
        <v>500000000</v>
      </c>
      <c r="G295" s="152">
        <v>5479000000</v>
      </c>
      <c r="H295" s="152">
        <v>225000000</v>
      </c>
    </row>
    <row r="296" spans="1:8" ht="14.4" customHeight="1" x14ac:dyDescent="0.3">
      <c r="A296" s="70">
        <v>295</v>
      </c>
      <c r="B296" s="150" t="s">
        <v>594</v>
      </c>
      <c r="C296" s="150" t="s">
        <v>595</v>
      </c>
      <c r="D296" s="151">
        <v>0</v>
      </c>
      <c r="E296" s="152">
        <v>0</v>
      </c>
      <c r="F296" s="152">
        <v>500000000</v>
      </c>
      <c r="G296" s="152">
        <v>2920000000</v>
      </c>
      <c r="H296" s="152">
        <v>200000000</v>
      </c>
    </row>
    <row r="297" spans="1:8" ht="14.4" customHeight="1" x14ac:dyDescent="0.3">
      <c r="A297" s="70">
        <v>296</v>
      </c>
      <c r="B297" s="150" t="s">
        <v>596</v>
      </c>
      <c r="C297" s="150" t="s">
        <v>597</v>
      </c>
      <c r="D297" s="151">
        <v>0</v>
      </c>
      <c r="E297" s="152">
        <v>525000000</v>
      </c>
      <c r="F297" s="152">
        <v>150000000</v>
      </c>
      <c r="G297" s="152"/>
      <c r="H297" s="152">
        <v>100000000</v>
      </c>
    </row>
    <row r="298" spans="1:8" ht="14.4" customHeight="1" x14ac:dyDescent="0.3">
      <c r="A298" s="70">
        <v>297</v>
      </c>
      <c r="B298" s="150" t="s">
        <v>598</v>
      </c>
      <c r="C298" s="150" t="s">
        <v>599</v>
      </c>
      <c r="D298" s="151"/>
      <c r="E298" s="152"/>
      <c r="F298" s="152">
        <v>250000000</v>
      </c>
      <c r="G298" s="152">
        <v>2920000000</v>
      </c>
      <c r="H298" s="152">
        <v>75000000</v>
      </c>
    </row>
    <row r="299" spans="1:8" ht="14.4" customHeight="1" x14ac:dyDescent="0.3">
      <c r="A299" s="70">
        <v>298</v>
      </c>
      <c r="B299" s="150" t="s">
        <v>600</v>
      </c>
      <c r="C299" s="150" t="s">
        <v>601</v>
      </c>
      <c r="D299" s="151"/>
      <c r="E299" s="152">
        <v>1800000000</v>
      </c>
      <c r="F299" s="152">
        <v>312000000</v>
      </c>
      <c r="G299" s="152"/>
      <c r="H299" s="152">
        <v>50000000</v>
      </c>
    </row>
    <row r="300" spans="1:8" ht="14.4" customHeight="1" x14ac:dyDescent="0.3">
      <c r="A300" s="70">
        <v>299</v>
      </c>
      <c r="B300" s="150" t="s">
        <v>602</v>
      </c>
      <c r="C300" s="150" t="s">
        <v>603</v>
      </c>
      <c r="D300" s="151"/>
      <c r="E300" s="152"/>
      <c r="F300" s="152">
        <v>1225000000</v>
      </c>
      <c r="G300" s="152">
        <v>3065000000</v>
      </c>
      <c r="H300" s="152">
        <v>175000000</v>
      </c>
    </row>
    <row r="301" spans="1:8" ht="14.4" customHeight="1" x14ac:dyDescent="0.3">
      <c r="A301" s="70">
        <v>300</v>
      </c>
      <c r="B301" s="150" t="s">
        <v>604</v>
      </c>
      <c r="C301" s="150" t="s">
        <v>605</v>
      </c>
      <c r="D301" s="151"/>
      <c r="E301" s="152"/>
      <c r="F301" s="152">
        <v>520000000</v>
      </c>
      <c r="G301" s="152">
        <v>2550000000</v>
      </c>
      <c r="H301" s="152">
        <v>150000000</v>
      </c>
    </row>
    <row r="302" spans="1:8" ht="14.4" customHeight="1" x14ac:dyDescent="0.3">
      <c r="A302" s="70">
        <v>301</v>
      </c>
      <c r="B302" s="150" t="s">
        <v>606</v>
      </c>
      <c r="C302" s="150" t="s">
        <v>607</v>
      </c>
      <c r="D302" s="151"/>
      <c r="E302" s="152"/>
      <c r="F302" s="152">
        <v>300000000</v>
      </c>
      <c r="G302" s="152">
        <v>2500000000</v>
      </c>
      <c r="H302" s="152">
        <v>75000000</v>
      </c>
    </row>
    <row r="303" spans="1:8" ht="14.4" customHeight="1" x14ac:dyDescent="0.3">
      <c r="A303" s="70">
        <v>302</v>
      </c>
      <c r="B303" s="150" t="s">
        <v>608</v>
      </c>
      <c r="C303" s="150" t="s">
        <v>609</v>
      </c>
      <c r="D303" s="151"/>
      <c r="E303" s="152"/>
      <c r="F303" s="152">
        <v>300000000</v>
      </c>
      <c r="G303" s="152">
        <v>1300000000</v>
      </c>
      <c r="H303" s="152">
        <v>75000000</v>
      </c>
    </row>
    <row r="304" spans="1:8" ht="14.4" customHeight="1" x14ac:dyDescent="0.3">
      <c r="A304" s="70">
        <v>303</v>
      </c>
      <c r="B304" s="150" t="s">
        <v>610</v>
      </c>
      <c r="C304" s="150" t="s">
        <v>611</v>
      </c>
      <c r="D304" s="151"/>
      <c r="E304" s="152"/>
      <c r="F304" s="152">
        <v>150000000</v>
      </c>
      <c r="G304" s="152">
        <v>403000000</v>
      </c>
      <c r="H304" s="152">
        <v>225000000</v>
      </c>
    </row>
    <row r="305" spans="1:8" ht="14.4" customHeight="1" x14ac:dyDescent="0.3">
      <c r="A305" s="70">
        <v>304</v>
      </c>
      <c r="B305" s="150" t="s">
        <v>612</v>
      </c>
      <c r="C305" s="150" t="s">
        <v>613</v>
      </c>
      <c r="D305" s="151"/>
      <c r="E305" s="152"/>
      <c r="F305" s="152">
        <v>150000000</v>
      </c>
      <c r="G305" s="152">
        <v>259000000</v>
      </c>
      <c r="H305" s="152">
        <v>75000000</v>
      </c>
    </row>
    <row r="306" spans="1:8" ht="14.4" customHeight="1" x14ac:dyDescent="0.3">
      <c r="A306" s="70">
        <v>305</v>
      </c>
      <c r="B306" s="150" t="s">
        <v>614</v>
      </c>
      <c r="C306" s="150" t="s">
        <v>615</v>
      </c>
      <c r="D306" s="151">
        <v>0</v>
      </c>
      <c r="E306" s="152">
        <v>95500000</v>
      </c>
      <c r="F306" s="152">
        <v>300000000</v>
      </c>
      <c r="G306" s="152"/>
      <c r="H306" s="152">
        <v>150000000</v>
      </c>
    </row>
    <row r="307" spans="1:8" ht="14.4" customHeight="1" x14ac:dyDescent="0.3">
      <c r="A307" s="70">
        <v>306</v>
      </c>
      <c r="B307" s="150" t="s">
        <v>616</v>
      </c>
      <c r="C307" s="150" t="s">
        <v>617</v>
      </c>
      <c r="D307" s="151"/>
      <c r="E307" s="152">
        <v>800000000</v>
      </c>
      <c r="F307" s="152">
        <v>600000000</v>
      </c>
      <c r="G307" s="152"/>
      <c r="H307" s="152">
        <v>325000000</v>
      </c>
    </row>
    <row r="308" spans="1:8" ht="14.4" customHeight="1" x14ac:dyDescent="0.3">
      <c r="A308" s="70">
        <v>307</v>
      </c>
      <c r="B308" s="150" t="s">
        <v>618</v>
      </c>
      <c r="C308" s="150" t="s">
        <v>619</v>
      </c>
      <c r="D308" s="151">
        <v>0</v>
      </c>
      <c r="E308" s="152">
        <v>250000000</v>
      </c>
      <c r="F308" s="152">
        <v>100000000</v>
      </c>
      <c r="G308" s="152"/>
      <c r="H308" s="152">
        <v>100000000</v>
      </c>
    </row>
    <row r="309" spans="1:8" ht="14.4" customHeight="1" x14ac:dyDescent="0.3">
      <c r="A309" s="70">
        <v>308</v>
      </c>
      <c r="B309" s="150" t="s">
        <v>620</v>
      </c>
      <c r="C309" s="150" t="s">
        <v>621</v>
      </c>
      <c r="D309" s="151">
        <v>0</v>
      </c>
      <c r="E309" s="152">
        <v>1050000000</v>
      </c>
      <c r="F309" s="152">
        <v>140000000</v>
      </c>
      <c r="G309" s="152"/>
      <c r="H309" s="152">
        <v>70000000</v>
      </c>
    </row>
    <row r="310" spans="1:8" ht="14.4" customHeight="1" x14ac:dyDescent="0.3">
      <c r="A310" s="70">
        <v>309</v>
      </c>
      <c r="B310" s="150" t="s">
        <v>622</v>
      </c>
      <c r="C310" s="150" t="s">
        <v>623</v>
      </c>
      <c r="D310" s="151"/>
      <c r="E310" s="152">
        <v>1600000000</v>
      </c>
      <c r="F310" s="152">
        <v>800000000</v>
      </c>
      <c r="G310" s="152"/>
      <c r="H310" s="152">
        <v>250000000</v>
      </c>
    </row>
    <row r="311" spans="1:8" ht="14.4" customHeight="1" x14ac:dyDescent="0.3">
      <c r="A311" s="70">
        <v>310</v>
      </c>
      <c r="B311" s="150" t="s">
        <v>624</v>
      </c>
      <c r="C311" s="150" t="s">
        <v>625</v>
      </c>
      <c r="D311" s="151">
        <v>0</v>
      </c>
      <c r="E311" s="152">
        <v>3400000000</v>
      </c>
      <c r="F311" s="152">
        <v>600000000</v>
      </c>
      <c r="G311" s="152"/>
      <c r="H311" s="152">
        <v>150000000</v>
      </c>
    </row>
    <row r="312" spans="1:8" ht="14.4" customHeight="1" x14ac:dyDescent="0.3">
      <c r="A312" s="70">
        <v>311</v>
      </c>
      <c r="B312" s="150" t="s">
        <v>626</v>
      </c>
      <c r="C312" s="150" t="s">
        <v>627</v>
      </c>
      <c r="D312" s="151"/>
      <c r="E312" s="152"/>
      <c r="F312" s="152">
        <v>137000000</v>
      </c>
      <c r="G312" s="152"/>
      <c r="H312" s="152">
        <v>75000000</v>
      </c>
    </row>
    <row r="313" spans="1:8" ht="14.4" customHeight="1" x14ac:dyDescent="0.3">
      <c r="A313" s="70">
        <v>312</v>
      </c>
      <c r="B313" s="150" t="s">
        <v>628</v>
      </c>
      <c r="C313" s="150" t="s">
        <v>629</v>
      </c>
      <c r="D313" s="151">
        <v>0</v>
      </c>
      <c r="E313" s="152">
        <v>0</v>
      </c>
      <c r="F313" s="152">
        <v>273900000</v>
      </c>
      <c r="G313" s="152"/>
      <c r="H313" s="152">
        <v>240000000</v>
      </c>
    </row>
    <row r="314" spans="1:8" ht="14.4" customHeight="1" x14ac:dyDescent="0.3">
      <c r="A314" s="70">
        <v>313</v>
      </c>
      <c r="B314" s="150" t="s">
        <v>630</v>
      </c>
      <c r="C314" s="150" t="s">
        <v>631</v>
      </c>
      <c r="D314" s="151"/>
      <c r="E314" s="152">
        <v>1100000000</v>
      </c>
      <c r="F314" s="152">
        <v>150000000</v>
      </c>
      <c r="G314" s="152"/>
      <c r="H314" s="152">
        <v>200000000</v>
      </c>
    </row>
    <row r="315" spans="1:8" ht="14.4" customHeight="1" x14ac:dyDescent="0.3">
      <c r="A315" s="70">
        <v>314</v>
      </c>
      <c r="B315" s="150" t="s">
        <v>632</v>
      </c>
      <c r="C315" s="150" t="s">
        <v>633</v>
      </c>
      <c r="D315" s="151"/>
      <c r="E315" s="152">
        <v>100000000</v>
      </c>
      <c r="F315" s="152">
        <v>150000000</v>
      </c>
      <c r="G315" s="152"/>
      <c r="H315" s="152">
        <v>150000000</v>
      </c>
    </row>
    <row r="316" spans="1:8" ht="14.4" customHeight="1" x14ac:dyDescent="0.3">
      <c r="A316" s="70">
        <v>315</v>
      </c>
      <c r="B316" s="150" t="s">
        <v>634</v>
      </c>
      <c r="C316" s="158" t="s">
        <v>635</v>
      </c>
      <c r="D316" s="151"/>
      <c r="E316" s="152">
        <v>40000000</v>
      </c>
      <c r="F316" s="152">
        <v>60000000</v>
      </c>
      <c r="G316" s="152"/>
      <c r="H316" s="152">
        <v>100000000</v>
      </c>
    </row>
    <row r="317" spans="1:8" ht="14.4" customHeight="1" x14ac:dyDescent="0.3">
      <c r="A317" s="70">
        <v>316</v>
      </c>
      <c r="B317" s="150" t="s">
        <v>636</v>
      </c>
      <c r="C317" s="159" t="s">
        <v>637</v>
      </c>
      <c r="D317" s="151">
        <v>0</v>
      </c>
      <c r="E317" s="152">
        <v>65000000000</v>
      </c>
      <c r="F317" s="152">
        <v>10000000000</v>
      </c>
      <c r="G317" s="152"/>
      <c r="H317" s="152">
        <v>100000000</v>
      </c>
    </row>
    <row r="318" spans="1:8" ht="14.4" customHeight="1" x14ac:dyDescent="0.3">
      <c r="A318" s="70">
        <v>317</v>
      </c>
      <c r="B318" s="150" t="s">
        <v>638</v>
      </c>
      <c r="C318" s="150" t="s">
        <v>639</v>
      </c>
      <c r="D318" s="151">
        <v>0</v>
      </c>
      <c r="E318" s="152"/>
      <c r="F318" s="152">
        <v>30000000000</v>
      </c>
      <c r="G318" s="152">
        <v>85000000000</v>
      </c>
      <c r="H318" s="152">
        <v>100000000</v>
      </c>
    </row>
    <row r="319" spans="1:8" ht="13.8" customHeight="1" x14ac:dyDescent="0.3">
      <c r="A319" s="150">
        <v>318</v>
      </c>
      <c r="B319" s="150" t="s">
        <v>640</v>
      </c>
      <c r="C319" s="150" t="s">
        <v>641</v>
      </c>
      <c r="D319" s="152">
        <v>0</v>
      </c>
      <c r="E319" s="152">
        <v>290000000</v>
      </c>
      <c r="F319" s="152">
        <v>275000000</v>
      </c>
      <c r="G319" s="152"/>
      <c r="H319" s="152">
        <v>275000000</v>
      </c>
    </row>
    <row r="320" spans="1:8" ht="14.4" customHeight="1" x14ac:dyDescent="0.3">
      <c r="A320" s="70">
        <v>319</v>
      </c>
      <c r="B320" s="150" t="s">
        <v>642</v>
      </c>
      <c r="C320" s="150" t="s">
        <v>643</v>
      </c>
      <c r="D320" s="151"/>
      <c r="E320" s="152"/>
      <c r="F320" s="152">
        <v>30000000000</v>
      </c>
      <c r="G320" s="152">
        <v>60000000000</v>
      </c>
      <c r="H320" s="152">
        <v>90000000</v>
      </c>
    </row>
    <row r="321" spans="1:8" ht="14.4" customHeight="1" x14ac:dyDescent="0.3">
      <c r="A321" s="70">
        <v>320</v>
      </c>
      <c r="B321" s="150" t="s">
        <v>644</v>
      </c>
      <c r="C321" s="150" t="s">
        <v>645</v>
      </c>
      <c r="D321" s="151">
        <v>0</v>
      </c>
      <c r="E321" s="152">
        <v>2250000000</v>
      </c>
      <c r="F321" s="152">
        <v>950000000</v>
      </c>
      <c r="G321" s="152"/>
      <c r="H321" s="152">
        <v>200000000</v>
      </c>
    </row>
    <row r="322" spans="1:8" ht="14.4" customHeight="1" x14ac:dyDescent="0.3">
      <c r="A322" s="70">
        <v>327</v>
      </c>
      <c r="B322" s="150" t="s">
        <v>169</v>
      </c>
      <c r="C322" s="150" t="s">
        <v>646</v>
      </c>
      <c r="D322" s="151"/>
      <c r="E322" s="152">
        <v>1200000000</v>
      </c>
      <c r="F322" s="152">
        <v>600000000</v>
      </c>
      <c r="G322" s="152"/>
      <c r="H322" s="152">
        <v>50000000</v>
      </c>
    </row>
    <row r="323" spans="1:8" ht="14.4" customHeight="1" x14ac:dyDescent="0.3">
      <c r="A323" s="70">
        <v>331</v>
      </c>
      <c r="B323" s="150" t="s">
        <v>173</v>
      </c>
      <c r="C323" s="150" t="s">
        <v>647</v>
      </c>
      <c r="D323" s="151"/>
      <c r="E323" s="152">
        <v>1200000000</v>
      </c>
      <c r="F323" s="152">
        <v>600000000</v>
      </c>
      <c r="G323" s="152"/>
      <c r="H323" s="152">
        <v>75000000</v>
      </c>
    </row>
    <row r="324" spans="1:8" ht="14.4" customHeight="1" x14ac:dyDescent="0.3">
      <c r="A324" s="70">
        <v>332</v>
      </c>
      <c r="B324" s="150" t="s">
        <v>642</v>
      </c>
      <c r="C324" s="150" t="s">
        <v>648</v>
      </c>
      <c r="D324" s="151"/>
      <c r="E324" s="152"/>
      <c r="F324" s="152">
        <v>30000000000</v>
      </c>
      <c r="G324" s="152">
        <v>60000000000</v>
      </c>
      <c r="H324" s="152">
        <v>90000000</v>
      </c>
    </row>
    <row r="325" spans="1:8" ht="14.4" customHeight="1" x14ac:dyDescent="0.3">
      <c r="A325" s="70">
        <v>333</v>
      </c>
      <c r="B325" s="150" t="s">
        <v>509</v>
      </c>
      <c r="C325" s="150" t="s">
        <v>649</v>
      </c>
      <c r="D325" s="151">
        <v>0</v>
      </c>
      <c r="E325" s="152">
        <v>9000000000</v>
      </c>
      <c r="F325" s="152">
        <v>2000000000</v>
      </c>
      <c r="G325" s="152"/>
      <c r="H325" s="152">
        <v>475000000</v>
      </c>
    </row>
    <row r="326" spans="1:8" ht="13.8" customHeight="1" x14ac:dyDescent="0.3">
      <c r="A326" s="150">
        <v>334</v>
      </c>
      <c r="B326" s="150" t="s">
        <v>650</v>
      </c>
      <c r="C326" s="150" t="s">
        <v>651</v>
      </c>
      <c r="D326" s="152">
        <v>0</v>
      </c>
      <c r="E326" s="152">
        <v>40000000000</v>
      </c>
      <c r="F326" s="152">
        <v>10000000000</v>
      </c>
      <c r="G326" s="152">
        <v>0</v>
      </c>
      <c r="H326" s="152">
        <v>55000000</v>
      </c>
    </row>
    <row r="327" spans="1:8" ht="13.8" customHeight="1" x14ac:dyDescent="0.3">
      <c r="A327" s="150">
        <v>335</v>
      </c>
      <c r="B327" s="150" t="s">
        <v>652</v>
      </c>
      <c r="C327" s="150" t="s">
        <v>653</v>
      </c>
      <c r="D327" s="152">
        <v>30000000000</v>
      </c>
      <c r="E327" s="152">
        <v>0</v>
      </c>
      <c r="F327" s="152">
        <v>10000000000</v>
      </c>
      <c r="G327" s="152">
        <v>30000000000</v>
      </c>
      <c r="H327" s="152">
        <v>30000000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T85"/>
  <sheetViews>
    <sheetView topLeftCell="C1" workbookViewId="0">
      <selection activeCell="H21" sqref="H21"/>
    </sheetView>
  </sheetViews>
  <sheetFormatPr defaultRowHeight="13.8" x14ac:dyDescent="0.3"/>
  <cols>
    <col min="1" max="1" width="17.88671875" style="149" bestFit="1" customWidth="1"/>
    <col min="2" max="2" width="8" style="149" bestFit="1" customWidth="1"/>
    <col min="3" max="3" width="49.21875" style="149" bestFit="1" customWidth="1"/>
    <col min="4" max="4" width="5.77734375" style="149" bestFit="1" customWidth="1"/>
    <col min="5" max="5" width="5.109375" style="149" bestFit="1" customWidth="1"/>
    <col min="6" max="6" width="5.5546875" style="149" bestFit="1" customWidth="1"/>
    <col min="7" max="7" width="8" style="149" bestFit="1" customWidth="1"/>
    <col min="8" max="8" width="9.109375" style="149" bestFit="1" customWidth="1"/>
    <col min="9" max="9" width="24.77734375" style="149" bestFit="1" customWidth="1"/>
    <col min="10" max="10" width="6.88671875" style="149" bestFit="1" customWidth="1"/>
    <col min="11" max="11" width="12.21875" style="149" bestFit="1" customWidth="1"/>
    <col min="12" max="13" width="17" style="192" bestFit="1" customWidth="1"/>
    <col min="14" max="14" width="7.6640625" style="149" bestFit="1" customWidth="1"/>
    <col min="15" max="15" width="16.44140625" style="149" bestFit="1" customWidth="1"/>
    <col min="16" max="16" width="13.77734375" style="149" bestFit="1" customWidth="1"/>
    <col min="17" max="17" width="13.21875" style="149" bestFit="1" customWidth="1"/>
    <col min="18" max="18" width="8" style="149" bestFit="1" customWidth="1"/>
    <col min="19" max="19" width="7.33203125" style="149" bestFit="1" customWidth="1"/>
    <col min="20" max="20" width="9.21875" style="149" bestFit="1" customWidth="1"/>
    <col min="21" max="21" width="12" style="149" bestFit="1" customWidth="1"/>
    <col min="22" max="22" width="14.21875" style="149" bestFit="1" customWidth="1"/>
    <col min="23" max="23" width="17" style="192" bestFit="1" customWidth="1"/>
    <col min="24" max="24" width="12.88671875" style="149" bestFit="1" customWidth="1"/>
    <col min="25" max="25" width="12.77734375" style="149" bestFit="1" customWidth="1"/>
    <col min="26" max="26" width="13.33203125" style="149" bestFit="1" customWidth="1"/>
    <col min="27" max="27" width="15.44140625" style="149" bestFit="1" customWidth="1"/>
    <col min="28" max="28" width="15.21875" style="149" bestFit="1" customWidth="1"/>
    <col min="29" max="29" width="6.44140625" style="149" bestFit="1" customWidth="1"/>
    <col min="30" max="30" width="9.21875" style="149" bestFit="1" customWidth="1"/>
    <col min="31" max="31" width="16.33203125" style="149" bestFit="1" customWidth="1"/>
    <col min="32" max="32" width="22.33203125" style="149" bestFit="1" customWidth="1"/>
    <col min="33" max="33" width="9.77734375" style="149" bestFit="1" customWidth="1"/>
    <col min="34" max="34" width="17.88671875" style="149" bestFit="1" customWidth="1"/>
    <col min="35" max="35" width="26.6640625" style="149" bestFit="1" customWidth="1"/>
    <col min="36" max="36" width="33.77734375" style="149" bestFit="1" customWidth="1"/>
    <col min="37" max="37" width="17" style="149" bestFit="1" customWidth="1"/>
    <col min="38" max="38" width="21.88671875" style="149" bestFit="1" customWidth="1"/>
    <col min="39" max="39" width="19.6640625" style="149" bestFit="1" customWidth="1"/>
    <col min="40" max="40" width="10.109375" style="149" bestFit="1" customWidth="1"/>
    <col min="41" max="41" width="12.5546875" style="149" bestFit="1" customWidth="1"/>
    <col min="42" max="42" width="14.88671875" style="149" bestFit="1" customWidth="1"/>
    <col min="43" max="43" width="11.88671875" style="149" bestFit="1" customWidth="1"/>
    <col min="44" max="44" width="7.21875" style="149" bestFit="1" customWidth="1"/>
    <col min="45" max="45" width="17.5546875" style="149" bestFit="1" customWidth="1"/>
    <col min="46" max="46" width="6.6640625" style="149" bestFit="1" customWidth="1"/>
    <col min="47" max="16384" width="8.88671875" style="149"/>
  </cols>
  <sheetData>
    <row r="1" spans="1:46" ht="14.4" customHeight="1" x14ac:dyDescent="0.3">
      <c r="A1" s="174" t="s">
        <v>672</v>
      </c>
      <c r="B1" s="174" t="s">
        <v>673</v>
      </c>
      <c r="C1" s="174" t="s">
        <v>2</v>
      </c>
      <c r="D1" s="174" t="s">
        <v>674</v>
      </c>
      <c r="E1" s="174" t="s">
        <v>675</v>
      </c>
      <c r="F1" s="174" t="s">
        <v>676</v>
      </c>
      <c r="G1" s="174" t="s">
        <v>677</v>
      </c>
      <c r="H1" s="174" t="s">
        <v>678</v>
      </c>
      <c r="I1" s="174" t="s">
        <v>679</v>
      </c>
      <c r="J1" s="174" t="s">
        <v>680</v>
      </c>
      <c r="K1" s="174" t="s">
        <v>681</v>
      </c>
      <c r="L1" s="197" t="s">
        <v>682</v>
      </c>
      <c r="M1" s="197" t="s">
        <v>683</v>
      </c>
      <c r="N1" s="174" t="s">
        <v>684</v>
      </c>
      <c r="O1" s="174" t="s">
        <v>685</v>
      </c>
      <c r="P1" s="174" t="s">
        <v>686</v>
      </c>
      <c r="Q1" s="174" t="s">
        <v>5</v>
      </c>
      <c r="R1" s="174" t="s">
        <v>687</v>
      </c>
      <c r="S1" s="174" t="s">
        <v>688</v>
      </c>
      <c r="T1" s="174" t="s">
        <v>689</v>
      </c>
      <c r="U1" s="174" t="s">
        <v>690</v>
      </c>
      <c r="V1" s="174" t="s">
        <v>691</v>
      </c>
      <c r="W1" s="197" t="s">
        <v>692</v>
      </c>
      <c r="X1" s="174" t="s">
        <v>693</v>
      </c>
      <c r="Y1" s="174" t="s">
        <v>694</v>
      </c>
      <c r="Z1" s="174" t="s">
        <v>695</v>
      </c>
      <c r="AA1" s="174" t="s">
        <v>696</v>
      </c>
      <c r="AB1" s="174" t="s">
        <v>697</v>
      </c>
      <c r="AC1" s="174" t="s">
        <v>698</v>
      </c>
      <c r="AD1" s="174" t="s">
        <v>699</v>
      </c>
      <c r="AE1" s="174" t="s">
        <v>700</v>
      </c>
      <c r="AF1" s="174" t="s">
        <v>701</v>
      </c>
      <c r="AG1" s="174" t="s">
        <v>702</v>
      </c>
      <c r="AH1" s="174" t="s">
        <v>703</v>
      </c>
      <c r="AI1" s="174" t="s">
        <v>704</v>
      </c>
      <c r="AJ1" s="174" t="s">
        <v>705</v>
      </c>
      <c r="AK1" s="174" t="s">
        <v>706</v>
      </c>
      <c r="AL1" s="174" t="s">
        <v>707</v>
      </c>
      <c r="AM1" s="174" t="s">
        <v>708</v>
      </c>
      <c r="AN1" s="174" t="s">
        <v>709</v>
      </c>
      <c r="AO1" s="174" t="s">
        <v>710</v>
      </c>
      <c r="AP1" s="174" t="s">
        <v>711</v>
      </c>
      <c r="AQ1" s="174" t="s">
        <v>712</v>
      </c>
      <c r="AR1" s="174" t="s">
        <v>713</v>
      </c>
      <c r="AS1" s="174" t="s">
        <v>714</v>
      </c>
      <c r="AT1" s="201" t="s">
        <v>973</v>
      </c>
    </row>
    <row r="2" spans="1:46" ht="14.4" x14ac:dyDescent="0.3">
      <c r="A2" s="149" t="s">
        <v>1152</v>
      </c>
      <c r="B2" s="149" t="s">
        <v>1153</v>
      </c>
      <c r="C2" t="s">
        <v>542</v>
      </c>
      <c r="D2" s="78" t="str">
        <f>MID(C2,FIND("Series",C2)+7,FIND("Class",C2)-FIND("Series",C2)-8)</f>
        <v>2025-1</v>
      </c>
      <c r="E2" s="78" t="str">
        <f>IF(ISNUMBER(FIND("Reset",C2)),MID(C2,FIND("Class",C2),FIND("Reset",C2)-FIND("Class",C2)-1),TRIM(MID(C2,FIND("Class",C2),LEN(C2)-FIND("Class",C2)+1)))</f>
        <v>Class B</v>
      </c>
      <c r="F2" s="78" t="str">
        <f>IF(ISNUMBER(FIND("Reset",C2)), MID(C2,FIND("Reset",C2)+6,4), "")</f>
        <v>2025</v>
      </c>
      <c r="G2" s="128"/>
      <c r="H2" s="78" t="s">
        <v>717</v>
      </c>
      <c r="I2" s="74" t="s">
        <v>725</v>
      </c>
      <c r="J2" s="128"/>
      <c r="K2" s="74" t="s">
        <v>541</v>
      </c>
      <c r="L2" s="74">
        <v>45686</v>
      </c>
      <c r="M2" s="74">
        <v>46850</v>
      </c>
      <c r="N2" s="128"/>
      <c r="O2" s="78" t="s">
        <v>719</v>
      </c>
      <c r="P2" s="206" cm="1">
        <f t="array" ref="P2:Q2">VLOOKUP(K2,[2]ILS!$A:$K,{10,11},0)</f>
        <v>5000000</v>
      </c>
      <c r="Q2" s="206">
        <v>5000000</v>
      </c>
      <c r="R2" s="207">
        <v>250000</v>
      </c>
      <c r="S2" s="128"/>
      <c r="T2" s="208">
        <v>100.2</v>
      </c>
      <c r="U2" s="209">
        <v>0.10612121925354004</v>
      </c>
      <c r="V2" s="78" t="s">
        <v>720</v>
      </c>
      <c r="W2" s="74">
        <v>46481</v>
      </c>
      <c r="X2" s="129"/>
      <c r="Y2" s="129"/>
      <c r="Z2" s="210">
        <f>R2/VLOOKUP(K2,'[2]ETF Portfolio'!$H$19:$N$50,7,0)</f>
        <v>8.3333333333333332E-3</v>
      </c>
      <c r="AA2" s="130">
        <v>6.6099119160409642E-2</v>
      </c>
      <c r="AB2" s="78">
        <v>0</v>
      </c>
      <c r="AC2" s="130">
        <v>0.10523115000000001</v>
      </c>
      <c r="AD2" s="78">
        <v>0</v>
      </c>
      <c r="AE2" s="78">
        <v>0</v>
      </c>
      <c r="AF2" s="78">
        <v>0</v>
      </c>
      <c r="AG2" s="78">
        <v>0</v>
      </c>
      <c r="AH2" s="78">
        <v>0</v>
      </c>
      <c r="AI2" s="74">
        <v>45749</v>
      </c>
      <c r="AJ2" s="74">
        <v>45749</v>
      </c>
      <c r="AK2" s="74">
        <v>45749</v>
      </c>
      <c r="AL2" s="74">
        <v>45749</v>
      </c>
      <c r="AM2" s="74">
        <v>45749</v>
      </c>
      <c r="AN2" s="74" t="s">
        <v>726</v>
      </c>
      <c r="AO2" s="74" t="s">
        <v>727</v>
      </c>
      <c r="AP2" s="78">
        <v>0</v>
      </c>
      <c r="AQ2" s="78">
        <v>0</v>
      </c>
      <c r="AR2" s="78">
        <v>0</v>
      </c>
      <c r="AS2" s="78">
        <v>1</v>
      </c>
      <c r="AT2" s="149">
        <v>102</v>
      </c>
    </row>
    <row r="3" spans="1:46" ht="14.4" x14ac:dyDescent="0.3">
      <c r="A3" t="s">
        <v>1154</v>
      </c>
      <c r="B3" t="s">
        <v>1155</v>
      </c>
      <c r="C3" t="s">
        <v>282</v>
      </c>
      <c r="D3" s="78" t="str">
        <f t="shared" ref="D3:D66" si="0">MID(C3,FIND("Series",C3)+7,FIND("Class",C3)-FIND("Series",C3)-8)</f>
        <v>2023-1</v>
      </c>
      <c r="E3" s="78" t="str">
        <f t="shared" ref="E3:E66" si="1">IF(ISNUMBER(FIND("Reset",C3)),MID(C3,FIND("Class",C3),FIND("Reset",C3)-FIND("Class",C3)-1),TRIM(MID(C3,FIND("Class",C3),LEN(C3)-FIND("Class",C3)+1)))</f>
        <v>Class A</v>
      </c>
      <c r="F3" s="78" t="str">
        <f t="shared" ref="F3:F66" si="2">IF(ISNUMBER(FIND("Reset",C3)), MID(C3,FIND("Reset",C3)+6,4), "")</f>
        <v>2025</v>
      </c>
      <c r="G3"/>
      <c r="H3" s="78" t="s">
        <v>717</v>
      </c>
      <c r="I3" t="s">
        <v>730</v>
      </c>
      <c r="J3"/>
      <c r="K3" t="s">
        <v>281</v>
      </c>
      <c r="L3" s="136">
        <v>45252</v>
      </c>
      <c r="M3" s="136">
        <v>46395</v>
      </c>
      <c r="N3"/>
      <c r="O3" s="78" t="s">
        <v>719</v>
      </c>
      <c r="P3" s="206" cm="1">
        <f t="array" ref="P3:Q3">VLOOKUP(K3,[2]ILS!$A:$K,{10,11},0)</f>
        <v>0</v>
      </c>
      <c r="Q3" s="79">
        <v>600000000</v>
      </c>
      <c r="R3">
        <v>250000</v>
      </c>
      <c r="S3"/>
      <c r="T3">
        <v>102.85</v>
      </c>
      <c r="U3" s="211">
        <v>9.2521219253540038E-2</v>
      </c>
      <c r="V3" s="78" t="s">
        <v>720</v>
      </c>
      <c r="W3" s="74">
        <v>46481</v>
      </c>
      <c r="X3"/>
      <c r="Y3" s="17"/>
      <c r="Z3" s="210">
        <f>R3/VLOOKUP(K3,'[2]ETF Portfolio'!$H$19:$N$50,7,0)</f>
        <v>1.25E-3</v>
      </c>
      <c r="AA3" s="86">
        <v>5.2499146067005197E-2</v>
      </c>
      <c r="AB3" s="78">
        <v>0</v>
      </c>
      <c r="AC3" s="86">
        <v>6.5428009999999995E-2</v>
      </c>
      <c r="AD3" s="78">
        <v>0</v>
      </c>
      <c r="AE3" s="78">
        <v>0</v>
      </c>
      <c r="AF3" s="78">
        <v>0</v>
      </c>
      <c r="AG3" s="78">
        <v>0</v>
      </c>
      <c r="AH3" s="78">
        <v>0</v>
      </c>
      <c r="AI3" s="74">
        <v>45749</v>
      </c>
      <c r="AJ3" s="74">
        <v>45749</v>
      </c>
      <c r="AK3" s="74">
        <v>45749</v>
      </c>
      <c r="AL3" s="74">
        <v>45749</v>
      </c>
      <c r="AM3" s="74">
        <v>45749</v>
      </c>
      <c r="AN3" s="74" t="s">
        <v>721</v>
      </c>
      <c r="AO3" t="s">
        <v>727</v>
      </c>
      <c r="AP3" s="78">
        <v>0</v>
      </c>
      <c r="AQ3" s="78">
        <v>0</v>
      </c>
      <c r="AR3" s="78">
        <v>0</v>
      </c>
      <c r="AS3" s="78">
        <v>1</v>
      </c>
      <c r="AT3" s="149">
        <v>102</v>
      </c>
    </row>
    <row r="4" spans="1:46" ht="14.4" x14ac:dyDescent="0.3">
      <c r="A4" t="s">
        <v>1156</v>
      </c>
      <c r="B4" t="s">
        <v>1157</v>
      </c>
      <c r="C4" t="s">
        <v>89</v>
      </c>
      <c r="D4" s="78" t="str">
        <f t="shared" si="0"/>
        <v>2023-1</v>
      </c>
      <c r="E4" s="78" t="str">
        <f t="shared" si="1"/>
        <v>Class A</v>
      </c>
      <c r="F4" s="78" t="str">
        <f t="shared" si="2"/>
        <v>2025</v>
      </c>
      <c r="G4"/>
      <c r="H4" s="78" t="s">
        <v>717</v>
      </c>
      <c r="I4" t="s">
        <v>852</v>
      </c>
      <c r="J4"/>
      <c r="K4" t="s">
        <v>88</v>
      </c>
      <c r="L4" s="136">
        <v>45105</v>
      </c>
      <c r="M4" s="136">
        <v>46575</v>
      </c>
      <c r="N4"/>
      <c r="O4" s="78" t="s">
        <v>719</v>
      </c>
      <c r="P4" s="206" cm="1">
        <f t="array" ref="P4:Q4">VLOOKUP(K4,[2]ILS!$A:$K,{10,11},0)</f>
        <v>0</v>
      </c>
      <c r="Q4" s="79">
        <v>300000000</v>
      </c>
      <c r="R4">
        <v>250000</v>
      </c>
      <c r="S4"/>
      <c r="T4">
        <v>102.2</v>
      </c>
      <c r="U4" s="211">
        <v>9.052121925354005E-2</v>
      </c>
      <c r="V4" s="78" t="s">
        <v>720</v>
      </c>
      <c r="W4" s="74">
        <v>46486</v>
      </c>
      <c r="X4"/>
      <c r="Y4" s="17"/>
      <c r="Z4" s="210">
        <f>R4/VLOOKUP(K4,'[2]ETF Portfolio'!$H$19:$N$50,7,0)</f>
        <v>2.5000000000000001E-3</v>
      </c>
      <c r="AA4" s="86">
        <v>5.0465099531352441E-2</v>
      </c>
      <c r="AB4" s="78">
        <v>0</v>
      </c>
      <c r="AC4" s="86">
        <v>7.7633049999999995E-2</v>
      </c>
      <c r="AD4" s="78">
        <v>0</v>
      </c>
      <c r="AE4" s="78">
        <v>0</v>
      </c>
      <c r="AF4" s="78">
        <v>0</v>
      </c>
      <c r="AG4" s="78">
        <v>0</v>
      </c>
      <c r="AH4" s="78">
        <v>0</v>
      </c>
      <c r="AI4" s="74">
        <v>45749</v>
      </c>
      <c r="AJ4" s="74">
        <v>45749</v>
      </c>
      <c r="AK4" s="74">
        <v>45749</v>
      </c>
      <c r="AL4" s="74">
        <v>45749</v>
      </c>
      <c r="AM4" s="74">
        <v>45749</v>
      </c>
      <c r="AN4" s="74" t="s">
        <v>721</v>
      </c>
      <c r="AO4" t="s">
        <v>727</v>
      </c>
      <c r="AP4" s="78">
        <v>0</v>
      </c>
      <c r="AQ4" s="78">
        <v>0</v>
      </c>
      <c r="AR4" s="78">
        <v>0</v>
      </c>
      <c r="AS4" s="78">
        <v>1</v>
      </c>
      <c r="AT4" s="149">
        <v>102</v>
      </c>
    </row>
    <row r="5" spans="1:46" ht="14.4" x14ac:dyDescent="0.3">
      <c r="A5" t="s">
        <v>1158</v>
      </c>
      <c r="B5" t="s">
        <v>1159</v>
      </c>
      <c r="C5" t="s">
        <v>298</v>
      </c>
      <c r="D5" s="78" t="str">
        <f t="shared" si="0"/>
        <v>2024-1</v>
      </c>
      <c r="E5" s="78" t="str">
        <f t="shared" si="1"/>
        <v>Class A</v>
      </c>
      <c r="F5" s="78" t="str">
        <f t="shared" si="2"/>
        <v>2025</v>
      </c>
      <c r="G5"/>
      <c r="H5" s="78" t="s">
        <v>717</v>
      </c>
      <c r="I5" t="s">
        <v>744</v>
      </c>
      <c r="J5"/>
      <c r="K5" t="s">
        <v>297</v>
      </c>
      <c r="L5" s="136">
        <v>45391</v>
      </c>
      <c r="M5" s="136">
        <v>46545</v>
      </c>
      <c r="N5"/>
      <c r="O5" s="78" t="s">
        <v>719</v>
      </c>
      <c r="P5" s="206" cm="1">
        <f t="array" ref="P5:Q5">VLOOKUP(K5,[2]ILS!$A:$K,{10,11},0)</f>
        <v>0</v>
      </c>
      <c r="Q5" s="79">
        <v>300000000</v>
      </c>
      <c r="R5">
        <v>250000</v>
      </c>
      <c r="S5"/>
      <c r="T5">
        <v>102.6</v>
      </c>
      <c r="U5" s="211">
        <v>0.13128121681213378</v>
      </c>
      <c r="V5" s="78" t="s">
        <v>720</v>
      </c>
      <c r="W5" s="74">
        <v>46491</v>
      </c>
      <c r="X5"/>
      <c r="Y5" s="17"/>
      <c r="Z5" s="210">
        <f>R5/VLOOKUP(K5,'[2]ETF Portfolio'!$H$19:$N$50,7,0)</f>
        <v>1.1904761904761906E-3</v>
      </c>
      <c r="AA5" s="86">
        <v>9.1256734286354418E-2</v>
      </c>
      <c r="AB5" s="78">
        <v>0</v>
      </c>
      <c r="AC5" s="86">
        <v>0.11496279</v>
      </c>
      <c r="AD5" s="78">
        <v>0</v>
      </c>
      <c r="AE5" s="78">
        <v>0</v>
      </c>
      <c r="AF5" s="78">
        <v>0</v>
      </c>
      <c r="AG5" s="78">
        <v>0</v>
      </c>
      <c r="AH5" s="78">
        <v>0</v>
      </c>
      <c r="AI5" s="74">
        <v>45749</v>
      </c>
      <c r="AJ5" s="74">
        <v>45749</v>
      </c>
      <c r="AK5" s="74">
        <v>45749</v>
      </c>
      <c r="AL5" s="74">
        <v>45749</v>
      </c>
      <c r="AM5" s="74">
        <v>45749</v>
      </c>
      <c r="AN5" s="74" t="s">
        <v>721</v>
      </c>
      <c r="AO5" t="s">
        <v>727</v>
      </c>
      <c r="AP5" s="78">
        <v>0</v>
      </c>
      <c r="AQ5" s="78">
        <v>0</v>
      </c>
      <c r="AR5" s="78">
        <v>0</v>
      </c>
      <c r="AS5" s="78">
        <v>1</v>
      </c>
      <c r="AT5" s="149">
        <v>102</v>
      </c>
    </row>
    <row r="6" spans="1:46" ht="14.4" x14ac:dyDescent="0.3">
      <c r="A6" t="s">
        <v>1160</v>
      </c>
      <c r="B6" t="s">
        <v>1161</v>
      </c>
      <c r="C6" t="s">
        <v>412</v>
      </c>
      <c r="D6" s="78" t="str">
        <f t="shared" si="0"/>
        <v>2024-1</v>
      </c>
      <c r="E6" s="78" t="str">
        <f t="shared" si="1"/>
        <v>Class A</v>
      </c>
      <c r="F6" s="78" t="str">
        <f t="shared" si="2"/>
        <v>2025</v>
      </c>
      <c r="G6"/>
      <c r="H6" s="78" t="s">
        <v>717</v>
      </c>
      <c r="I6" t="s">
        <v>749</v>
      </c>
      <c r="J6"/>
      <c r="K6" t="s">
        <v>411</v>
      </c>
      <c r="L6" s="136">
        <v>45393</v>
      </c>
      <c r="M6" s="136">
        <v>46517</v>
      </c>
      <c r="N6"/>
      <c r="O6" s="78" t="s">
        <v>719</v>
      </c>
      <c r="P6" s="206" cm="1">
        <f t="array" ref="P6:Q6">VLOOKUP(K6,[2]ILS!$A:$K,{10,11},0)</f>
        <v>0</v>
      </c>
      <c r="Q6" s="79">
        <v>125000000</v>
      </c>
      <c r="R6">
        <v>250000</v>
      </c>
      <c r="S6"/>
      <c r="T6">
        <v>102</v>
      </c>
      <c r="U6" s="211">
        <v>0.11634122047424317</v>
      </c>
      <c r="V6" s="78" t="s">
        <v>720</v>
      </c>
      <c r="W6" s="74">
        <v>46507</v>
      </c>
      <c r="X6"/>
      <c r="Y6" s="17"/>
      <c r="Z6" s="210">
        <f>R6/VLOOKUP(K6,'[2]ETF Portfolio'!$H$19:$N$50,7,0)</f>
        <v>2E-3</v>
      </c>
      <c r="AA6" s="86">
        <v>7.6318703394137988E-2</v>
      </c>
      <c r="AB6" s="78">
        <v>0</v>
      </c>
      <c r="AC6" s="86">
        <v>0.10341628999999999</v>
      </c>
      <c r="AD6" s="78">
        <v>0</v>
      </c>
      <c r="AE6" s="78">
        <v>0</v>
      </c>
      <c r="AF6" s="78">
        <v>0</v>
      </c>
      <c r="AG6" s="78">
        <v>0</v>
      </c>
      <c r="AH6" s="78">
        <v>0</v>
      </c>
      <c r="AI6" s="74">
        <v>45749</v>
      </c>
      <c r="AJ6" s="74">
        <v>45749</v>
      </c>
      <c r="AK6" s="74">
        <v>45749</v>
      </c>
      <c r="AL6" s="74">
        <v>45749</v>
      </c>
      <c r="AM6" s="74">
        <v>45749</v>
      </c>
      <c r="AN6" s="74" t="s">
        <v>721</v>
      </c>
      <c r="AO6" t="s">
        <v>727</v>
      </c>
      <c r="AP6" s="78">
        <v>0</v>
      </c>
      <c r="AQ6" s="78">
        <v>0</v>
      </c>
      <c r="AR6" s="78">
        <v>0</v>
      </c>
      <c r="AS6" s="78">
        <v>1</v>
      </c>
      <c r="AT6" s="149">
        <v>102</v>
      </c>
    </row>
    <row r="7" spans="1:46" ht="14.4" x14ac:dyDescent="0.3">
      <c r="A7" t="s">
        <v>1162</v>
      </c>
      <c r="B7" t="s">
        <v>1163</v>
      </c>
      <c r="C7" t="s">
        <v>474</v>
      </c>
      <c r="D7" s="78" t="str">
        <f t="shared" si="0"/>
        <v>2025-1</v>
      </c>
      <c r="E7" s="78" t="str">
        <f t="shared" si="1"/>
        <v>Class A</v>
      </c>
      <c r="F7" s="78" t="str">
        <f t="shared" si="2"/>
        <v/>
      </c>
      <c r="G7"/>
      <c r="H7" s="78" t="s">
        <v>717</v>
      </c>
      <c r="I7" t="s">
        <v>750</v>
      </c>
      <c r="J7"/>
      <c r="K7" t="s">
        <v>473</v>
      </c>
      <c r="L7" s="136">
        <v>45701</v>
      </c>
      <c r="M7" s="136">
        <v>46804</v>
      </c>
      <c r="N7"/>
      <c r="O7" s="78" t="s">
        <v>719</v>
      </c>
      <c r="P7" s="206" cm="1">
        <f t="array" ref="P7:Q7">VLOOKUP(K7,[2]ILS!$A:$K,{10,11},0)</f>
        <v>0</v>
      </c>
      <c r="Q7" s="79">
        <v>200000000</v>
      </c>
      <c r="R7">
        <v>250000</v>
      </c>
      <c r="S7"/>
      <c r="T7">
        <v>99.85</v>
      </c>
      <c r="U7" s="211">
        <v>0.10502121925354004</v>
      </c>
      <c r="V7" s="78" t="s">
        <v>720</v>
      </c>
      <c r="W7" s="74">
        <v>46514</v>
      </c>
      <c r="X7"/>
      <c r="Y7" s="17"/>
      <c r="Z7" s="210">
        <f>R7/VLOOKUP(K7,'[2]ETF Portfolio'!$H$19:$N$50,7,0)</f>
        <v>1.4285714285714286E-3</v>
      </c>
      <c r="AA7" s="86">
        <v>6.4996444622152524E-2</v>
      </c>
      <c r="AB7" s="78">
        <v>0</v>
      </c>
      <c r="AC7" s="86">
        <v>0.10572052</v>
      </c>
      <c r="AD7" s="78">
        <v>0</v>
      </c>
      <c r="AE7" s="78">
        <v>0</v>
      </c>
      <c r="AF7" s="78">
        <v>0</v>
      </c>
      <c r="AG7" s="78">
        <v>0</v>
      </c>
      <c r="AH7" s="78">
        <v>0</v>
      </c>
      <c r="AI7" s="74">
        <v>45749</v>
      </c>
      <c r="AJ7" s="74">
        <v>45749</v>
      </c>
      <c r="AK7" s="74">
        <v>45749</v>
      </c>
      <c r="AL7" s="74">
        <v>45749</v>
      </c>
      <c r="AM7" s="74">
        <v>45749</v>
      </c>
      <c r="AN7" s="74" t="s">
        <v>721</v>
      </c>
      <c r="AO7" t="s">
        <v>727</v>
      </c>
      <c r="AP7" s="78">
        <v>0</v>
      </c>
      <c r="AQ7" s="78">
        <v>0</v>
      </c>
      <c r="AR7" s="78">
        <v>0</v>
      </c>
      <c r="AS7" s="78">
        <v>1</v>
      </c>
      <c r="AT7" s="149">
        <v>102</v>
      </c>
    </row>
    <row r="8" spans="1:46" ht="14.4" x14ac:dyDescent="0.3">
      <c r="A8" t="s">
        <v>1164</v>
      </c>
      <c r="B8" t="s">
        <v>1165</v>
      </c>
      <c r="C8" t="s">
        <v>290</v>
      </c>
      <c r="D8" s="78" t="str">
        <f t="shared" si="0"/>
        <v>2023-1</v>
      </c>
      <c r="E8" s="78" t="str">
        <f t="shared" si="1"/>
        <v>Class A</v>
      </c>
      <c r="F8" s="78" t="str">
        <f t="shared" si="2"/>
        <v>2025</v>
      </c>
      <c r="G8"/>
      <c r="H8" s="78" t="s">
        <v>717</v>
      </c>
      <c r="I8" t="s">
        <v>754</v>
      </c>
      <c r="J8"/>
      <c r="K8" t="s">
        <v>289</v>
      </c>
      <c r="L8" s="136">
        <v>45064</v>
      </c>
      <c r="M8" s="136">
        <v>46168</v>
      </c>
      <c r="N8"/>
      <c r="O8" s="78" t="s">
        <v>719</v>
      </c>
      <c r="P8" s="206" cm="1">
        <f t="array" ref="P8:Q8">VLOOKUP(K8,[2]ILS!$A:$K,{10,11},0)</f>
        <v>0</v>
      </c>
      <c r="Q8" s="79">
        <v>250000000</v>
      </c>
      <c r="R8">
        <v>250000</v>
      </c>
      <c r="S8"/>
      <c r="T8">
        <v>104.6</v>
      </c>
      <c r="U8" s="211">
        <v>0.16392121925354006</v>
      </c>
      <c r="V8" s="78" t="s">
        <v>720</v>
      </c>
      <c r="W8" s="74">
        <v>46520</v>
      </c>
      <c r="X8"/>
      <c r="Y8" s="17"/>
      <c r="Z8" s="210">
        <f>R8/VLOOKUP(K8,'[2]ETF Portfolio'!$H$19:$N$50,7,0)</f>
        <v>2.0833333333333333E-3</v>
      </c>
      <c r="AA8" s="86">
        <v>0.123799740975</v>
      </c>
      <c r="AB8" s="78">
        <v>0</v>
      </c>
      <c r="AC8" s="86">
        <v>9.7166349999999999E-2</v>
      </c>
      <c r="AD8" s="78">
        <v>0</v>
      </c>
      <c r="AE8" s="78">
        <v>0</v>
      </c>
      <c r="AF8" s="78">
        <v>0</v>
      </c>
      <c r="AG8" s="78">
        <v>0</v>
      </c>
      <c r="AH8" s="78">
        <v>0</v>
      </c>
      <c r="AI8" s="74">
        <v>45749</v>
      </c>
      <c r="AJ8" s="74">
        <v>45749</v>
      </c>
      <c r="AK8" s="74">
        <v>45749</v>
      </c>
      <c r="AL8" s="74">
        <v>45749</v>
      </c>
      <c r="AM8" s="74">
        <v>45749</v>
      </c>
      <c r="AN8" s="74" t="s">
        <v>721</v>
      </c>
      <c r="AO8" t="s">
        <v>727</v>
      </c>
      <c r="AP8" s="78">
        <v>0</v>
      </c>
      <c r="AQ8" s="78">
        <v>0</v>
      </c>
      <c r="AR8" s="78">
        <v>0</v>
      </c>
      <c r="AS8" s="78">
        <v>1</v>
      </c>
      <c r="AT8" s="149">
        <v>102</v>
      </c>
    </row>
    <row r="9" spans="1:46" ht="14.4" x14ac:dyDescent="0.3">
      <c r="A9" t="s">
        <v>1166</v>
      </c>
      <c r="B9" t="s">
        <v>1167</v>
      </c>
      <c r="C9" t="s">
        <v>468</v>
      </c>
      <c r="D9" s="78" t="str">
        <f t="shared" si="0"/>
        <v>2024-1</v>
      </c>
      <c r="E9" s="78" t="str">
        <f t="shared" si="1"/>
        <v>Class A</v>
      </c>
      <c r="F9" s="78" t="str">
        <f t="shared" si="2"/>
        <v>2025</v>
      </c>
      <c r="G9"/>
      <c r="H9" s="78" t="s">
        <v>717</v>
      </c>
      <c r="I9" t="s">
        <v>755</v>
      </c>
      <c r="J9"/>
      <c r="K9" t="s">
        <v>467</v>
      </c>
      <c r="L9" s="136">
        <v>45393</v>
      </c>
      <c r="M9" s="136">
        <v>46545</v>
      </c>
      <c r="N9"/>
      <c r="O9" s="78" t="s">
        <v>719</v>
      </c>
      <c r="P9" s="206" cm="1">
        <f t="array" ref="P9:Q9">VLOOKUP(K9,[2]ILS!$A:$K,{10,11},0)</f>
        <v>0</v>
      </c>
      <c r="Q9" s="79">
        <v>300000000</v>
      </c>
      <c r="R9">
        <v>250000</v>
      </c>
      <c r="S9"/>
      <c r="T9">
        <v>102.85</v>
      </c>
      <c r="U9" s="211">
        <v>0.13702121925354002</v>
      </c>
      <c r="V9" s="78" t="s">
        <v>720</v>
      </c>
      <c r="W9" s="74">
        <v>46521</v>
      </c>
      <c r="X9"/>
      <c r="Y9" s="17"/>
      <c r="Z9" s="210">
        <f>R9/VLOOKUP(K9,'[2]ETF Portfolio'!$H$19:$N$50,7,0)</f>
        <v>1.6666666666666668E-3</v>
      </c>
      <c r="AA9" s="86">
        <v>9.6985917087578213E-2</v>
      </c>
      <c r="AB9" s="78">
        <v>0</v>
      </c>
      <c r="AC9" s="86">
        <v>0.11910928</v>
      </c>
      <c r="AD9" s="78">
        <v>0</v>
      </c>
      <c r="AE9" s="78">
        <v>0</v>
      </c>
      <c r="AF9" s="78">
        <v>0</v>
      </c>
      <c r="AG9" s="78">
        <v>0</v>
      </c>
      <c r="AH9" s="78">
        <v>0</v>
      </c>
      <c r="AI9" s="74">
        <v>45749</v>
      </c>
      <c r="AJ9" s="74">
        <v>45749</v>
      </c>
      <c r="AK9" s="74">
        <v>45749</v>
      </c>
      <c r="AL9" s="74">
        <v>45749</v>
      </c>
      <c r="AM9" s="74">
        <v>45749</v>
      </c>
      <c r="AN9" s="74" t="s">
        <v>721</v>
      </c>
      <c r="AO9" t="s">
        <v>727</v>
      </c>
      <c r="AP9" s="78">
        <v>0</v>
      </c>
      <c r="AQ9" s="78">
        <v>0</v>
      </c>
      <c r="AR9" s="78">
        <v>0</v>
      </c>
      <c r="AS9" s="78">
        <v>1</v>
      </c>
      <c r="AT9" s="149">
        <v>102</v>
      </c>
    </row>
    <row r="10" spans="1:46" ht="14.4" x14ac:dyDescent="0.3">
      <c r="A10" t="s">
        <v>974</v>
      </c>
      <c r="B10" t="s">
        <v>975</v>
      </c>
      <c r="C10" t="s">
        <v>276</v>
      </c>
      <c r="D10" s="78" t="str">
        <f t="shared" si="0"/>
        <v>2023-1</v>
      </c>
      <c r="E10" s="78" t="str">
        <f t="shared" si="1"/>
        <v>Class B</v>
      </c>
      <c r="F10" s="78" t="str">
        <f t="shared" si="2"/>
        <v>2025</v>
      </c>
      <c r="G10"/>
      <c r="H10" s="78" t="s">
        <v>717</v>
      </c>
      <c r="I10" t="s">
        <v>761</v>
      </c>
      <c r="J10"/>
      <c r="K10" t="s">
        <v>275</v>
      </c>
      <c r="L10" s="136">
        <v>45057</v>
      </c>
      <c r="M10" s="136">
        <v>46180</v>
      </c>
      <c r="N10"/>
      <c r="O10" s="78" t="s">
        <v>719</v>
      </c>
      <c r="P10" s="206" cm="1">
        <f t="array" ref="P10:Q10">VLOOKUP(K10,[2]ILS!$A:$K,{10,11},0)</f>
        <v>0</v>
      </c>
      <c r="Q10" s="79">
        <v>115000000</v>
      </c>
      <c r="R10">
        <v>250000</v>
      </c>
      <c r="S10"/>
      <c r="T10">
        <v>103.85</v>
      </c>
      <c r="U10" s="211">
        <v>0.12712121925354006</v>
      </c>
      <c r="V10" s="78" t="s">
        <v>720</v>
      </c>
      <c r="W10" s="74">
        <v>46638</v>
      </c>
      <c r="X10"/>
      <c r="Y10" s="17"/>
      <c r="Z10" s="210">
        <f>R10/VLOOKUP(K10,'[2]ETF Portfolio'!$H$19:$N$50,7,0)</f>
        <v>2.1739130434782609E-3</v>
      </c>
      <c r="AA10" s="86">
        <v>8.6682056208E-2</v>
      </c>
      <c r="AB10" s="78">
        <v>0</v>
      </c>
      <c r="AC10" s="86">
        <v>7.397630999999999E-2</v>
      </c>
      <c r="AD10" s="78">
        <v>0</v>
      </c>
      <c r="AE10" s="78">
        <v>0</v>
      </c>
      <c r="AF10" s="78">
        <v>0</v>
      </c>
      <c r="AG10" s="78">
        <v>0</v>
      </c>
      <c r="AH10" s="78">
        <v>0</v>
      </c>
      <c r="AI10" s="74">
        <v>45749</v>
      </c>
      <c r="AJ10" s="74">
        <v>45749</v>
      </c>
      <c r="AK10" s="74">
        <v>45749</v>
      </c>
      <c r="AL10" s="74">
        <v>45749</v>
      </c>
      <c r="AM10" s="74">
        <v>45749</v>
      </c>
      <c r="AN10" s="74" t="s">
        <v>721</v>
      </c>
      <c r="AO10" t="s">
        <v>727</v>
      </c>
      <c r="AP10" s="78">
        <v>0</v>
      </c>
      <c r="AQ10" s="78">
        <v>0</v>
      </c>
      <c r="AR10" s="78">
        <v>0</v>
      </c>
      <c r="AS10" s="78">
        <v>1</v>
      </c>
      <c r="AT10" s="149">
        <v>102</v>
      </c>
    </row>
    <row r="11" spans="1:46" ht="14.4" x14ac:dyDescent="0.3">
      <c r="A11" t="s">
        <v>976</v>
      </c>
      <c r="B11" t="s">
        <v>977</v>
      </c>
      <c r="C11" t="s">
        <v>300</v>
      </c>
      <c r="D11" s="78" t="str">
        <f t="shared" si="0"/>
        <v>2023-2</v>
      </c>
      <c r="E11" s="78" t="str">
        <f t="shared" si="1"/>
        <v>Class A</v>
      </c>
      <c r="F11" s="78" t="str">
        <f t="shared" si="2"/>
        <v>2025</v>
      </c>
      <c r="G11"/>
      <c r="H11" s="78" t="s">
        <v>717</v>
      </c>
      <c r="I11" t="s">
        <v>744</v>
      </c>
      <c r="J11"/>
      <c r="K11" t="s">
        <v>299</v>
      </c>
      <c r="L11" s="136">
        <v>45112</v>
      </c>
      <c r="M11" s="136">
        <v>46178</v>
      </c>
      <c r="N11"/>
      <c r="O11" s="78" t="s">
        <v>719</v>
      </c>
      <c r="P11" s="206" cm="1">
        <f t="array" ref="P11:Q11">VLOOKUP(K11,[2]ILS!$A:$K,{10,11},0)</f>
        <v>0</v>
      </c>
      <c r="Q11" s="79">
        <v>100000000</v>
      </c>
      <c r="R11">
        <v>250000</v>
      </c>
      <c r="S11"/>
      <c r="T11">
        <v>102.9</v>
      </c>
      <c r="U11" s="211">
        <v>0.14582121925354005</v>
      </c>
      <c r="V11" s="78" t="s">
        <v>720</v>
      </c>
      <c r="W11" s="74">
        <v>46638</v>
      </c>
      <c r="X11"/>
      <c r="Y11" s="17"/>
      <c r="Z11" s="210">
        <f>R11/VLOOKUP(K11,'[2]ETF Portfolio'!$H$19:$N$50,7,0)</f>
        <v>2.5000000000000001E-3</v>
      </c>
      <c r="AA11" s="86">
        <v>0.10578202998664167</v>
      </c>
      <c r="AB11" s="78">
        <v>0</v>
      </c>
      <c r="AC11" s="86">
        <v>0.10549349</v>
      </c>
      <c r="AD11" s="78">
        <v>0</v>
      </c>
      <c r="AE11" s="78">
        <v>0</v>
      </c>
      <c r="AF11" s="78">
        <v>0</v>
      </c>
      <c r="AG11" s="78">
        <v>0</v>
      </c>
      <c r="AH11" s="78">
        <v>0</v>
      </c>
      <c r="AI11" s="74">
        <v>45749</v>
      </c>
      <c r="AJ11" s="74">
        <v>45749</v>
      </c>
      <c r="AK11" s="74">
        <v>45749</v>
      </c>
      <c r="AL11" s="74">
        <v>45749</v>
      </c>
      <c r="AM11" s="74">
        <v>45749</v>
      </c>
      <c r="AN11" s="74" t="s">
        <v>721</v>
      </c>
      <c r="AO11" t="s">
        <v>727</v>
      </c>
      <c r="AP11" s="78">
        <v>0</v>
      </c>
      <c r="AQ11" s="78">
        <v>0</v>
      </c>
      <c r="AR11" s="78">
        <v>0</v>
      </c>
      <c r="AS11" s="78">
        <v>1</v>
      </c>
      <c r="AT11" s="149">
        <v>102</v>
      </c>
    </row>
    <row r="12" spans="1:46" ht="14.4" x14ac:dyDescent="0.3">
      <c r="A12" s="149" t="s">
        <v>1152</v>
      </c>
      <c r="B12" s="149" t="s">
        <v>1153</v>
      </c>
      <c r="C12" t="s">
        <v>542</v>
      </c>
      <c r="D12" s="78" t="str">
        <f t="shared" si="0"/>
        <v>2025-1</v>
      </c>
      <c r="E12" s="78" t="str">
        <f t="shared" si="1"/>
        <v>Class B</v>
      </c>
      <c r="F12" s="78" t="str">
        <f t="shared" si="2"/>
        <v>2025</v>
      </c>
      <c r="G12" s="128"/>
      <c r="H12" s="78" t="s">
        <v>717</v>
      </c>
      <c r="I12" s="74" t="s">
        <v>725</v>
      </c>
      <c r="J12" s="128"/>
      <c r="K12" s="74" t="s">
        <v>541</v>
      </c>
      <c r="L12" s="74">
        <v>45686</v>
      </c>
      <c r="M12" s="74">
        <v>46850</v>
      </c>
      <c r="N12" s="128"/>
      <c r="O12" s="78" t="s">
        <v>719</v>
      </c>
      <c r="P12" s="206" cm="1">
        <f t="array" ref="P12:Q12">VLOOKUP(K12,[2]ILS!$A:$K,{10,11},0)</f>
        <v>5000000</v>
      </c>
      <c r="Q12" s="206">
        <v>5000000</v>
      </c>
      <c r="R12" s="207">
        <v>250000</v>
      </c>
      <c r="S12" s="128"/>
      <c r="T12" s="208">
        <v>100.2</v>
      </c>
      <c r="U12" s="209">
        <v>0.10612121925354004</v>
      </c>
      <c r="V12" s="78" t="s">
        <v>720</v>
      </c>
      <c r="W12" s="74">
        <v>46481</v>
      </c>
      <c r="X12" s="129"/>
      <c r="Y12" s="129"/>
      <c r="Z12" s="210">
        <f>R12/VLOOKUP(K12,'[2]ETF Portfolio'!$H$19:$N$50,7,0)</f>
        <v>8.3333333333333332E-3</v>
      </c>
      <c r="AA12" s="130">
        <v>6.6099119160409642E-2</v>
      </c>
      <c r="AB12" s="78">
        <v>0</v>
      </c>
      <c r="AC12" s="130">
        <v>0.10523115000000001</v>
      </c>
      <c r="AD12" s="78">
        <v>0</v>
      </c>
      <c r="AE12" s="78">
        <v>0</v>
      </c>
      <c r="AF12" s="78">
        <v>0</v>
      </c>
      <c r="AG12" s="78">
        <v>0</v>
      </c>
      <c r="AH12" s="78">
        <v>0</v>
      </c>
      <c r="AI12" s="74">
        <v>45749</v>
      </c>
      <c r="AJ12" s="74">
        <v>45749</v>
      </c>
      <c r="AK12" s="74">
        <v>45749</v>
      </c>
      <c r="AL12" s="74">
        <v>45749</v>
      </c>
      <c r="AM12" s="74">
        <v>45749</v>
      </c>
      <c r="AN12" s="74" t="s">
        <v>726</v>
      </c>
      <c r="AO12" s="74" t="s">
        <v>727</v>
      </c>
      <c r="AP12" s="78">
        <v>0</v>
      </c>
      <c r="AQ12" s="78">
        <v>0</v>
      </c>
      <c r="AR12" s="78">
        <v>0</v>
      </c>
      <c r="AS12" s="78">
        <v>1</v>
      </c>
      <c r="AT12" s="149">
        <v>103</v>
      </c>
    </row>
    <row r="13" spans="1:46" ht="14.4" x14ac:dyDescent="0.3">
      <c r="A13" t="s">
        <v>1154</v>
      </c>
      <c r="B13" t="s">
        <v>1155</v>
      </c>
      <c r="C13" t="s">
        <v>282</v>
      </c>
      <c r="D13" s="78" t="str">
        <f t="shared" si="0"/>
        <v>2023-1</v>
      </c>
      <c r="E13" s="78" t="str">
        <f t="shared" si="1"/>
        <v>Class A</v>
      </c>
      <c r="F13" s="78" t="str">
        <f t="shared" si="2"/>
        <v>2025</v>
      </c>
      <c r="G13"/>
      <c r="H13" s="78" t="s">
        <v>717</v>
      </c>
      <c r="I13" t="s">
        <v>730</v>
      </c>
      <c r="J13"/>
      <c r="K13" t="s">
        <v>281</v>
      </c>
      <c r="L13" s="136">
        <v>45252</v>
      </c>
      <c r="M13" s="136">
        <v>46395</v>
      </c>
      <c r="N13"/>
      <c r="O13" s="78" t="s">
        <v>719</v>
      </c>
      <c r="P13" s="206" cm="1">
        <f t="array" ref="P13:Q13">VLOOKUP(K13,[2]ILS!$A:$K,{10,11},0)</f>
        <v>0</v>
      </c>
      <c r="Q13" s="79">
        <v>600000000</v>
      </c>
      <c r="R13">
        <v>250000</v>
      </c>
      <c r="S13"/>
      <c r="T13">
        <v>102.85</v>
      </c>
      <c r="U13" s="211">
        <v>9.2521219253540038E-2</v>
      </c>
      <c r="V13" s="78" t="s">
        <v>720</v>
      </c>
      <c r="W13" s="74">
        <v>46481</v>
      </c>
      <c r="X13"/>
      <c r="Y13" s="17"/>
      <c r="Z13" s="210">
        <f>R13/VLOOKUP(K13,'[2]ETF Portfolio'!$H$19:$N$50,7,0)</f>
        <v>1.25E-3</v>
      </c>
      <c r="AA13" s="86">
        <v>5.2499146067005197E-2</v>
      </c>
      <c r="AB13" s="78">
        <v>0</v>
      </c>
      <c r="AC13" s="86">
        <v>6.5428009999999995E-2</v>
      </c>
      <c r="AD13" s="78">
        <v>0</v>
      </c>
      <c r="AE13" s="78">
        <v>0</v>
      </c>
      <c r="AF13" s="78">
        <v>0</v>
      </c>
      <c r="AG13" s="78">
        <v>0</v>
      </c>
      <c r="AH13" s="78">
        <v>0</v>
      </c>
      <c r="AI13" s="74">
        <v>45749</v>
      </c>
      <c r="AJ13" s="74">
        <v>45749</v>
      </c>
      <c r="AK13" s="74">
        <v>45749</v>
      </c>
      <c r="AL13" s="74">
        <v>45749</v>
      </c>
      <c r="AM13" s="74">
        <v>45749</v>
      </c>
      <c r="AN13" s="74" t="s">
        <v>721</v>
      </c>
      <c r="AO13" t="s">
        <v>727</v>
      </c>
      <c r="AP13" s="78">
        <v>0</v>
      </c>
      <c r="AQ13" s="78">
        <v>0</v>
      </c>
      <c r="AR13" s="78">
        <v>0</v>
      </c>
      <c r="AS13" s="78">
        <v>1</v>
      </c>
      <c r="AT13" s="149">
        <v>103</v>
      </c>
    </row>
    <row r="14" spans="1:46" ht="14.4" x14ac:dyDescent="0.3">
      <c r="A14" t="s">
        <v>1156</v>
      </c>
      <c r="B14" t="s">
        <v>1157</v>
      </c>
      <c r="C14" t="s">
        <v>89</v>
      </c>
      <c r="D14" s="78" t="str">
        <f t="shared" si="0"/>
        <v>2023-1</v>
      </c>
      <c r="E14" s="78" t="str">
        <f t="shared" si="1"/>
        <v>Class A</v>
      </c>
      <c r="F14" s="78" t="str">
        <f t="shared" si="2"/>
        <v>2025</v>
      </c>
      <c r="G14"/>
      <c r="H14" s="78" t="s">
        <v>717</v>
      </c>
      <c r="I14" t="s">
        <v>852</v>
      </c>
      <c r="J14"/>
      <c r="K14" t="s">
        <v>88</v>
      </c>
      <c r="L14" s="136">
        <v>45105</v>
      </c>
      <c r="M14" s="136">
        <v>46575</v>
      </c>
      <c r="N14"/>
      <c r="O14" s="78" t="s">
        <v>719</v>
      </c>
      <c r="P14" s="206" cm="1">
        <f t="array" ref="P14:Q14">VLOOKUP(K14,[2]ILS!$A:$K,{10,11},0)</f>
        <v>0</v>
      </c>
      <c r="Q14" s="79">
        <v>300000000</v>
      </c>
      <c r="R14">
        <v>250000</v>
      </c>
      <c r="S14"/>
      <c r="T14">
        <v>102.2</v>
      </c>
      <c r="U14" s="211">
        <v>9.052121925354005E-2</v>
      </c>
      <c r="V14" s="78" t="s">
        <v>720</v>
      </c>
      <c r="W14" s="74">
        <v>46486</v>
      </c>
      <c r="X14"/>
      <c r="Y14" s="17"/>
      <c r="Z14" s="210">
        <f>R14/VLOOKUP(K14,'[2]ETF Portfolio'!$H$19:$N$50,7,0)</f>
        <v>2.5000000000000001E-3</v>
      </c>
      <c r="AA14" s="86">
        <v>5.0465099531352441E-2</v>
      </c>
      <c r="AB14" s="78">
        <v>0</v>
      </c>
      <c r="AC14" s="86">
        <v>7.7633049999999995E-2</v>
      </c>
      <c r="AD14" s="78">
        <v>0</v>
      </c>
      <c r="AE14" s="78">
        <v>0</v>
      </c>
      <c r="AF14" s="78">
        <v>0</v>
      </c>
      <c r="AG14" s="78">
        <v>0</v>
      </c>
      <c r="AH14" s="78">
        <v>0</v>
      </c>
      <c r="AI14" s="74">
        <v>45749</v>
      </c>
      <c r="AJ14" s="74">
        <v>45749</v>
      </c>
      <c r="AK14" s="74">
        <v>45749</v>
      </c>
      <c r="AL14" s="74">
        <v>45749</v>
      </c>
      <c r="AM14" s="74">
        <v>45749</v>
      </c>
      <c r="AN14" s="74" t="s">
        <v>721</v>
      </c>
      <c r="AO14" t="s">
        <v>727</v>
      </c>
      <c r="AP14" s="78">
        <v>0</v>
      </c>
      <c r="AQ14" s="78">
        <v>0</v>
      </c>
      <c r="AR14" s="78">
        <v>0</v>
      </c>
      <c r="AS14" s="78">
        <v>1</v>
      </c>
      <c r="AT14" s="149">
        <v>103</v>
      </c>
    </row>
    <row r="15" spans="1:46" ht="14.4" x14ac:dyDescent="0.3">
      <c r="A15" t="s">
        <v>1158</v>
      </c>
      <c r="B15" t="s">
        <v>1159</v>
      </c>
      <c r="C15" t="s">
        <v>298</v>
      </c>
      <c r="D15" s="78" t="str">
        <f t="shared" si="0"/>
        <v>2024-1</v>
      </c>
      <c r="E15" s="78" t="str">
        <f t="shared" si="1"/>
        <v>Class A</v>
      </c>
      <c r="F15" s="78" t="str">
        <f t="shared" si="2"/>
        <v>2025</v>
      </c>
      <c r="G15"/>
      <c r="H15" s="78" t="s">
        <v>717</v>
      </c>
      <c r="I15" t="s">
        <v>744</v>
      </c>
      <c r="J15"/>
      <c r="K15" t="s">
        <v>297</v>
      </c>
      <c r="L15" s="136">
        <v>45391</v>
      </c>
      <c r="M15" s="136">
        <v>46545</v>
      </c>
      <c r="N15"/>
      <c r="O15" s="78" t="s">
        <v>719</v>
      </c>
      <c r="P15" s="206" cm="1">
        <f t="array" ref="P15:Q15">VLOOKUP(K15,[2]ILS!$A:$K,{10,11},0)</f>
        <v>0</v>
      </c>
      <c r="Q15" s="79">
        <v>300000000</v>
      </c>
      <c r="R15">
        <v>250000</v>
      </c>
      <c r="S15"/>
      <c r="T15">
        <v>102.6</v>
      </c>
      <c r="U15" s="211">
        <v>0.13128121681213378</v>
      </c>
      <c r="V15" s="78" t="s">
        <v>720</v>
      </c>
      <c r="W15" s="74">
        <v>46491</v>
      </c>
      <c r="X15"/>
      <c r="Y15" s="17"/>
      <c r="Z15" s="210">
        <f>R15/VLOOKUP(K15,'[2]ETF Portfolio'!$H$19:$N$50,7,0)</f>
        <v>1.1904761904761906E-3</v>
      </c>
      <c r="AA15" s="86">
        <v>9.1256734286354418E-2</v>
      </c>
      <c r="AB15" s="78">
        <v>0</v>
      </c>
      <c r="AC15" s="86">
        <v>0.11496279</v>
      </c>
      <c r="AD15" s="78">
        <v>0</v>
      </c>
      <c r="AE15" s="78">
        <v>0</v>
      </c>
      <c r="AF15" s="78">
        <v>0</v>
      </c>
      <c r="AG15" s="78">
        <v>0</v>
      </c>
      <c r="AH15" s="78">
        <v>0</v>
      </c>
      <c r="AI15" s="74">
        <v>45749</v>
      </c>
      <c r="AJ15" s="74">
        <v>45749</v>
      </c>
      <c r="AK15" s="74">
        <v>45749</v>
      </c>
      <c r="AL15" s="74">
        <v>45749</v>
      </c>
      <c r="AM15" s="74">
        <v>45749</v>
      </c>
      <c r="AN15" s="74" t="s">
        <v>721</v>
      </c>
      <c r="AO15" t="s">
        <v>727</v>
      </c>
      <c r="AP15" s="78">
        <v>0</v>
      </c>
      <c r="AQ15" s="78">
        <v>0</v>
      </c>
      <c r="AR15" s="78">
        <v>0</v>
      </c>
      <c r="AS15" s="78">
        <v>1</v>
      </c>
      <c r="AT15" s="149">
        <v>103</v>
      </c>
    </row>
    <row r="16" spans="1:46" ht="14.4" x14ac:dyDescent="0.3">
      <c r="A16" t="s">
        <v>1160</v>
      </c>
      <c r="B16" t="s">
        <v>1161</v>
      </c>
      <c r="C16" t="s">
        <v>412</v>
      </c>
      <c r="D16" s="78" t="str">
        <f t="shared" si="0"/>
        <v>2024-1</v>
      </c>
      <c r="E16" s="78" t="str">
        <f t="shared" si="1"/>
        <v>Class A</v>
      </c>
      <c r="F16" s="78" t="str">
        <f t="shared" si="2"/>
        <v>2025</v>
      </c>
      <c r="G16"/>
      <c r="H16" s="78" t="s">
        <v>717</v>
      </c>
      <c r="I16" t="s">
        <v>749</v>
      </c>
      <c r="J16"/>
      <c r="K16" t="s">
        <v>411</v>
      </c>
      <c r="L16" s="136">
        <v>45393</v>
      </c>
      <c r="M16" s="136">
        <v>46517</v>
      </c>
      <c r="N16"/>
      <c r="O16" s="78" t="s">
        <v>719</v>
      </c>
      <c r="P16" s="206" cm="1">
        <f t="array" ref="P16:Q16">VLOOKUP(K16,[2]ILS!$A:$K,{10,11},0)</f>
        <v>0</v>
      </c>
      <c r="Q16" s="79">
        <v>125000000</v>
      </c>
      <c r="R16">
        <v>250000</v>
      </c>
      <c r="S16"/>
      <c r="T16">
        <v>102</v>
      </c>
      <c r="U16" s="211">
        <v>0.11634122047424317</v>
      </c>
      <c r="V16" s="78" t="s">
        <v>720</v>
      </c>
      <c r="W16" s="74">
        <v>46507</v>
      </c>
      <c r="X16"/>
      <c r="Y16" s="17"/>
      <c r="Z16" s="210">
        <f>R16/VLOOKUP(K16,'[2]ETF Portfolio'!$H$19:$N$50,7,0)</f>
        <v>2E-3</v>
      </c>
      <c r="AA16" s="86">
        <v>7.6318703394137988E-2</v>
      </c>
      <c r="AB16" s="78">
        <v>0</v>
      </c>
      <c r="AC16" s="86">
        <v>0.10341628999999999</v>
      </c>
      <c r="AD16" s="78">
        <v>0</v>
      </c>
      <c r="AE16" s="78">
        <v>0</v>
      </c>
      <c r="AF16" s="78">
        <v>0</v>
      </c>
      <c r="AG16" s="78">
        <v>0</v>
      </c>
      <c r="AH16" s="78">
        <v>0</v>
      </c>
      <c r="AI16" s="74">
        <v>45749</v>
      </c>
      <c r="AJ16" s="74">
        <v>45749</v>
      </c>
      <c r="AK16" s="74">
        <v>45749</v>
      </c>
      <c r="AL16" s="74">
        <v>45749</v>
      </c>
      <c r="AM16" s="74">
        <v>45749</v>
      </c>
      <c r="AN16" s="74" t="s">
        <v>721</v>
      </c>
      <c r="AO16" t="s">
        <v>727</v>
      </c>
      <c r="AP16" s="78">
        <v>0</v>
      </c>
      <c r="AQ16" s="78">
        <v>0</v>
      </c>
      <c r="AR16" s="78">
        <v>0</v>
      </c>
      <c r="AS16" s="78">
        <v>1</v>
      </c>
      <c r="AT16" s="149">
        <v>103</v>
      </c>
    </row>
    <row r="17" spans="1:46" ht="14.4" x14ac:dyDescent="0.3">
      <c r="A17" t="s">
        <v>1162</v>
      </c>
      <c r="B17" t="s">
        <v>1163</v>
      </c>
      <c r="C17" t="s">
        <v>474</v>
      </c>
      <c r="D17" s="78" t="str">
        <f t="shared" si="0"/>
        <v>2025-1</v>
      </c>
      <c r="E17" s="78" t="str">
        <f t="shared" si="1"/>
        <v>Class A</v>
      </c>
      <c r="F17" s="78" t="str">
        <f t="shared" si="2"/>
        <v/>
      </c>
      <c r="G17"/>
      <c r="H17" s="78" t="s">
        <v>717</v>
      </c>
      <c r="I17" t="s">
        <v>750</v>
      </c>
      <c r="J17"/>
      <c r="K17" t="s">
        <v>473</v>
      </c>
      <c r="L17" s="136">
        <v>45701</v>
      </c>
      <c r="M17" s="136">
        <v>46804</v>
      </c>
      <c r="N17"/>
      <c r="O17" s="78" t="s">
        <v>719</v>
      </c>
      <c r="P17" s="206" cm="1">
        <f t="array" ref="P17:Q17">VLOOKUP(K17,[2]ILS!$A:$K,{10,11},0)</f>
        <v>0</v>
      </c>
      <c r="Q17" s="79">
        <v>200000000</v>
      </c>
      <c r="R17">
        <v>250000</v>
      </c>
      <c r="S17"/>
      <c r="T17">
        <v>99.85</v>
      </c>
      <c r="U17" s="211">
        <v>0.10502121925354004</v>
      </c>
      <c r="V17" s="78" t="s">
        <v>720</v>
      </c>
      <c r="W17" s="74">
        <v>46514</v>
      </c>
      <c r="X17"/>
      <c r="Y17" s="17"/>
      <c r="Z17" s="210">
        <f>R17/VLOOKUP(K17,'[2]ETF Portfolio'!$H$19:$N$50,7,0)</f>
        <v>1.4285714285714286E-3</v>
      </c>
      <c r="AA17" s="86">
        <v>6.4996444622152524E-2</v>
      </c>
      <c r="AB17" s="78">
        <v>0</v>
      </c>
      <c r="AC17" s="86">
        <v>0.10572052</v>
      </c>
      <c r="AD17" s="78">
        <v>0</v>
      </c>
      <c r="AE17" s="78">
        <v>0</v>
      </c>
      <c r="AF17" s="78">
        <v>0</v>
      </c>
      <c r="AG17" s="78">
        <v>0</v>
      </c>
      <c r="AH17" s="78">
        <v>0</v>
      </c>
      <c r="AI17" s="74">
        <v>45749</v>
      </c>
      <c r="AJ17" s="74">
        <v>45749</v>
      </c>
      <c r="AK17" s="74">
        <v>45749</v>
      </c>
      <c r="AL17" s="74">
        <v>45749</v>
      </c>
      <c r="AM17" s="74">
        <v>45749</v>
      </c>
      <c r="AN17" s="74" t="s">
        <v>721</v>
      </c>
      <c r="AO17" t="s">
        <v>727</v>
      </c>
      <c r="AP17" s="78">
        <v>0</v>
      </c>
      <c r="AQ17" s="78">
        <v>0</v>
      </c>
      <c r="AR17" s="78">
        <v>0</v>
      </c>
      <c r="AS17" s="78">
        <v>1</v>
      </c>
      <c r="AT17" s="149">
        <v>103</v>
      </c>
    </row>
    <row r="18" spans="1:46" ht="14.4" x14ac:dyDescent="0.3">
      <c r="A18" t="s">
        <v>1164</v>
      </c>
      <c r="B18" t="s">
        <v>1165</v>
      </c>
      <c r="C18" t="s">
        <v>290</v>
      </c>
      <c r="D18" s="78" t="str">
        <f t="shared" si="0"/>
        <v>2023-1</v>
      </c>
      <c r="E18" s="78" t="str">
        <f t="shared" si="1"/>
        <v>Class A</v>
      </c>
      <c r="F18" s="78" t="str">
        <f t="shared" si="2"/>
        <v>2025</v>
      </c>
      <c r="G18"/>
      <c r="H18" s="78" t="s">
        <v>717</v>
      </c>
      <c r="I18" t="s">
        <v>754</v>
      </c>
      <c r="J18"/>
      <c r="K18" t="s">
        <v>289</v>
      </c>
      <c r="L18" s="136">
        <v>45064</v>
      </c>
      <c r="M18" s="136">
        <v>46168</v>
      </c>
      <c r="N18"/>
      <c r="O18" s="78" t="s">
        <v>719</v>
      </c>
      <c r="P18" s="206" cm="1">
        <f t="array" ref="P18:Q18">VLOOKUP(K18,[2]ILS!$A:$K,{10,11},0)</f>
        <v>0</v>
      </c>
      <c r="Q18" s="79">
        <v>250000000</v>
      </c>
      <c r="R18">
        <v>250000</v>
      </c>
      <c r="S18"/>
      <c r="T18">
        <v>104.6</v>
      </c>
      <c r="U18" s="211">
        <v>0.16392121925354006</v>
      </c>
      <c r="V18" s="78" t="s">
        <v>720</v>
      </c>
      <c r="W18" s="74">
        <v>46520</v>
      </c>
      <c r="X18"/>
      <c r="Y18" s="17"/>
      <c r="Z18" s="210">
        <f>R18/VLOOKUP(K18,'[2]ETF Portfolio'!$H$19:$N$50,7,0)</f>
        <v>2.0833333333333333E-3</v>
      </c>
      <c r="AA18" s="86">
        <v>0.123799740975</v>
      </c>
      <c r="AB18" s="78">
        <v>0</v>
      </c>
      <c r="AC18" s="86">
        <v>9.7166349999999999E-2</v>
      </c>
      <c r="AD18" s="78">
        <v>0</v>
      </c>
      <c r="AE18" s="78">
        <v>0</v>
      </c>
      <c r="AF18" s="78">
        <v>0</v>
      </c>
      <c r="AG18" s="78">
        <v>0</v>
      </c>
      <c r="AH18" s="78">
        <v>0</v>
      </c>
      <c r="AI18" s="74">
        <v>45749</v>
      </c>
      <c r="AJ18" s="74">
        <v>45749</v>
      </c>
      <c r="AK18" s="74">
        <v>45749</v>
      </c>
      <c r="AL18" s="74">
        <v>45749</v>
      </c>
      <c r="AM18" s="74">
        <v>45749</v>
      </c>
      <c r="AN18" s="74" t="s">
        <v>721</v>
      </c>
      <c r="AO18" t="s">
        <v>727</v>
      </c>
      <c r="AP18" s="78">
        <v>0</v>
      </c>
      <c r="AQ18" s="78">
        <v>0</v>
      </c>
      <c r="AR18" s="78">
        <v>0</v>
      </c>
      <c r="AS18" s="78">
        <v>1</v>
      </c>
      <c r="AT18" s="149">
        <v>103</v>
      </c>
    </row>
    <row r="19" spans="1:46" ht="14.4" x14ac:dyDescent="0.3">
      <c r="A19" t="s">
        <v>1166</v>
      </c>
      <c r="B19" t="s">
        <v>1167</v>
      </c>
      <c r="C19" t="s">
        <v>468</v>
      </c>
      <c r="D19" s="78" t="str">
        <f t="shared" si="0"/>
        <v>2024-1</v>
      </c>
      <c r="E19" s="78" t="str">
        <f t="shared" si="1"/>
        <v>Class A</v>
      </c>
      <c r="F19" s="78" t="str">
        <f t="shared" si="2"/>
        <v>2025</v>
      </c>
      <c r="G19"/>
      <c r="H19" s="78" t="s">
        <v>717</v>
      </c>
      <c r="I19" t="s">
        <v>755</v>
      </c>
      <c r="J19"/>
      <c r="K19" t="s">
        <v>467</v>
      </c>
      <c r="L19" s="136">
        <v>45393</v>
      </c>
      <c r="M19" s="136">
        <v>46545</v>
      </c>
      <c r="N19"/>
      <c r="O19" s="78" t="s">
        <v>719</v>
      </c>
      <c r="P19" s="206" cm="1">
        <f t="array" ref="P19:Q19">VLOOKUP(K19,[2]ILS!$A:$K,{10,11},0)</f>
        <v>0</v>
      </c>
      <c r="Q19" s="79">
        <v>300000000</v>
      </c>
      <c r="R19">
        <v>250000</v>
      </c>
      <c r="S19"/>
      <c r="T19">
        <v>102.85</v>
      </c>
      <c r="U19" s="211">
        <v>0.13702121925354002</v>
      </c>
      <c r="V19" s="78" t="s">
        <v>720</v>
      </c>
      <c r="W19" s="74">
        <v>46521</v>
      </c>
      <c r="X19"/>
      <c r="Y19" s="17"/>
      <c r="Z19" s="210">
        <f>R19/VLOOKUP(K19,'[2]ETF Portfolio'!$H$19:$N$50,7,0)</f>
        <v>1.6666666666666668E-3</v>
      </c>
      <c r="AA19" s="86">
        <v>9.6985917087578213E-2</v>
      </c>
      <c r="AB19" s="78">
        <v>0</v>
      </c>
      <c r="AC19" s="86">
        <v>0.11910928</v>
      </c>
      <c r="AD19" s="78">
        <v>0</v>
      </c>
      <c r="AE19" s="78">
        <v>0</v>
      </c>
      <c r="AF19" s="78">
        <v>0</v>
      </c>
      <c r="AG19" s="78">
        <v>0</v>
      </c>
      <c r="AH19" s="78">
        <v>0</v>
      </c>
      <c r="AI19" s="74">
        <v>45749</v>
      </c>
      <c r="AJ19" s="74">
        <v>45749</v>
      </c>
      <c r="AK19" s="74">
        <v>45749</v>
      </c>
      <c r="AL19" s="74">
        <v>45749</v>
      </c>
      <c r="AM19" s="74">
        <v>45749</v>
      </c>
      <c r="AN19" s="74" t="s">
        <v>721</v>
      </c>
      <c r="AO19" t="s">
        <v>727</v>
      </c>
      <c r="AP19" s="78">
        <v>0</v>
      </c>
      <c r="AQ19" s="78">
        <v>0</v>
      </c>
      <c r="AR19" s="78">
        <v>0</v>
      </c>
      <c r="AS19" s="78">
        <v>1</v>
      </c>
      <c r="AT19" s="149">
        <v>103</v>
      </c>
    </row>
    <row r="20" spans="1:46" ht="14.4" x14ac:dyDescent="0.3">
      <c r="A20" t="s">
        <v>974</v>
      </c>
      <c r="B20" t="s">
        <v>975</v>
      </c>
      <c r="C20" t="s">
        <v>276</v>
      </c>
      <c r="D20" s="78" t="str">
        <f t="shared" si="0"/>
        <v>2023-1</v>
      </c>
      <c r="E20" s="78" t="str">
        <f t="shared" si="1"/>
        <v>Class B</v>
      </c>
      <c r="F20" s="78" t="str">
        <f t="shared" si="2"/>
        <v>2025</v>
      </c>
      <c r="G20"/>
      <c r="H20" s="78" t="s">
        <v>717</v>
      </c>
      <c r="I20" t="s">
        <v>761</v>
      </c>
      <c r="J20"/>
      <c r="K20" t="s">
        <v>275</v>
      </c>
      <c r="L20" s="136">
        <v>45057</v>
      </c>
      <c r="M20" s="136">
        <v>46180</v>
      </c>
      <c r="N20"/>
      <c r="O20" s="78" t="s">
        <v>719</v>
      </c>
      <c r="P20" s="206" cm="1">
        <f t="array" ref="P20:Q20">VLOOKUP(K20,[2]ILS!$A:$K,{10,11},0)</f>
        <v>0</v>
      </c>
      <c r="Q20" s="79">
        <v>115000000</v>
      </c>
      <c r="R20">
        <v>250000</v>
      </c>
      <c r="S20"/>
      <c r="T20">
        <v>103.85</v>
      </c>
      <c r="U20" s="211">
        <v>0.12712121925354006</v>
      </c>
      <c r="V20" s="78" t="s">
        <v>720</v>
      </c>
      <c r="W20" s="74">
        <v>46638</v>
      </c>
      <c r="X20"/>
      <c r="Y20" s="17"/>
      <c r="Z20" s="210">
        <f>R20/VLOOKUP(K20,'[2]ETF Portfolio'!$H$19:$N$50,7,0)</f>
        <v>2.1739130434782609E-3</v>
      </c>
      <c r="AA20" s="86">
        <v>8.6682056208E-2</v>
      </c>
      <c r="AB20" s="78">
        <v>0</v>
      </c>
      <c r="AC20" s="86">
        <v>7.397630999999999E-2</v>
      </c>
      <c r="AD20" s="78">
        <v>0</v>
      </c>
      <c r="AE20" s="78">
        <v>0</v>
      </c>
      <c r="AF20" s="78">
        <v>0</v>
      </c>
      <c r="AG20" s="78">
        <v>0</v>
      </c>
      <c r="AH20" s="78">
        <v>0</v>
      </c>
      <c r="AI20" s="74">
        <v>45749</v>
      </c>
      <c r="AJ20" s="74">
        <v>45749</v>
      </c>
      <c r="AK20" s="74">
        <v>45749</v>
      </c>
      <c r="AL20" s="74">
        <v>45749</v>
      </c>
      <c r="AM20" s="74">
        <v>45749</v>
      </c>
      <c r="AN20" s="74" t="s">
        <v>721</v>
      </c>
      <c r="AO20" t="s">
        <v>727</v>
      </c>
      <c r="AP20" s="78">
        <v>0</v>
      </c>
      <c r="AQ20" s="78">
        <v>0</v>
      </c>
      <c r="AR20" s="78">
        <v>0</v>
      </c>
      <c r="AS20" s="78">
        <v>1</v>
      </c>
      <c r="AT20" s="149">
        <v>103</v>
      </c>
    </row>
    <row r="21" spans="1:46" ht="14.4" x14ac:dyDescent="0.3">
      <c r="A21" t="s">
        <v>976</v>
      </c>
      <c r="B21" t="s">
        <v>977</v>
      </c>
      <c r="C21" t="s">
        <v>300</v>
      </c>
      <c r="D21" s="78" t="str">
        <f t="shared" si="0"/>
        <v>2023-2</v>
      </c>
      <c r="E21" s="78" t="str">
        <f t="shared" si="1"/>
        <v>Class A</v>
      </c>
      <c r="F21" s="78" t="str">
        <f t="shared" si="2"/>
        <v>2025</v>
      </c>
      <c r="G21"/>
      <c r="H21" s="78" t="s">
        <v>717</v>
      </c>
      <c r="I21" t="s">
        <v>744</v>
      </c>
      <c r="J21"/>
      <c r="K21" t="s">
        <v>299</v>
      </c>
      <c r="L21" s="136">
        <v>45112</v>
      </c>
      <c r="M21" s="136">
        <v>46178</v>
      </c>
      <c r="N21"/>
      <c r="O21" s="78" t="s">
        <v>719</v>
      </c>
      <c r="P21" s="206" cm="1">
        <f t="array" ref="P21:Q21">VLOOKUP(K21,[2]ILS!$A:$K,{10,11},0)</f>
        <v>0</v>
      </c>
      <c r="Q21" s="79">
        <v>100000000</v>
      </c>
      <c r="R21">
        <v>250000</v>
      </c>
      <c r="S21"/>
      <c r="T21">
        <v>102.9</v>
      </c>
      <c r="U21" s="211">
        <v>0.14582121925354005</v>
      </c>
      <c r="V21" s="78" t="s">
        <v>720</v>
      </c>
      <c r="W21" s="74">
        <v>46638</v>
      </c>
      <c r="X21"/>
      <c r="Y21" s="17"/>
      <c r="Z21" s="210">
        <f>R21/VLOOKUP(K21,'[2]ETF Portfolio'!$H$19:$N$50,7,0)</f>
        <v>2.5000000000000001E-3</v>
      </c>
      <c r="AA21" s="86">
        <v>0.10578202998664167</v>
      </c>
      <c r="AB21" s="78">
        <v>0</v>
      </c>
      <c r="AC21" s="86">
        <v>0.10549349</v>
      </c>
      <c r="AD21" s="78">
        <v>0</v>
      </c>
      <c r="AE21" s="78">
        <v>0</v>
      </c>
      <c r="AF21" s="78">
        <v>0</v>
      </c>
      <c r="AG21" s="78">
        <v>0</v>
      </c>
      <c r="AH21" s="78">
        <v>0</v>
      </c>
      <c r="AI21" s="74">
        <v>45749</v>
      </c>
      <c r="AJ21" s="74">
        <v>45749</v>
      </c>
      <c r="AK21" s="74">
        <v>45749</v>
      </c>
      <c r="AL21" s="74">
        <v>45749</v>
      </c>
      <c r="AM21" s="74">
        <v>45749</v>
      </c>
      <c r="AN21" s="74" t="s">
        <v>721</v>
      </c>
      <c r="AO21" t="s">
        <v>727</v>
      </c>
      <c r="AP21" s="78">
        <v>0</v>
      </c>
      <c r="AQ21" s="78">
        <v>0</v>
      </c>
      <c r="AR21" s="78">
        <v>0</v>
      </c>
      <c r="AS21" s="78">
        <v>1</v>
      </c>
      <c r="AT21" s="149">
        <v>103</v>
      </c>
    </row>
    <row r="22" spans="1:46" ht="14.4" x14ac:dyDescent="0.3">
      <c r="A22" t="s">
        <v>1170</v>
      </c>
      <c r="B22" t="s">
        <v>1171</v>
      </c>
      <c r="C22" t="s">
        <v>89</v>
      </c>
      <c r="D22" s="78" t="str">
        <f t="shared" si="0"/>
        <v>2023-1</v>
      </c>
      <c r="E22" s="78" t="str">
        <f t="shared" si="1"/>
        <v>Class A</v>
      </c>
      <c r="F22" s="78" t="str">
        <f t="shared" si="2"/>
        <v>2025</v>
      </c>
      <c r="G22"/>
      <c r="H22" s="78" t="s">
        <v>717</v>
      </c>
      <c r="I22" t="s">
        <v>852</v>
      </c>
      <c r="J22"/>
      <c r="K22" t="s">
        <v>88</v>
      </c>
      <c r="L22" s="136">
        <v>45105</v>
      </c>
      <c r="M22" s="136">
        <v>46575</v>
      </c>
      <c r="N22"/>
      <c r="O22" s="78" t="s">
        <v>719</v>
      </c>
      <c r="P22" s="206" cm="1">
        <f t="array" ref="P22:Q22">VLOOKUP(K22,[2]ILS!$A:$K,{10,11},0)</f>
        <v>0</v>
      </c>
      <c r="Q22" s="79">
        <v>300000000</v>
      </c>
      <c r="R22">
        <v>500000</v>
      </c>
      <c r="S22"/>
      <c r="T22">
        <v>102.2</v>
      </c>
      <c r="U22" s="211">
        <v>9.052121925354005E-2</v>
      </c>
      <c r="V22" s="78" t="s">
        <v>720</v>
      </c>
      <c r="W22" s="74">
        <v>46486</v>
      </c>
      <c r="X22"/>
      <c r="Y22" s="17"/>
      <c r="Z22" s="210">
        <f>R22/VLOOKUP(K22,'[2]ETF Portfolio'!$H$19:$N$50,7,0)</f>
        <v>5.0000000000000001E-3</v>
      </c>
      <c r="AA22" s="86">
        <v>5.0465099531352441E-2</v>
      </c>
      <c r="AB22" s="78">
        <v>0</v>
      </c>
      <c r="AC22" s="86">
        <v>7.7633049999999995E-2</v>
      </c>
      <c r="AD22" s="78">
        <v>0</v>
      </c>
      <c r="AE22" s="78">
        <v>0</v>
      </c>
      <c r="AF22" s="78">
        <v>0</v>
      </c>
      <c r="AG22" s="78">
        <v>0</v>
      </c>
      <c r="AH22" s="78">
        <v>0</v>
      </c>
      <c r="AI22" s="74">
        <v>45749</v>
      </c>
      <c r="AJ22" s="74">
        <v>45749</v>
      </c>
      <c r="AK22" s="74">
        <v>45749</v>
      </c>
      <c r="AL22" s="74">
        <v>45749</v>
      </c>
      <c r="AM22" s="74">
        <v>45749</v>
      </c>
      <c r="AN22" s="74" t="s">
        <v>721</v>
      </c>
      <c r="AO22" t="s">
        <v>727</v>
      </c>
      <c r="AP22" s="78">
        <v>0</v>
      </c>
      <c r="AQ22" s="78">
        <v>0</v>
      </c>
      <c r="AR22" s="78">
        <v>0</v>
      </c>
      <c r="AS22" s="78">
        <v>1</v>
      </c>
      <c r="AT22" s="149">
        <v>103</v>
      </c>
    </row>
    <row r="23" spans="1:46" ht="14.4" x14ac:dyDescent="0.3">
      <c r="A23" t="s">
        <v>1172</v>
      </c>
      <c r="B23" t="s">
        <v>1173</v>
      </c>
      <c r="C23" t="s">
        <v>298</v>
      </c>
      <c r="D23" s="78" t="str">
        <f t="shared" si="0"/>
        <v>2024-1</v>
      </c>
      <c r="E23" s="78" t="str">
        <f t="shared" si="1"/>
        <v>Class A</v>
      </c>
      <c r="F23" s="78" t="str">
        <f t="shared" si="2"/>
        <v>2025</v>
      </c>
      <c r="G23"/>
      <c r="H23" s="78" t="s">
        <v>717</v>
      </c>
      <c r="I23" t="s">
        <v>744</v>
      </c>
      <c r="J23"/>
      <c r="K23" t="s">
        <v>297</v>
      </c>
      <c r="L23" s="136">
        <v>45391</v>
      </c>
      <c r="M23" s="136">
        <v>46545</v>
      </c>
      <c r="N23"/>
      <c r="O23" s="78" t="s">
        <v>719</v>
      </c>
      <c r="P23" s="206" cm="1">
        <f t="array" ref="P23:Q23">VLOOKUP(K23,[2]ILS!$A:$K,{10,11},0)</f>
        <v>0</v>
      </c>
      <c r="Q23" s="79">
        <v>300000000</v>
      </c>
      <c r="R23">
        <v>500000</v>
      </c>
      <c r="S23"/>
      <c r="T23">
        <v>102.6</v>
      </c>
      <c r="U23" s="211">
        <v>0.13128121681213378</v>
      </c>
      <c r="V23" s="78" t="s">
        <v>720</v>
      </c>
      <c r="W23" s="74">
        <v>46491</v>
      </c>
      <c r="X23"/>
      <c r="Y23" s="17"/>
      <c r="Z23" s="210">
        <f>R23/VLOOKUP(K23,'[2]ETF Portfolio'!$H$19:$N$50,7,0)</f>
        <v>2.3809523809523812E-3</v>
      </c>
      <c r="AA23" s="86">
        <v>9.1256734286354418E-2</v>
      </c>
      <c r="AB23" s="78">
        <v>0</v>
      </c>
      <c r="AC23" s="86">
        <v>0.11496279</v>
      </c>
      <c r="AD23" s="78">
        <v>0</v>
      </c>
      <c r="AE23" s="78">
        <v>0</v>
      </c>
      <c r="AF23" s="78">
        <v>0</v>
      </c>
      <c r="AG23" s="78">
        <v>0</v>
      </c>
      <c r="AH23" s="78">
        <v>0</v>
      </c>
      <c r="AI23" s="74">
        <v>45749</v>
      </c>
      <c r="AJ23" s="74">
        <v>45749</v>
      </c>
      <c r="AK23" s="74">
        <v>45749</v>
      </c>
      <c r="AL23" s="74">
        <v>45749</v>
      </c>
      <c r="AM23" s="74">
        <v>45749</v>
      </c>
      <c r="AN23" s="74" t="s">
        <v>721</v>
      </c>
      <c r="AO23" t="s">
        <v>727</v>
      </c>
      <c r="AP23" s="78">
        <v>0</v>
      </c>
      <c r="AQ23" s="78">
        <v>0</v>
      </c>
      <c r="AR23" s="78">
        <v>0</v>
      </c>
      <c r="AS23" s="78">
        <v>1</v>
      </c>
      <c r="AT23" s="149">
        <v>103</v>
      </c>
    </row>
    <row r="24" spans="1:46" ht="14.4" x14ac:dyDescent="0.3">
      <c r="A24" t="s">
        <v>1174</v>
      </c>
      <c r="B24" t="s">
        <v>1175</v>
      </c>
      <c r="C24" t="s">
        <v>412</v>
      </c>
      <c r="D24" s="78" t="str">
        <f t="shared" si="0"/>
        <v>2024-1</v>
      </c>
      <c r="E24" s="78" t="str">
        <f t="shared" si="1"/>
        <v>Class A</v>
      </c>
      <c r="F24" s="78" t="str">
        <f t="shared" si="2"/>
        <v>2025</v>
      </c>
      <c r="G24"/>
      <c r="H24" s="78" t="s">
        <v>717</v>
      </c>
      <c r="I24" t="s">
        <v>749</v>
      </c>
      <c r="J24"/>
      <c r="K24" t="s">
        <v>411</v>
      </c>
      <c r="L24" s="136">
        <v>45393</v>
      </c>
      <c r="M24" s="136">
        <v>46517</v>
      </c>
      <c r="N24"/>
      <c r="O24" s="78" t="s">
        <v>719</v>
      </c>
      <c r="P24" s="206" cm="1">
        <f t="array" ref="P24:Q24">VLOOKUP(K24,[2]ILS!$A:$K,{10,11},0)</f>
        <v>0</v>
      </c>
      <c r="Q24" s="79">
        <v>125000000</v>
      </c>
      <c r="R24">
        <v>500000</v>
      </c>
      <c r="S24"/>
      <c r="T24">
        <v>102</v>
      </c>
      <c r="U24" s="211">
        <v>0.11634122047424317</v>
      </c>
      <c r="V24" s="78" t="s">
        <v>720</v>
      </c>
      <c r="W24" s="74">
        <v>46507</v>
      </c>
      <c r="X24"/>
      <c r="Y24" s="17"/>
      <c r="Z24" s="210">
        <f>R24/VLOOKUP(K24,'[2]ETF Portfolio'!$H$19:$N$50,7,0)</f>
        <v>4.0000000000000001E-3</v>
      </c>
      <c r="AA24" s="86">
        <v>7.6318703394137988E-2</v>
      </c>
      <c r="AB24" s="78">
        <v>0</v>
      </c>
      <c r="AC24" s="86">
        <v>0.10341628999999999</v>
      </c>
      <c r="AD24" s="78">
        <v>0</v>
      </c>
      <c r="AE24" s="78">
        <v>0</v>
      </c>
      <c r="AF24" s="78">
        <v>0</v>
      </c>
      <c r="AG24" s="78">
        <v>0</v>
      </c>
      <c r="AH24" s="78">
        <v>0</v>
      </c>
      <c r="AI24" s="74">
        <v>45749</v>
      </c>
      <c r="AJ24" s="74">
        <v>45749</v>
      </c>
      <c r="AK24" s="74">
        <v>45749</v>
      </c>
      <c r="AL24" s="74">
        <v>45749</v>
      </c>
      <c r="AM24" s="74">
        <v>45749</v>
      </c>
      <c r="AN24" s="74" t="s">
        <v>721</v>
      </c>
      <c r="AO24" t="s">
        <v>727</v>
      </c>
      <c r="AP24" s="78">
        <v>0</v>
      </c>
      <c r="AQ24" s="78">
        <v>0</v>
      </c>
      <c r="AR24" s="78">
        <v>0</v>
      </c>
      <c r="AS24" s="78">
        <v>1</v>
      </c>
      <c r="AT24" s="149">
        <v>103</v>
      </c>
    </row>
    <row r="25" spans="1:46" ht="14.4" x14ac:dyDescent="0.3">
      <c r="A25" s="149" t="s">
        <v>1152</v>
      </c>
      <c r="B25" s="149" t="s">
        <v>1153</v>
      </c>
      <c r="C25" t="s">
        <v>542</v>
      </c>
      <c r="D25" s="78" t="str">
        <f t="shared" si="0"/>
        <v>2025-1</v>
      </c>
      <c r="E25" s="78" t="str">
        <f t="shared" si="1"/>
        <v>Class B</v>
      </c>
      <c r="F25" s="78" t="str">
        <f t="shared" si="2"/>
        <v>2025</v>
      </c>
      <c r="G25" s="128"/>
      <c r="H25" s="78" t="s">
        <v>717</v>
      </c>
      <c r="I25" s="74" t="s">
        <v>725</v>
      </c>
      <c r="J25" s="128"/>
      <c r="K25" s="74" t="s">
        <v>541</v>
      </c>
      <c r="L25" s="74">
        <v>45686</v>
      </c>
      <c r="M25" s="74">
        <v>46850</v>
      </c>
      <c r="N25" s="128"/>
      <c r="O25" s="78" t="s">
        <v>719</v>
      </c>
      <c r="P25" s="206" cm="1">
        <f t="array" ref="P25:Q25">VLOOKUP(K25,[2]ILS!$A:$K,{10,11},0)</f>
        <v>5000000</v>
      </c>
      <c r="Q25" s="206">
        <v>5000000</v>
      </c>
      <c r="R25" s="207">
        <v>250000</v>
      </c>
      <c r="S25" s="128"/>
      <c r="T25" s="208">
        <v>100.2</v>
      </c>
      <c r="U25" s="209">
        <v>0.10612121925354004</v>
      </c>
      <c r="V25" s="78" t="s">
        <v>720</v>
      </c>
      <c r="W25" s="74">
        <v>46481</v>
      </c>
      <c r="X25" s="129"/>
      <c r="Y25" s="129"/>
      <c r="Z25" s="210">
        <f>R25/VLOOKUP(K25,'[2]ETF Portfolio'!$H$19:$N$50,7,0)</f>
        <v>8.3333333333333332E-3</v>
      </c>
      <c r="AA25" s="130">
        <v>6.6099119160409642E-2</v>
      </c>
      <c r="AB25" s="78">
        <v>0</v>
      </c>
      <c r="AC25" s="130">
        <v>0.10523115000000001</v>
      </c>
      <c r="AD25" s="78">
        <v>0</v>
      </c>
      <c r="AE25" s="78">
        <v>0</v>
      </c>
      <c r="AF25" s="78">
        <v>0</v>
      </c>
      <c r="AG25" s="78">
        <v>0</v>
      </c>
      <c r="AH25" s="78">
        <v>0</v>
      </c>
      <c r="AI25" s="74">
        <v>45749</v>
      </c>
      <c r="AJ25" s="74">
        <v>45749</v>
      </c>
      <c r="AK25" s="74">
        <v>45749</v>
      </c>
      <c r="AL25" s="74">
        <v>45749</v>
      </c>
      <c r="AM25" s="74">
        <v>45749</v>
      </c>
      <c r="AN25" s="74" t="s">
        <v>726</v>
      </c>
      <c r="AO25" s="74" t="s">
        <v>727</v>
      </c>
      <c r="AP25" s="78">
        <v>0</v>
      </c>
      <c r="AQ25" s="78">
        <v>0</v>
      </c>
      <c r="AR25" s="78">
        <v>0</v>
      </c>
      <c r="AS25" s="78">
        <v>1</v>
      </c>
      <c r="AT25" s="149">
        <v>104</v>
      </c>
    </row>
    <row r="26" spans="1:46" ht="14.4" x14ac:dyDescent="0.3">
      <c r="A26" s="149" t="s">
        <v>1154</v>
      </c>
      <c r="B26" s="149" t="s">
        <v>1155</v>
      </c>
      <c r="C26" t="s">
        <v>282</v>
      </c>
      <c r="D26" s="78" t="str">
        <f t="shared" si="0"/>
        <v>2023-1</v>
      </c>
      <c r="E26" s="78" t="str">
        <f t="shared" si="1"/>
        <v>Class A</v>
      </c>
      <c r="F26" s="78" t="str">
        <f t="shared" si="2"/>
        <v>2025</v>
      </c>
      <c r="G26"/>
      <c r="H26" s="78" t="s">
        <v>717</v>
      </c>
      <c r="I26" t="s">
        <v>730</v>
      </c>
      <c r="J26"/>
      <c r="K26" t="s">
        <v>281</v>
      </c>
      <c r="L26" s="136">
        <v>45252</v>
      </c>
      <c r="M26" s="136">
        <v>46395</v>
      </c>
      <c r="N26"/>
      <c r="O26" s="78" t="s">
        <v>719</v>
      </c>
      <c r="P26" s="206" cm="1">
        <f t="array" ref="P26:Q26">VLOOKUP(K26,[2]ILS!$A:$K,{10,11},0)</f>
        <v>0</v>
      </c>
      <c r="Q26" s="79">
        <v>600000000</v>
      </c>
      <c r="R26">
        <v>250000</v>
      </c>
      <c r="S26"/>
      <c r="T26">
        <v>102.85</v>
      </c>
      <c r="U26" s="211">
        <v>9.2521219253540038E-2</v>
      </c>
      <c r="V26" s="78" t="s">
        <v>720</v>
      </c>
      <c r="W26" s="74">
        <v>46481</v>
      </c>
      <c r="X26"/>
      <c r="Y26" s="17"/>
      <c r="Z26" s="210">
        <f>R26/VLOOKUP(K26,'[2]ETF Portfolio'!$H$19:$N$50,7,0)</f>
        <v>1.25E-3</v>
      </c>
      <c r="AA26" s="86">
        <v>5.2499146067005197E-2</v>
      </c>
      <c r="AB26" s="78">
        <v>0</v>
      </c>
      <c r="AC26" s="86">
        <v>6.5428009999999995E-2</v>
      </c>
      <c r="AD26" s="78">
        <v>0</v>
      </c>
      <c r="AE26" s="78">
        <v>0</v>
      </c>
      <c r="AF26" s="78">
        <v>0</v>
      </c>
      <c r="AG26" s="78">
        <v>0</v>
      </c>
      <c r="AH26" s="78">
        <v>0</v>
      </c>
      <c r="AI26" s="74">
        <v>45749</v>
      </c>
      <c r="AJ26" s="74">
        <v>45749</v>
      </c>
      <c r="AK26" s="74">
        <v>45749</v>
      </c>
      <c r="AL26" s="74">
        <v>45749</v>
      </c>
      <c r="AM26" s="74">
        <v>45749</v>
      </c>
      <c r="AN26" s="74" t="s">
        <v>721</v>
      </c>
      <c r="AO26" t="s">
        <v>727</v>
      </c>
      <c r="AP26" s="78">
        <v>0</v>
      </c>
      <c r="AQ26" s="78">
        <v>0</v>
      </c>
      <c r="AR26" s="78">
        <v>0</v>
      </c>
      <c r="AS26" s="78">
        <v>1</v>
      </c>
      <c r="AT26" s="149">
        <v>104</v>
      </c>
    </row>
    <row r="27" spans="1:46" ht="14.4" x14ac:dyDescent="0.3">
      <c r="A27" s="149" t="s">
        <v>1156</v>
      </c>
      <c r="B27" s="149" t="s">
        <v>1157</v>
      </c>
      <c r="C27" t="s">
        <v>89</v>
      </c>
      <c r="D27" s="78" t="str">
        <f t="shared" si="0"/>
        <v>2023-1</v>
      </c>
      <c r="E27" s="78" t="str">
        <f t="shared" si="1"/>
        <v>Class A</v>
      </c>
      <c r="F27" s="78" t="str">
        <f t="shared" si="2"/>
        <v>2025</v>
      </c>
      <c r="G27"/>
      <c r="H27" s="78" t="s">
        <v>717</v>
      </c>
      <c r="I27" t="s">
        <v>852</v>
      </c>
      <c r="J27"/>
      <c r="K27" t="s">
        <v>88</v>
      </c>
      <c r="L27" s="136">
        <v>45105</v>
      </c>
      <c r="M27" s="136">
        <v>46575</v>
      </c>
      <c r="N27"/>
      <c r="O27" s="78" t="s">
        <v>719</v>
      </c>
      <c r="P27" s="206" cm="1">
        <f t="array" ref="P27:Q27">VLOOKUP(K27,[2]ILS!$A:$K,{10,11},0)</f>
        <v>0</v>
      </c>
      <c r="Q27" s="79">
        <v>300000000</v>
      </c>
      <c r="R27">
        <v>250000</v>
      </c>
      <c r="S27"/>
      <c r="T27">
        <v>102.2</v>
      </c>
      <c r="U27" s="211">
        <v>9.052121925354005E-2</v>
      </c>
      <c r="V27" s="78" t="s">
        <v>720</v>
      </c>
      <c r="W27" s="74">
        <v>46486</v>
      </c>
      <c r="X27"/>
      <c r="Y27" s="17"/>
      <c r="Z27" s="210">
        <f>R27/VLOOKUP(K27,'[2]ETF Portfolio'!$H$19:$N$50,7,0)</f>
        <v>2.5000000000000001E-3</v>
      </c>
      <c r="AA27" s="86">
        <v>5.0465099531352441E-2</v>
      </c>
      <c r="AB27" s="78">
        <v>0</v>
      </c>
      <c r="AC27" s="86">
        <v>7.7633049999999995E-2</v>
      </c>
      <c r="AD27" s="78">
        <v>0</v>
      </c>
      <c r="AE27" s="78">
        <v>0</v>
      </c>
      <c r="AF27" s="78">
        <v>0</v>
      </c>
      <c r="AG27" s="78">
        <v>0</v>
      </c>
      <c r="AH27" s="78">
        <v>0</v>
      </c>
      <c r="AI27" s="74">
        <v>45749</v>
      </c>
      <c r="AJ27" s="74">
        <v>45749</v>
      </c>
      <c r="AK27" s="74">
        <v>45749</v>
      </c>
      <c r="AL27" s="74">
        <v>45749</v>
      </c>
      <c r="AM27" s="74">
        <v>45749</v>
      </c>
      <c r="AN27" s="74" t="s">
        <v>721</v>
      </c>
      <c r="AO27" t="s">
        <v>727</v>
      </c>
      <c r="AP27" s="78">
        <v>0</v>
      </c>
      <c r="AQ27" s="78">
        <v>0</v>
      </c>
      <c r="AR27" s="78">
        <v>0</v>
      </c>
      <c r="AS27" s="78">
        <v>1</v>
      </c>
      <c r="AT27" s="149">
        <v>104</v>
      </c>
    </row>
    <row r="28" spans="1:46" ht="14.4" x14ac:dyDescent="0.3">
      <c r="A28" s="149" t="s">
        <v>1158</v>
      </c>
      <c r="B28" s="149" t="s">
        <v>1159</v>
      </c>
      <c r="C28" t="s">
        <v>298</v>
      </c>
      <c r="D28" s="78" t="str">
        <f t="shared" si="0"/>
        <v>2024-1</v>
      </c>
      <c r="E28" s="78" t="str">
        <f t="shared" si="1"/>
        <v>Class A</v>
      </c>
      <c r="F28" s="78" t="str">
        <f t="shared" si="2"/>
        <v>2025</v>
      </c>
      <c r="G28"/>
      <c r="H28" s="78" t="s">
        <v>717</v>
      </c>
      <c r="I28" t="s">
        <v>744</v>
      </c>
      <c r="J28"/>
      <c r="K28" t="s">
        <v>297</v>
      </c>
      <c r="L28" s="136">
        <v>45391</v>
      </c>
      <c r="M28" s="136">
        <v>46545</v>
      </c>
      <c r="N28"/>
      <c r="O28" s="78" t="s">
        <v>719</v>
      </c>
      <c r="P28" s="206" cm="1">
        <f t="array" ref="P28:Q28">VLOOKUP(K28,[2]ILS!$A:$K,{10,11},0)</f>
        <v>0</v>
      </c>
      <c r="Q28" s="79">
        <v>300000000</v>
      </c>
      <c r="R28">
        <v>250000</v>
      </c>
      <c r="S28"/>
      <c r="T28">
        <v>102.6</v>
      </c>
      <c r="U28" s="211">
        <v>0.13128121681213378</v>
      </c>
      <c r="V28" s="78" t="s">
        <v>720</v>
      </c>
      <c r="W28" s="74">
        <v>46491</v>
      </c>
      <c r="X28"/>
      <c r="Y28" s="17"/>
      <c r="Z28" s="210">
        <f>R28/VLOOKUP(K28,'[2]ETF Portfolio'!$H$19:$N$50,7,0)</f>
        <v>1.1904761904761906E-3</v>
      </c>
      <c r="AA28" s="86">
        <v>9.1256734286354418E-2</v>
      </c>
      <c r="AB28" s="78">
        <v>0</v>
      </c>
      <c r="AC28" s="86">
        <v>0.11496279</v>
      </c>
      <c r="AD28" s="78">
        <v>0</v>
      </c>
      <c r="AE28" s="78">
        <v>0</v>
      </c>
      <c r="AF28" s="78">
        <v>0</v>
      </c>
      <c r="AG28" s="78">
        <v>0</v>
      </c>
      <c r="AH28" s="78">
        <v>0</v>
      </c>
      <c r="AI28" s="74">
        <v>45749</v>
      </c>
      <c r="AJ28" s="74">
        <v>45749</v>
      </c>
      <c r="AK28" s="74">
        <v>45749</v>
      </c>
      <c r="AL28" s="74">
        <v>45749</v>
      </c>
      <c r="AM28" s="74">
        <v>45749</v>
      </c>
      <c r="AN28" s="74" t="s">
        <v>721</v>
      </c>
      <c r="AO28" t="s">
        <v>727</v>
      </c>
      <c r="AP28" s="78">
        <v>0</v>
      </c>
      <c r="AQ28" s="78">
        <v>0</v>
      </c>
      <c r="AR28" s="78">
        <v>0</v>
      </c>
      <c r="AS28" s="78">
        <v>1</v>
      </c>
      <c r="AT28" s="149">
        <v>104</v>
      </c>
    </row>
    <row r="29" spans="1:46" ht="14.4" x14ac:dyDescent="0.3">
      <c r="A29" s="149" t="s">
        <v>1160</v>
      </c>
      <c r="B29" s="149" t="s">
        <v>1161</v>
      </c>
      <c r="C29" t="s">
        <v>412</v>
      </c>
      <c r="D29" s="78" t="str">
        <f t="shared" si="0"/>
        <v>2024-1</v>
      </c>
      <c r="E29" s="78" t="str">
        <f t="shared" si="1"/>
        <v>Class A</v>
      </c>
      <c r="F29" s="78" t="str">
        <f t="shared" si="2"/>
        <v>2025</v>
      </c>
      <c r="G29"/>
      <c r="H29" s="78" t="s">
        <v>717</v>
      </c>
      <c r="I29" t="s">
        <v>749</v>
      </c>
      <c r="J29"/>
      <c r="K29" t="s">
        <v>411</v>
      </c>
      <c r="L29" s="136">
        <v>45393</v>
      </c>
      <c r="M29" s="136">
        <v>46517</v>
      </c>
      <c r="N29"/>
      <c r="O29" s="78" t="s">
        <v>719</v>
      </c>
      <c r="P29" s="206" cm="1">
        <f t="array" ref="P29:Q29">VLOOKUP(K29,[2]ILS!$A:$K,{10,11},0)</f>
        <v>0</v>
      </c>
      <c r="Q29" s="79">
        <v>125000000</v>
      </c>
      <c r="R29">
        <v>250000</v>
      </c>
      <c r="S29"/>
      <c r="T29">
        <v>102</v>
      </c>
      <c r="U29" s="211">
        <v>0.11634122047424317</v>
      </c>
      <c r="V29" s="78" t="s">
        <v>720</v>
      </c>
      <c r="W29" s="74">
        <v>46507</v>
      </c>
      <c r="X29"/>
      <c r="Y29" s="17"/>
      <c r="Z29" s="210">
        <f>R29/VLOOKUP(K29,'[2]ETF Portfolio'!$H$19:$N$50,7,0)</f>
        <v>2E-3</v>
      </c>
      <c r="AA29" s="86">
        <v>7.6318703394137988E-2</v>
      </c>
      <c r="AB29" s="78">
        <v>0</v>
      </c>
      <c r="AC29" s="86">
        <v>0.10341628999999999</v>
      </c>
      <c r="AD29" s="78">
        <v>0</v>
      </c>
      <c r="AE29" s="78">
        <v>0</v>
      </c>
      <c r="AF29" s="78">
        <v>0</v>
      </c>
      <c r="AG29" s="78">
        <v>0</v>
      </c>
      <c r="AH29" s="78">
        <v>0</v>
      </c>
      <c r="AI29" s="74">
        <v>45749</v>
      </c>
      <c r="AJ29" s="74">
        <v>45749</v>
      </c>
      <c r="AK29" s="74">
        <v>45749</v>
      </c>
      <c r="AL29" s="74">
        <v>45749</v>
      </c>
      <c r="AM29" s="74">
        <v>45749</v>
      </c>
      <c r="AN29" s="74" t="s">
        <v>721</v>
      </c>
      <c r="AO29" t="s">
        <v>727</v>
      </c>
      <c r="AP29" s="78">
        <v>0</v>
      </c>
      <c r="AQ29" s="78">
        <v>0</v>
      </c>
      <c r="AR29" s="78">
        <v>0</v>
      </c>
      <c r="AS29" s="78">
        <v>1</v>
      </c>
      <c r="AT29" s="149">
        <v>104</v>
      </c>
    </row>
    <row r="30" spans="1:46" ht="14.4" x14ac:dyDescent="0.3">
      <c r="A30" s="149" t="s">
        <v>1162</v>
      </c>
      <c r="B30" s="149" t="s">
        <v>1163</v>
      </c>
      <c r="C30" t="s">
        <v>290</v>
      </c>
      <c r="D30" s="78" t="str">
        <f t="shared" si="0"/>
        <v>2023-1</v>
      </c>
      <c r="E30" s="78" t="str">
        <f t="shared" si="1"/>
        <v>Class A</v>
      </c>
      <c r="F30" s="78" t="str">
        <f t="shared" si="2"/>
        <v>2025</v>
      </c>
      <c r="G30"/>
      <c r="H30" s="78" t="s">
        <v>717</v>
      </c>
      <c r="I30" t="s">
        <v>754</v>
      </c>
      <c r="J30"/>
      <c r="K30" t="s">
        <v>289</v>
      </c>
      <c r="L30" s="136">
        <v>45064</v>
      </c>
      <c r="M30" s="136">
        <v>46168</v>
      </c>
      <c r="N30"/>
      <c r="O30" s="78" t="s">
        <v>719</v>
      </c>
      <c r="P30" s="206" cm="1">
        <f t="array" ref="P30:Q30">VLOOKUP(K30,[2]ILS!$A:$K,{10,11},0)</f>
        <v>0</v>
      </c>
      <c r="Q30" s="79">
        <v>250000000</v>
      </c>
      <c r="R30">
        <v>250000</v>
      </c>
      <c r="S30"/>
      <c r="T30">
        <v>104.6</v>
      </c>
      <c r="U30" s="211">
        <v>0.16392121925354006</v>
      </c>
      <c r="V30" s="78" t="s">
        <v>720</v>
      </c>
      <c r="W30" s="74">
        <v>46520</v>
      </c>
      <c r="X30"/>
      <c r="Y30" s="17"/>
      <c r="Z30" s="210">
        <f>R30/VLOOKUP(K30,'[2]ETF Portfolio'!$H$19:$N$50,7,0)</f>
        <v>2.0833333333333333E-3</v>
      </c>
      <c r="AA30" s="86">
        <v>0.123799740975</v>
      </c>
      <c r="AB30" s="78">
        <v>0</v>
      </c>
      <c r="AC30" s="86">
        <v>9.7166349999999999E-2</v>
      </c>
      <c r="AD30" s="78">
        <v>0</v>
      </c>
      <c r="AE30" s="78">
        <v>0</v>
      </c>
      <c r="AF30" s="78">
        <v>0</v>
      </c>
      <c r="AG30" s="78">
        <v>0</v>
      </c>
      <c r="AH30" s="78">
        <v>0</v>
      </c>
      <c r="AI30" s="74">
        <v>45749</v>
      </c>
      <c r="AJ30" s="74">
        <v>45749</v>
      </c>
      <c r="AK30" s="74">
        <v>45749</v>
      </c>
      <c r="AL30" s="74">
        <v>45749</v>
      </c>
      <c r="AM30" s="74">
        <v>45749</v>
      </c>
      <c r="AN30" s="74" t="s">
        <v>721</v>
      </c>
      <c r="AO30" t="s">
        <v>727</v>
      </c>
      <c r="AP30" s="78">
        <v>0</v>
      </c>
      <c r="AQ30" s="78">
        <v>0</v>
      </c>
      <c r="AR30" s="78">
        <v>0</v>
      </c>
      <c r="AS30" s="78">
        <v>1</v>
      </c>
      <c r="AT30" s="149">
        <v>104</v>
      </c>
    </row>
    <row r="31" spans="1:46" ht="14.4" x14ac:dyDescent="0.3">
      <c r="A31" s="149" t="s">
        <v>1164</v>
      </c>
      <c r="B31" s="149" t="s">
        <v>1165</v>
      </c>
      <c r="C31" t="s">
        <v>276</v>
      </c>
      <c r="D31" s="78" t="str">
        <f t="shared" si="0"/>
        <v>2023-1</v>
      </c>
      <c r="E31" s="78" t="str">
        <f t="shared" si="1"/>
        <v>Class B</v>
      </c>
      <c r="F31" s="78" t="str">
        <f t="shared" si="2"/>
        <v>2025</v>
      </c>
      <c r="G31"/>
      <c r="H31" s="78" t="s">
        <v>717</v>
      </c>
      <c r="I31" t="s">
        <v>761</v>
      </c>
      <c r="J31"/>
      <c r="K31" t="s">
        <v>275</v>
      </c>
      <c r="L31" s="136">
        <v>45057</v>
      </c>
      <c r="M31" s="136">
        <v>46180</v>
      </c>
      <c r="N31"/>
      <c r="O31" s="78" t="s">
        <v>719</v>
      </c>
      <c r="P31" s="206" cm="1">
        <f t="array" ref="P31:Q31">VLOOKUP(K31,[2]ILS!$A:$K,{10,11},0)</f>
        <v>0</v>
      </c>
      <c r="Q31" s="79">
        <v>115000000</v>
      </c>
      <c r="R31">
        <v>250000</v>
      </c>
      <c r="S31"/>
      <c r="T31">
        <v>103.85</v>
      </c>
      <c r="U31" s="211">
        <v>0.12712121925354006</v>
      </c>
      <c r="V31" s="78" t="s">
        <v>720</v>
      </c>
      <c r="W31" s="74">
        <v>46638</v>
      </c>
      <c r="X31"/>
      <c r="Y31" s="17"/>
      <c r="Z31" s="210">
        <f>R31/VLOOKUP(K31,'[2]ETF Portfolio'!$H$19:$N$50,7,0)</f>
        <v>2.1739130434782609E-3</v>
      </c>
      <c r="AA31" s="86">
        <v>8.6682056208E-2</v>
      </c>
      <c r="AB31" s="78">
        <v>0</v>
      </c>
      <c r="AC31" s="86">
        <v>7.397630999999999E-2</v>
      </c>
      <c r="AD31" s="78">
        <v>0</v>
      </c>
      <c r="AE31" s="78">
        <v>0</v>
      </c>
      <c r="AF31" s="78">
        <v>0</v>
      </c>
      <c r="AG31" s="78">
        <v>0</v>
      </c>
      <c r="AH31" s="78">
        <v>0</v>
      </c>
      <c r="AI31" s="74">
        <v>45749</v>
      </c>
      <c r="AJ31" s="74">
        <v>45749</v>
      </c>
      <c r="AK31" s="74">
        <v>45749</v>
      </c>
      <c r="AL31" s="74">
        <v>45749</v>
      </c>
      <c r="AM31" s="74">
        <v>45749</v>
      </c>
      <c r="AN31" s="74" t="s">
        <v>721</v>
      </c>
      <c r="AO31" t="s">
        <v>727</v>
      </c>
      <c r="AP31" s="78">
        <v>0</v>
      </c>
      <c r="AQ31" s="78">
        <v>0</v>
      </c>
      <c r="AR31" s="78">
        <v>0</v>
      </c>
      <c r="AS31" s="78">
        <v>1</v>
      </c>
      <c r="AT31" s="149">
        <v>104</v>
      </c>
    </row>
    <row r="32" spans="1:46" ht="14.4" x14ac:dyDescent="0.3">
      <c r="A32" s="149" t="s">
        <v>1166</v>
      </c>
      <c r="B32" s="149" t="s">
        <v>1167</v>
      </c>
      <c r="C32" t="s">
        <v>300</v>
      </c>
      <c r="D32" s="78" t="str">
        <f t="shared" si="0"/>
        <v>2023-2</v>
      </c>
      <c r="E32" s="78" t="str">
        <f t="shared" si="1"/>
        <v>Class A</v>
      </c>
      <c r="F32" s="78" t="str">
        <f t="shared" si="2"/>
        <v>2025</v>
      </c>
      <c r="G32"/>
      <c r="H32" s="78" t="s">
        <v>717</v>
      </c>
      <c r="I32" t="s">
        <v>744</v>
      </c>
      <c r="J32"/>
      <c r="K32" t="s">
        <v>299</v>
      </c>
      <c r="L32" s="136">
        <v>45112</v>
      </c>
      <c r="M32" s="136">
        <v>46178</v>
      </c>
      <c r="N32"/>
      <c r="O32" s="78" t="s">
        <v>719</v>
      </c>
      <c r="P32" s="206" cm="1">
        <f t="array" ref="P32:Q32">VLOOKUP(K32,[2]ILS!$A:$K,{10,11},0)</f>
        <v>0</v>
      </c>
      <c r="Q32" s="79">
        <v>100000000</v>
      </c>
      <c r="R32">
        <v>250000</v>
      </c>
      <c r="S32"/>
      <c r="T32">
        <v>102.9</v>
      </c>
      <c r="U32" s="211">
        <v>0.14582121925354005</v>
      </c>
      <c r="V32" s="78" t="s">
        <v>720</v>
      </c>
      <c r="W32" s="74">
        <v>46638</v>
      </c>
      <c r="X32"/>
      <c r="Y32" s="17"/>
      <c r="Z32" s="210">
        <f>R32/VLOOKUP(K32,'[2]ETF Portfolio'!$H$19:$N$50,7,0)</f>
        <v>2.5000000000000001E-3</v>
      </c>
      <c r="AA32" s="86">
        <v>0.10578202998664167</v>
      </c>
      <c r="AB32" s="78">
        <v>0</v>
      </c>
      <c r="AC32" s="86">
        <v>0.10549349</v>
      </c>
      <c r="AD32" s="78">
        <v>0</v>
      </c>
      <c r="AE32" s="78">
        <v>0</v>
      </c>
      <c r="AF32" s="78">
        <v>0</v>
      </c>
      <c r="AG32" s="78">
        <v>0</v>
      </c>
      <c r="AH32" s="78">
        <v>0</v>
      </c>
      <c r="AI32" s="74">
        <v>45749</v>
      </c>
      <c r="AJ32" s="74">
        <v>45749</v>
      </c>
      <c r="AK32" s="74">
        <v>45749</v>
      </c>
      <c r="AL32" s="74">
        <v>45749</v>
      </c>
      <c r="AM32" s="74">
        <v>45749</v>
      </c>
      <c r="AN32" s="74" t="s">
        <v>721</v>
      </c>
      <c r="AO32" t="s">
        <v>727</v>
      </c>
      <c r="AP32" s="78">
        <v>0</v>
      </c>
      <c r="AQ32" s="78">
        <v>0</v>
      </c>
      <c r="AR32" s="78">
        <v>0</v>
      </c>
      <c r="AS32" s="78">
        <v>1</v>
      </c>
      <c r="AT32" s="149">
        <v>104</v>
      </c>
    </row>
    <row r="33" spans="1:46" ht="14.4" x14ac:dyDescent="0.3">
      <c r="A33" s="149" t="s">
        <v>974</v>
      </c>
      <c r="B33" s="149" t="s">
        <v>975</v>
      </c>
      <c r="C33" t="s">
        <v>89</v>
      </c>
      <c r="D33" s="78" t="str">
        <f t="shared" si="0"/>
        <v>2023-1</v>
      </c>
      <c r="E33" s="78" t="str">
        <f t="shared" si="1"/>
        <v>Class A</v>
      </c>
      <c r="F33" s="78" t="str">
        <f t="shared" si="2"/>
        <v>2025</v>
      </c>
      <c r="G33"/>
      <c r="H33" s="78" t="s">
        <v>717</v>
      </c>
      <c r="I33" t="s">
        <v>852</v>
      </c>
      <c r="J33"/>
      <c r="K33" t="s">
        <v>88</v>
      </c>
      <c r="L33" s="136">
        <v>45105</v>
      </c>
      <c r="M33" s="136">
        <v>46575</v>
      </c>
      <c r="N33"/>
      <c r="O33" s="78" t="s">
        <v>719</v>
      </c>
      <c r="P33" s="206" cm="1">
        <f t="array" ref="P33:Q33">VLOOKUP(K33,[2]ILS!$A:$K,{10,11},0)</f>
        <v>0</v>
      </c>
      <c r="Q33" s="79">
        <v>300000000</v>
      </c>
      <c r="R33">
        <v>500000</v>
      </c>
      <c r="S33"/>
      <c r="T33">
        <v>102.2</v>
      </c>
      <c r="U33" s="211">
        <v>9.052121925354005E-2</v>
      </c>
      <c r="V33" s="78" t="s">
        <v>720</v>
      </c>
      <c r="W33" s="74">
        <v>46486</v>
      </c>
      <c r="X33"/>
      <c r="Y33" s="17"/>
      <c r="Z33" s="210">
        <f>R33/VLOOKUP(K33,'[2]ETF Portfolio'!$H$19:$N$50,7,0)</f>
        <v>5.0000000000000001E-3</v>
      </c>
      <c r="AA33" s="86">
        <v>5.0465099531352441E-2</v>
      </c>
      <c r="AB33" s="78">
        <v>0</v>
      </c>
      <c r="AC33" s="86">
        <v>7.7633049999999995E-2</v>
      </c>
      <c r="AD33" s="78">
        <v>0</v>
      </c>
      <c r="AE33" s="78">
        <v>0</v>
      </c>
      <c r="AF33" s="78">
        <v>0</v>
      </c>
      <c r="AG33" s="78">
        <v>0</v>
      </c>
      <c r="AH33" s="78">
        <v>0</v>
      </c>
      <c r="AI33" s="74">
        <v>45749</v>
      </c>
      <c r="AJ33" s="74">
        <v>45749</v>
      </c>
      <c r="AK33" s="74">
        <v>45749</v>
      </c>
      <c r="AL33" s="74">
        <v>45749</v>
      </c>
      <c r="AM33" s="74">
        <v>45749</v>
      </c>
      <c r="AN33" s="74" t="s">
        <v>721</v>
      </c>
      <c r="AO33" t="s">
        <v>727</v>
      </c>
      <c r="AP33" s="78">
        <v>0</v>
      </c>
      <c r="AQ33" s="78">
        <v>0</v>
      </c>
      <c r="AR33" s="78">
        <v>0</v>
      </c>
      <c r="AS33" s="78">
        <v>1</v>
      </c>
      <c r="AT33" s="149">
        <v>104</v>
      </c>
    </row>
    <row r="34" spans="1:46" ht="14.4" x14ac:dyDescent="0.3">
      <c r="A34" s="149" t="s">
        <v>976</v>
      </c>
      <c r="B34" s="149" t="s">
        <v>977</v>
      </c>
      <c r="C34" t="s">
        <v>412</v>
      </c>
      <c r="D34" s="78" t="str">
        <f t="shared" si="0"/>
        <v>2024-1</v>
      </c>
      <c r="E34" s="78" t="str">
        <f t="shared" si="1"/>
        <v>Class A</v>
      </c>
      <c r="F34" s="78" t="str">
        <f t="shared" si="2"/>
        <v>2025</v>
      </c>
      <c r="G34"/>
      <c r="H34" s="78" t="s">
        <v>717</v>
      </c>
      <c r="I34" t="s">
        <v>749</v>
      </c>
      <c r="J34"/>
      <c r="K34" t="s">
        <v>411</v>
      </c>
      <c r="L34" s="136">
        <v>45393</v>
      </c>
      <c r="M34" s="136">
        <v>46517</v>
      </c>
      <c r="N34"/>
      <c r="O34" s="78" t="s">
        <v>719</v>
      </c>
      <c r="P34" s="206" cm="1">
        <f t="array" ref="P34:Q34">VLOOKUP(K34,[2]ILS!$A:$K,{10,11},0)</f>
        <v>0</v>
      </c>
      <c r="Q34" s="79">
        <v>125000000</v>
      </c>
      <c r="R34">
        <v>500000</v>
      </c>
      <c r="S34"/>
      <c r="T34">
        <v>102</v>
      </c>
      <c r="U34" s="211">
        <v>0.11634122047424317</v>
      </c>
      <c r="V34" s="78" t="s">
        <v>720</v>
      </c>
      <c r="W34" s="74">
        <v>46507</v>
      </c>
      <c r="X34"/>
      <c r="Y34" s="17"/>
      <c r="Z34" s="210">
        <f>R34/VLOOKUP(K34,'[2]ETF Portfolio'!$H$19:$N$50,7,0)</f>
        <v>4.0000000000000001E-3</v>
      </c>
      <c r="AA34" s="86">
        <v>7.6318703394137988E-2</v>
      </c>
      <c r="AB34" s="78">
        <v>0</v>
      </c>
      <c r="AC34" s="86">
        <v>0.10341628999999999</v>
      </c>
      <c r="AD34" s="78">
        <v>0</v>
      </c>
      <c r="AE34" s="78">
        <v>0</v>
      </c>
      <c r="AF34" s="78">
        <v>0</v>
      </c>
      <c r="AG34" s="78">
        <v>0</v>
      </c>
      <c r="AH34" s="78">
        <v>0</v>
      </c>
      <c r="AI34" s="74">
        <v>45749</v>
      </c>
      <c r="AJ34" s="74">
        <v>45749</v>
      </c>
      <c r="AK34" s="74">
        <v>45749</v>
      </c>
      <c r="AL34" s="74">
        <v>45749</v>
      </c>
      <c r="AM34" s="74">
        <v>45749</v>
      </c>
      <c r="AN34" s="74" t="s">
        <v>721</v>
      </c>
      <c r="AO34" t="s">
        <v>727</v>
      </c>
      <c r="AP34" s="78">
        <v>0</v>
      </c>
      <c r="AQ34" s="78">
        <v>0</v>
      </c>
      <c r="AR34" s="78">
        <v>0</v>
      </c>
      <c r="AS34" s="78">
        <v>1</v>
      </c>
      <c r="AT34" s="149">
        <v>104</v>
      </c>
    </row>
    <row r="35" spans="1:46" ht="14.4" x14ac:dyDescent="0.3">
      <c r="A35" s="149" t="s">
        <v>1170</v>
      </c>
      <c r="B35" s="149" t="s">
        <v>1171</v>
      </c>
      <c r="C35" s="213" t="s">
        <v>290</v>
      </c>
      <c r="D35" s="78" t="str">
        <f t="shared" si="0"/>
        <v>2023-1</v>
      </c>
      <c r="E35" s="78" t="str">
        <f t="shared" si="1"/>
        <v>Class A</v>
      </c>
      <c r="F35" s="78" t="str">
        <f t="shared" si="2"/>
        <v>2025</v>
      </c>
      <c r="G35"/>
      <c r="H35" s="78" t="s">
        <v>717</v>
      </c>
      <c r="I35" t="s">
        <v>754</v>
      </c>
      <c r="J35"/>
      <c r="K35" t="s">
        <v>289</v>
      </c>
      <c r="L35" s="213">
        <v>45064</v>
      </c>
      <c r="M35" s="213">
        <v>46079</v>
      </c>
      <c r="N35"/>
      <c r="O35" s="78" t="s">
        <v>719</v>
      </c>
      <c r="P35" s="206" cm="1">
        <f t="array" ref="P35:Q35">VLOOKUP(K35,[2]ILS!$A:$K,{10,11},0)</f>
        <v>0</v>
      </c>
      <c r="Q35" s="79">
        <v>250000000</v>
      </c>
      <c r="R35">
        <v>250000</v>
      </c>
      <c r="S35"/>
      <c r="T35">
        <v>104.6</v>
      </c>
      <c r="U35" s="81">
        <v>0.16392121925354006</v>
      </c>
      <c r="V35" s="78" t="s">
        <v>720</v>
      </c>
      <c r="W35" s="213">
        <v>46520</v>
      </c>
      <c r="X35"/>
      <c r="Y35" s="17"/>
      <c r="Z35" s="210">
        <v>2.0833333333333333E-3</v>
      </c>
      <c r="AA35" s="214">
        <v>0.123799740975</v>
      </c>
      <c r="AB35" s="78">
        <v>0</v>
      </c>
      <c r="AC35" s="86">
        <v>9.7166349999999999E-2</v>
      </c>
      <c r="AD35" s="78">
        <v>0</v>
      </c>
      <c r="AE35" s="78">
        <v>0</v>
      </c>
      <c r="AF35" s="78">
        <v>0</v>
      </c>
      <c r="AG35" s="78">
        <v>0</v>
      </c>
      <c r="AH35" s="78">
        <v>0</v>
      </c>
      <c r="AI35" s="74">
        <v>45749</v>
      </c>
      <c r="AJ35" s="74">
        <v>45749</v>
      </c>
      <c r="AK35" s="74">
        <v>45749</v>
      </c>
      <c r="AL35" s="74">
        <v>45749</v>
      </c>
      <c r="AM35" s="74">
        <v>45749</v>
      </c>
      <c r="AN35" s="213" t="s">
        <v>721</v>
      </c>
      <c r="AO35" s="213" t="s">
        <v>727</v>
      </c>
      <c r="AP35" s="78">
        <v>0</v>
      </c>
      <c r="AQ35" s="78">
        <v>0</v>
      </c>
      <c r="AR35" s="78">
        <v>0</v>
      </c>
      <c r="AS35" s="78">
        <v>1</v>
      </c>
      <c r="AT35" s="149">
        <v>104</v>
      </c>
    </row>
    <row r="36" spans="1:46" ht="14.4" x14ac:dyDescent="0.3">
      <c r="A36" s="149" t="s">
        <v>1172</v>
      </c>
      <c r="B36" s="149" t="s">
        <v>1173</v>
      </c>
      <c r="C36" s="168" t="s">
        <v>121</v>
      </c>
      <c r="D36" s="78" t="str">
        <f t="shared" si="0"/>
        <v>2025-1</v>
      </c>
      <c r="E36" s="78" t="str">
        <f t="shared" si="1"/>
        <v>Class A</v>
      </c>
      <c r="F36" s="78" t="str">
        <f t="shared" si="2"/>
        <v/>
      </c>
      <c r="G36"/>
      <c r="H36" s="78" t="s">
        <v>717</v>
      </c>
      <c r="I36" t="s">
        <v>1178</v>
      </c>
      <c r="J36"/>
      <c r="K36" t="s">
        <v>120</v>
      </c>
      <c r="L36" s="74">
        <v>45839</v>
      </c>
      <c r="M36" s="74">
        <v>46934</v>
      </c>
      <c r="N36"/>
      <c r="O36" s="78" t="s">
        <v>719</v>
      </c>
      <c r="P36" s="206" cm="1">
        <f t="array" ref="P36:Q36">VLOOKUP(K36,[2]ILS!$A:$K,{10,11},0)</f>
        <v>0</v>
      </c>
      <c r="Q36" s="79">
        <v>400000000</v>
      </c>
      <c r="R36">
        <v>250000</v>
      </c>
      <c r="S36"/>
      <c r="T36">
        <v>107.38</v>
      </c>
      <c r="U36" s="81">
        <v>0.14330316781997701</v>
      </c>
      <c r="V36" s="78" t="s">
        <v>720</v>
      </c>
      <c r="W36" s="74">
        <v>46223</v>
      </c>
      <c r="X36"/>
      <c r="Y36" s="17"/>
      <c r="Z36" s="210">
        <v>3.1250000000000002E-3</v>
      </c>
      <c r="AA36" s="214">
        <v>7.3599999999999999E-2</v>
      </c>
      <c r="AB36" s="78">
        <v>0</v>
      </c>
      <c r="AC36" s="86">
        <v>9.3303167819977009E-2</v>
      </c>
      <c r="AD36" s="78">
        <v>0</v>
      </c>
      <c r="AE36" s="78">
        <v>0</v>
      </c>
      <c r="AF36" s="78">
        <v>0</v>
      </c>
      <c r="AG36" s="78">
        <v>0</v>
      </c>
      <c r="AH36" s="78">
        <v>0</v>
      </c>
      <c r="AI36" s="74">
        <v>45749</v>
      </c>
      <c r="AJ36" s="74">
        <v>45749</v>
      </c>
      <c r="AK36" s="74">
        <v>45749</v>
      </c>
      <c r="AL36" s="74">
        <v>45749</v>
      </c>
      <c r="AM36" s="74">
        <v>45749</v>
      </c>
      <c r="AN36" s="168" t="s">
        <v>721</v>
      </c>
      <c r="AO36" s="168" t="s">
        <v>1179</v>
      </c>
      <c r="AP36" s="78">
        <v>0</v>
      </c>
      <c r="AQ36" s="78">
        <v>0</v>
      </c>
      <c r="AR36" s="78">
        <v>0</v>
      </c>
      <c r="AS36" s="78">
        <v>1</v>
      </c>
      <c r="AT36" s="149">
        <v>104</v>
      </c>
    </row>
    <row r="37" spans="1:46" ht="14.4" x14ac:dyDescent="0.3">
      <c r="A37" s="149" t="s">
        <v>1174</v>
      </c>
      <c r="B37" s="149" t="s">
        <v>1175</v>
      </c>
      <c r="C37" s="168" t="s">
        <v>246</v>
      </c>
      <c r="D37" s="78" t="str">
        <f t="shared" si="0"/>
        <v>2024-1</v>
      </c>
      <c r="E37" s="78" t="str">
        <f t="shared" si="1"/>
        <v>Class B</v>
      </c>
      <c r="F37" s="78" t="str">
        <f t="shared" si="2"/>
        <v>2025</v>
      </c>
      <c r="G37"/>
      <c r="H37" s="78" t="s">
        <v>717</v>
      </c>
      <c r="I37" t="s">
        <v>1180</v>
      </c>
      <c r="J37"/>
      <c r="K37" t="s">
        <v>245</v>
      </c>
      <c r="L37" s="74">
        <v>45474</v>
      </c>
      <c r="M37" s="74">
        <v>46568</v>
      </c>
      <c r="N37"/>
      <c r="O37" s="78" t="s">
        <v>719</v>
      </c>
      <c r="P37" s="206" cm="1">
        <f t="array" ref="P37:Q37">VLOOKUP(K37,[2]ILS!$A:$K,{10,11},0)</f>
        <v>0</v>
      </c>
      <c r="Q37" s="79">
        <v>80000000</v>
      </c>
      <c r="R37">
        <v>250000</v>
      </c>
      <c r="S37"/>
      <c r="T37">
        <v>111.2</v>
      </c>
      <c r="U37" s="81">
        <v>0.21840000000000001</v>
      </c>
      <c r="V37" s="78" t="s">
        <v>720</v>
      </c>
      <c r="W37" s="74">
        <v>46223</v>
      </c>
      <c r="X37"/>
      <c r="Y37" s="17"/>
      <c r="Z37" s="210">
        <v>4.1666666666666666E-3</v>
      </c>
      <c r="AA37" s="214">
        <v>9.35E-2</v>
      </c>
      <c r="AB37" s="78">
        <v>0</v>
      </c>
      <c r="AC37" s="86">
        <v>0.16839999999999999</v>
      </c>
      <c r="AD37" s="78">
        <v>0</v>
      </c>
      <c r="AE37" s="78">
        <v>0</v>
      </c>
      <c r="AF37" s="78">
        <v>0</v>
      </c>
      <c r="AG37" s="78">
        <v>0</v>
      </c>
      <c r="AH37" s="78">
        <v>0</v>
      </c>
      <c r="AI37" s="74">
        <v>45749</v>
      </c>
      <c r="AJ37" s="74">
        <v>45749</v>
      </c>
      <c r="AK37" s="74">
        <v>45749</v>
      </c>
      <c r="AL37" s="74">
        <v>45749</v>
      </c>
      <c r="AM37" s="74">
        <v>45749</v>
      </c>
      <c r="AN37" s="168" t="s">
        <v>1181</v>
      </c>
      <c r="AO37" s="168" t="s">
        <v>1179</v>
      </c>
      <c r="AP37" s="78">
        <v>0</v>
      </c>
      <c r="AQ37" s="78">
        <v>0</v>
      </c>
      <c r="AR37" s="78">
        <v>0</v>
      </c>
      <c r="AS37" s="78">
        <v>1</v>
      </c>
      <c r="AT37" s="149">
        <v>104</v>
      </c>
    </row>
    <row r="38" spans="1:46" ht="14.4" x14ac:dyDescent="0.3">
      <c r="A38" s="149" t="s">
        <v>1182</v>
      </c>
      <c r="B38" s="149" t="s">
        <v>1183</v>
      </c>
      <c r="C38" s="168" t="s">
        <v>292</v>
      </c>
      <c r="D38" s="78" t="str">
        <f t="shared" si="0"/>
        <v>2023-1</v>
      </c>
      <c r="E38" s="78" t="str">
        <f t="shared" si="1"/>
        <v>Class B</v>
      </c>
      <c r="F38" s="78" t="str">
        <f t="shared" si="2"/>
        <v>2025</v>
      </c>
      <c r="G38"/>
      <c r="H38" s="78" t="s">
        <v>717</v>
      </c>
      <c r="I38" t="s">
        <v>754</v>
      </c>
      <c r="J38"/>
      <c r="K38" t="s">
        <v>291</v>
      </c>
      <c r="L38" s="74">
        <v>45065</v>
      </c>
      <c r="M38" s="74">
        <v>46160</v>
      </c>
      <c r="N38"/>
      <c r="O38" s="78" t="s">
        <v>719</v>
      </c>
      <c r="P38" s="206" cm="1">
        <f t="array" ref="P38:Q38">VLOOKUP(K38,[2]ILS!$A:$K,{10,11},0)</f>
        <v>0</v>
      </c>
      <c r="Q38" s="79">
        <v>310000000</v>
      </c>
      <c r="R38">
        <v>250000</v>
      </c>
      <c r="S38"/>
      <c r="T38">
        <v>110.85</v>
      </c>
      <c r="U38" s="81">
        <v>0.22904000244140599</v>
      </c>
      <c r="V38" s="78" t="s">
        <v>720</v>
      </c>
      <c r="W38" s="74">
        <v>46223</v>
      </c>
      <c r="X38"/>
      <c r="Y38" s="17"/>
      <c r="Z38" s="210">
        <v>3.3333333333333335E-3</v>
      </c>
      <c r="AA38" s="214">
        <v>8.8000000000000005E-3</v>
      </c>
      <c r="AB38" s="78">
        <v>0</v>
      </c>
      <c r="AC38" s="86">
        <v>0.179040002441406</v>
      </c>
      <c r="AD38" s="78">
        <v>0</v>
      </c>
      <c r="AE38" s="78">
        <v>0</v>
      </c>
      <c r="AF38" s="78">
        <v>0</v>
      </c>
      <c r="AG38" s="78">
        <v>0</v>
      </c>
      <c r="AH38" s="78">
        <v>0</v>
      </c>
      <c r="AI38" s="74">
        <v>45749</v>
      </c>
      <c r="AJ38" s="74">
        <v>45749</v>
      </c>
      <c r="AK38" s="74">
        <v>45749</v>
      </c>
      <c r="AL38" s="74">
        <v>45749</v>
      </c>
      <c r="AM38" s="74">
        <v>45749</v>
      </c>
      <c r="AN38" s="168" t="s">
        <v>721</v>
      </c>
      <c r="AO38" s="168" t="s">
        <v>1179</v>
      </c>
      <c r="AP38" s="78">
        <v>0</v>
      </c>
      <c r="AQ38" s="78">
        <v>0</v>
      </c>
      <c r="AR38" s="78">
        <v>0</v>
      </c>
      <c r="AS38" s="78">
        <v>1</v>
      </c>
      <c r="AT38" s="149">
        <v>104</v>
      </c>
    </row>
    <row r="39" spans="1:46" ht="14.4" x14ac:dyDescent="0.3">
      <c r="A39" s="149" t="s">
        <v>1184</v>
      </c>
      <c r="B39" s="149" t="s">
        <v>1185</v>
      </c>
      <c r="C39" s="168" t="s">
        <v>370</v>
      </c>
      <c r="D39" s="78" t="str">
        <f t="shared" si="0"/>
        <v>2024-1</v>
      </c>
      <c r="E39" s="78" t="str">
        <f t="shared" si="1"/>
        <v>Class A</v>
      </c>
      <c r="F39" s="78" t="str">
        <f t="shared" si="2"/>
        <v>2025</v>
      </c>
      <c r="G39"/>
      <c r="H39" s="78" t="s">
        <v>717</v>
      </c>
      <c r="I39" t="s">
        <v>754</v>
      </c>
      <c r="J39"/>
      <c r="K39" t="s">
        <v>369</v>
      </c>
      <c r="L39" s="74">
        <v>45408</v>
      </c>
      <c r="M39" s="74">
        <v>46502</v>
      </c>
      <c r="N39"/>
      <c r="O39" s="78" t="s">
        <v>719</v>
      </c>
      <c r="P39" s="206" cm="1">
        <f t="array" ref="P39:Q39">VLOOKUP(K39,[2]ILS!$A:$K,{10,11},0)</f>
        <v>0</v>
      </c>
      <c r="Q39" s="79">
        <v>445000000</v>
      </c>
      <c r="R39">
        <v>250000</v>
      </c>
      <c r="S39"/>
      <c r="T39">
        <v>107.01</v>
      </c>
      <c r="U39" s="81">
        <v>0.12172000122070301</v>
      </c>
      <c r="V39" s="78" t="s">
        <v>720</v>
      </c>
      <c r="W39" s="74">
        <v>46223</v>
      </c>
      <c r="X39"/>
      <c r="Y39" s="17"/>
      <c r="Z39" s="210">
        <v>1.25E-3</v>
      </c>
      <c r="AA39" s="214">
        <v>3.0599999999999999E-2</v>
      </c>
      <c r="AB39" s="78">
        <v>0</v>
      </c>
      <c r="AC39" s="86">
        <v>7.1720001220703003E-2</v>
      </c>
      <c r="AD39" s="78">
        <v>0</v>
      </c>
      <c r="AE39" s="78">
        <v>0</v>
      </c>
      <c r="AF39" s="78">
        <v>0</v>
      </c>
      <c r="AG39" s="78">
        <v>0</v>
      </c>
      <c r="AH39" s="78">
        <v>0</v>
      </c>
      <c r="AI39" s="74">
        <v>45749</v>
      </c>
      <c r="AJ39" s="74">
        <v>45749</v>
      </c>
      <c r="AK39" s="74">
        <v>45749</v>
      </c>
      <c r="AL39" s="74">
        <v>45749</v>
      </c>
      <c r="AM39" s="74">
        <v>45749</v>
      </c>
      <c r="AN39" s="168" t="s">
        <v>721</v>
      </c>
      <c r="AO39" s="168" t="s">
        <v>1179</v>
      </c>
      <c r="AP39" s="78">
        <v>0</v>
      </c>
      <c r="AQ39" s="78">
        <v>0</v>
      </c>
      <c r="AR39" s="78">
        <v>0</v>
      </c>
      <c r="AS39" s="78">
        <v>1</v>
      </c>
      <c r="AT39" s="149">
        <v>104</v>
      </c>
    </row>
    <row r="40" spans="1:46" ht="14.4" x14ac:dyDescent="0.3">
      <c r="A40" s="149" t="s">
        <v>1186</v>
      </c>
      <c r="B40" s="149" t="s">
        <v>1187</v>
      </c>
      <c r="C40" s="168" t="s">
        <v>372</v>
      </c>
      <c r="D40" s="78" t="str">
        <f t="shared" si="0"/>
        <v>2024-1</v>
      </c>
      <c r="E40" s="78" t="str">
        <f t="shared" si="1"/>
        <v>Class B</v>
      </c>
      <c r="F40" s="78" t="str">
        <f t="shared" si="2"/>
        <v>2025</v>
      </c>
      <c r="G40"/>
      <c r="H40" s="78" t="s">
        <v>717</v>
      </c>
      <c r="I40" t="s">
        <v>754</v>
      </c>
      <c r="J40"/>
      <c r="K40" t="s">
        <v>371</v>
      </c>
      <c r="L40" s="74">
        <v>45408</v>
      </c>
      <c r="M40" s="74">
        <v>46502</v>
      </c>
      <c r="N40"/>
      <c r="O40" s="78" t="s">
        <v>719</v>
      </c>
      <c r="P40" s="206" cm="1">
        <f t="array" ref="P40:Q40">VLOOKUP(K40,[2]ILS!$A:$K,{10,11},0)</f>
        <v>0</v>
      </c>
      <c r="Q40" s="79">
        <v>310000000</v>
      </c>
      <c r="R40">
        <v>250000</v>
      </c>
      <c r="S40"/>
      <c r="T40">
        <v>112.83</v>
      </c>
      <c r="U40" s="81">
        <v>0.22339999999999999</v>
      </c>
      <c r="V40" s="78" t="s">
        <v>720</v>
      </c>
      <c r="W40" s="74">
        <v>46223</v>
      </c>
      <c r="X40"/>
      <c r="Y40" s="17"/>
      <c r="Z40" s="210">
        <v>3.3333333333333335E-3</v>
      </c>
      <c r="AA40" s="214">
        <v>8.5500000000000007E-2</v>
      </c>
      <c r="AB40" s="78">
        <v>0</v>
      </c>
      <c r="AC40" s="86">
        <v>0.1734</v>
      </c>
      <c r="AD40" s="78">
        <v>0</v>
      </c>
      <c r="AE40" s="78">
        <v>0</v>
      </c>
      <c r="AF40" s="78">
        <v>0</v>
      </c>
      <c r="AG40" s="78">
        <v>0</v>
      </c>
      <c r="AH40" s="78">
        <v>0</v>
      </c>
      <c r="AI40" s="74">
        <v>45749</v>
      </c>
      <c r="AJ40" s="74">
        <v>45749</v>
      </c>
      <c r="AK40" s="74">
        <v>45749</v>
      </c>
      <c r="AL40" s="74">
        <v>45749</v>
      </c>
      <c r="AM40" s="74">
        <v>45749</v>
      </c>
      <c r="AN40" s="168" t="s">
        <v>721</v>
      </c>
      <c r="AO40" s="168" t="s">
        <v>1179</v>
      </c>
      <c r="AP40" s="78">
        <v>0</v>
      </c>
      <c r="AQ40" s="78">
        <v>0</v>
      </c>
      <c r="AR40" s="78">
        <v>0</v>
      </c>
      <c r="AS40" s="78">
        <v>1</v>
      </c>
      <c r="AT40" s="149">
        <v>104</v>
      </c>
    </row>
    <row r="41" spans="1:46" ht="14.4" x14ac:dyDescent="0.3">
      <c r="A41" s="149" t="s">
        <v>1188</v>
      </c>
      <c r="B41" s="149" t="s">
        <v>1189</v>
      </c>
      <c r="C41" s="168" t="s">
        <v>374</v>
      </c>
      <c r="D41" s="78" t="str">
        <f t="shared" si="0"/>
        <v>2025-1</v>
      </c>
      <c r="E41" s="78" t="str">
        <f t="shared" si="1"/>
        <v>Class A</v>
      </c>
      <c r="F41" s="78" t="str">
        <f t="shared" si="2"/>
        <v/>
      </c>
      <c r="G41"/>
      <c r="H41" s="78" t="s">
        <v>717</v>
      </c>
      <c r="I41" t="s">
        <v>754</v>
      </c>
      <c r="J41"/>
      <c r="K41" t="s">
        <v>373</v>
      </c>
      <c r="L41" s="74">
        <v>45778</v>
      </c>
      <c r="M41" s="74">
        <v>46873</v>
      </c>
      <c r="N41"/>
      <c r="O41" s="78" t="s">
        <v>719</v>
      </c>
      <c r="P41" s="206" cm="1">
        <f t="array" ref="P41:Q41">VLOOKUP(K41,[2]ILS!$A:$K,{10,11},0)</f>
        <v>0</v>
      </c>
      <c r="Q41" s="79">
        <v>280000000</v>
      </c>
      <c r="R41">
        <v>250000</v>
      </c>
      <c r="S41"/>
      <c r="T41">
        <v>101.15</v>
      </c>
      <c r="U41" s="81">
        <v>0.1084</v>
      </c>
      <c r="V41" s="78" t="s">
        <v>720</v>
      </c>
      <c r="W41" s="74">
        <v>46223</v>
      </c>
      <c r="X41"/>
      <c r="Y41" s="17"/>
      <c r="Z41" s="210">
        <v>8.9285714285714283E-4</v>
      </c>
      <c r="AA41" s="214">
        <v>6.4899999999999999E-2</v>
      </c>
      <c r="AB41" s="78">
        <v>0</v>
      </c>
      <c r="AC41" s="86">
        <v>5.8399999999999994E-2</v>
      </c>
      <c r="AD41" s="78">
        <v>0</v>
      </c>
      <c r="AE41" s="78">
        <v>0</v>
      </c>
      <c r="AF41" s="78">
        <v>0</v>
      </c>
      <c r="AG41" s="78">
        <v>0</v>
      </c>
      <c r="AH41" s="78">
        <v>0</v>
      </c>
      <c r="AI41" s="74">
        <v>45749</v>
      </c>
      <c r="AJ41" s="74">
        <v>45749</v>
      </c>
      <c r="AK41" s="74">
        <v>45749</v>
      </c>
      <c r="AL41" s="74">
        <v>45749</v>
      </c>
      <c r="AM41" s="74">
        <v>45749</v>
      </c>
      <c r="AN41" s="168" t="s">
        <v>721</v>
      </c>
      <c r="AO41" s="168" t="s">
        <v>1179</v>
      </c>
      <c r="AP41" s="78">
        <v>0</v>
      </c>
      <c r="AQ41" s="78">
        <v>0</v>
      </c>
      <c r="AR41" s="78">
        <v>0</v>
      </c>
      <c r="AS41" s="78">
        <v>1</v>
      </c>
      <c r="AT41" s="149">
        <v>104</v>
      </c>
    </row>
    <row r="42" spans="1:46" ht="14.4" x14ac:dyDescent="0.3">
      <c r="A42" s="149" t="s">
        <v>1190</v>
      </c>
      <c r="B42" s="149" t="s">
        <v>1191</v>
      </c>
      <c r="C42" s="168" t="s">
        <v>416</v>
      </c>
      <c r="D42" s="78" t="str">
        <f t="shared" si="0"/>
        <v>2023-1</v>
      </c>
      <c r="E42" s="78" t="str">
        <f t="shared" si="1"/>
        <v>Class A</v>
      </c>
      <c r="F42" s="78" t="str">
        <f t="shared" si="2"/>
        <v>2025</v>
      </c>
      <c r="G42"/>
      <c r="H42" s="78" t="s">
        <v>717</v>
      </c>
      <c r="I42" t="s">
        <v>1178</v>
      </c>
      <c r="J42"/>
      <c r="K42" t="s">
        <v>415</v>
      </c>
      <c r="L42" s="74">
        <v>44975</v>
      </c>
      <c r="M42" s="74">
        <v>46070</v>
      </c>
      <c r="N42"/>
      <c r="O42" s="78" t="s">
        <v>719</v>
      </c>
      <c r="P42" s="206" cm="1">
        <f t="array" ref="P42:Q42">VLOOKUP(K42,[2]ILS!$A:$K,{10,11},0)</f>
        <v>0</v>
      </c>
      <c r="Q42" s="79">
        <v>400000000</v>
      </c>
      <c r="R42">
        <v>250000</v>
      </c>
      <c r="S42"/>
      <c r="T42">
        <v>104.45</v>
      </c>
      <c r="U42" s="81">
        <v>0.17772899332046499</v>
      </c>
      <c r="V42" s="78" t="s">
        <v>720</v>
      </c>
      <c r="W42" s="74">
        <v>46223</v>
      </c>
      <c r="X42"/>
      <c r="Y42" s="17"/>
      <c r="Z42" s="210">
        <v>8.3333333333333339E-4</v>
      </c>
      <c r="AA42" s="214">
        <v>5.5999999999999999E-3</v>
      </c>
      <c r="AB42" s="78">
        <v>0</v>
      </c>
      <c r="AC42" s="86">
        <v>0.127728993320465</v>
      </c>
      <c r="AD42" s="78">
        <v>0</v>
      </c>
      <c r="AE42" s="78">
        <v>0</v>
      </c>
      <c r="AF42" s="78">
        <v>0</v>
      </c>
      <c r="AG42" s="78">
        <v>0</v>
      </c>
      <c r="AH42" s="78">
        <v>0</v>
      </c>
      <c r="AI42" s="74">
        <v>45749</v>
      </c>
      <c r="AJ42" s="74">
        <v>45749</v>
      </c>
      <c r="AK42" s="74">
        <v>45749</v>
      </c>
      <c r="AL42" s="74">
        <v>45749</v>
      </c>
      <c r="AM42" s="74">
        <v>45749</v>
      </c>
      <c r="AN42" s="168" t="s">
        <v>721</v>
      </c>
      <c r="AO42" s="168" t="s">
        <v>1179</v>
      </c>
      <c r="AP42" s="78">
        <v>0</v>
      </c>
      <c r="AQ42" s="78">
        <v>0</v>
      </c>
      <c r="AR42" s="78">
        <v>0</v>
      </c>
      <c r="AS42" s="78">
        <v>1</v>
      </c>
      <c r="AT42" s="149">
        <v>104</v>
      </c>
    </row>
    <row r="43" spans="1:46" ht="14.4" x14ac:dyDescent="0.3">
      <c r="A43" s="149" t="s">
        <v>1192</v>
      </c>
      <c r="B43" s="149" t="s">
        <v>1193</v>
      </c>
      <c r="C43" s="168" t="s">
        <v>418</v>
      </c>
      <c r="D43" s="78" t="str">
        <f t="shared" si="0"/>
        <v>2023-1</v>
      </c>
      <c r="E43" s="78" t="str">
        <f t="shared" si="1"/>
        <v>Class B</v>
      </c>
      <c r="F43" s="78" t="str">
        <f t="shared" si="2"/>
        <v>2025</v>
      </c>
      <c r="G43"/>
      <c r="H43" s="78" t="s">
        <v>717</v>
      </c>
      <c r="I43" t="s">
        <v>1178</v>
      </c>
      <c r="J43"/>
      <c r="K43" t="s">
        <v>417</v>
      </c>
      <c r="L43" s="74">
        <v>44975</v>
      </c>
      <c r="M43" s="74">
        <v>46070</v>
      </c>
      <c r="N43"/>
      <c r="O43" s="78" t="s">
        <v>719</v>
      </c>
      <c r="P43" s="206" cm="1">
        <f t="array" ref="P43:Q43">VLOOKUP(K43,[2]ILS!$A:$K,{10,11},0)</f>
        <v>0</v>
      </c>
      <c r="Q43" s="79">
        <v>135000000</v>
      </c>
      <c r="R43">
        <v>250000</v>
      </c>
      <c r="S43"/>
      <c r="T43">
        <v>106.74</v>
      </c>
      <c r="U43" s="81">
        <v>0.2485</v>
      </c>
      <c r="V43" s="78" t="s">
        <v>720</v>
      </c>
      <c r="W43" s="74">
        <v>46223</v>
      </c>
      <c r="X43"/>
      <c r="Y43" s="17"/>
      <c r="Z43" s="210">
        <v>4.5454545454545452E-3</v>
      </c>
      <c r="AA43" s="214">
        <v>5.7999999999999996E-3</v>
      </c>
      <c r="AB43" s="78">
        <v>0</v>
      </c>
      <c r="AC43" s="86">
        <v>0.19850000000000001</v>
      </c>
      <c r="AD43" s="78">
        <v>0</v>
      </c>
      <c r="AE43" s="78">
        <v>0</v>
      </c>
      <c r="AF43" s="78">
        <v>0</v>
      </c>
      <c r="AG43" s="78">
        <v>0</v>
      </c>
      <c r="AH43" s="78">
        <v>0</v>
      </c>
      <c r="AI43" s="74">
        <v>45749</v>
      </c>
      <c r="AJ43" s="74">
        <v>45749</v>
      </c>
      <c r="AK43" s="74">
        <v>45749</v>
      </c>
      <c r="AL43" s="74">
        <v>45749</v>
      </c>
      <c r="AM43" s="74">
        <v>45749</v>
      </c>
      <c r="AN43" s="168" t="s">
        <v>721</v>
      </c>
      <c r="AO43" s="168" t="s">
        <v>1179</v>
      </c>
      <c r="AP43" s="78">
        <v>0</v>
      </c>
      <c r="AQ43" s="78">
        <v>0</v>
      </c>
      <c r="AR43" s="78">
        <v>0</v>
      </c>
      <c r="AS43" s="78">
        <v>1</v>
      </c>
      <c r="AT43" s="149">
        <v>104</v>
      </c>
    </row>
    <row r="44" spans="1:46" ht="14.4" x14ac:dyDescent="0.3">
      <c r="A44" s="149" t="s">
        <v>1152</v>
      </c>
      <c r="B44" s="149" t="s">
        <v>1153</v>
      </c>
      <c r="C44" t="s">
        <v>542</v>
      </c>
      <c r="D44" s="78" t="str">
        <f t="shared" si="0"/>
        <v>2025-1</v>
      </c>
      <c r="E44" s="78" t="str">
        <f t="shared" si="1"/>
        <v>Class B</v>
      </c>
      <c r="F44" s="78" t="str">
        <f t="shared" si="2"/>
        <v>2025</v>
      </c>
      <c r="G44" s="128"/>
      <c r="H44" s="78" t="s">
        <v>717</v>
      </c>
      <c r="I44" s="74" t="s">
        <v>725</v>
      </c>
      <c r="J44" s="128"/>
      <c r="K44" s="74" t="s">
        <v>541</v>
      </c>
      <c r="L44" s="74">
        <v>45686</v>
      </c>
      <c r="M44" s="74">
        <v>46850</v>
      </c>
      <c r="N44" s="128"/>
      <c r="O44" s="78" t="s">
        <v>719</v>
      </c>
      <c r="P44" s="206" cm="1">
        <f t="array" ref="P44:Q44">VLOOKUP(K44,[2]ILS!$A:$K,{10,11},0)</f>
        <v>5000000</v>
      </c>
      <c r="Q44" s="206">
        <v>5000000</v>
      </c>
      <c r="R44" s="207">
        <v>250000</v>
      </c>
      <c r="S44" s="128"/>
      <c r="T44" s="208">
        <v>100.2</v>
      </c>
      <c r="U44" s="209">
        <v>0.10612121925354004</v>
      </c>
      <c r="V44" s="78" t="s">
        <v>720</v>
      </c>
      <c r="W44" s="74">
        <v>46481</v>
      </c>
      <c r="X44" s="129"/>
      <c r="Y44" s="129"/>
      <c r="Z44" s="210">
        <f>R44/VLOOKUP(K44,'[2]ETF Portfolio'!$H$19:$N$50,7,0)</f>
        <v>8.3333333333333332E-3</v>
      </c>
      <c r="AA44" s="130">
        <v>6.6099119160409642E-2</v>
      </c>
      <c r="AB44" s="78">
        <v>0</v>
      </c>
      <c r="AC44" s="130">
        <v>0.10523115000000001</v>
      </c>
      <c r="AD44" s="78">
        <v>0</v>
      </c>
      <c r="AE44" s="78">
        <v>0</v>
      </c>
      <c r="AF44" s="78">
        <v>0</v>
      </c>
      <c r="AG44" s="78">
        <v>0</v>
      </c>
      <c r="AH44" s="78">
        <v>0</v>
      </c>
      <c r="AI44" s="74">
        <v>45749</v>
      </c>
      <c r="AJ44" s="74">
        <v>45749</v>
      </c>
      <c r="AK44" s="74">
        <v>45749</v>
      </c>
      <c r="AL44" s="74">
        <v>45749</v>
      </c>
      <c r="AM44" s="74">
        <v>45749</v>
      </c>
      <c r="AN44" s="74" t="s">
        <v>726</v>
      </c>
      <c r="AO44" s="74" t="s">
        <v>727</v>
      </c>
      <c r="AP44" s="78">
        <v>0</v>
      </c>
      <c r="AQ44" s="78">
        <v>0</v>
      </c>
      <c r="AR44" s="78">
        <v>0</v>
      </c>
      <c r="AS44" s="78">
        <v>1</v>
      </c>
      <c r="AT44" s="149">
        <v>105</v>
      </c>
    </row>
    <row r="45" spans="1:46" ht="14.4" x14ac:dyDescent="0.3">
      <c r="A45" s="149" t="s">
        <v>1154</v>
      </c>
      <c r="B45" s="149" t="s">
        <v>1155</v>
      </c>
      <c r="C45" t="s">
        <v>282</v>
      </c>
      <c r="D45" s="78" t="str">
        <f t="shared" si="0"/>
        <v>2023-1</v>
      </c>
      <c r="E45" s="78" t="str">
        <f t="shared" si="1"/>
        <v>Class A</v>
      </c>
      <c r="F45" s="78" t="str">
        <f t="shared" si="2"/>
        <v>2025</v>
      </c>
      <c r="G45"/>
      <c r="H45" s="78" t="s">
        <v>717</v>
      </c>
      <c r="I45" t="s">
        <v>730</v>
      </c>
      <c r="J45"/>
      <c r="K45" t="s">
        <v>281</v>
      </c>
      <c r="L45" s="136">
        <v>45252</v>
      </c>
      <c r="M45" s="136">
        <v>46395</v>
      </c>
      <c r="N45"/>
      <c r="O45" s="78" t="s">
        <v>719</v>
      </c>
      <c r="P45" s="206" cm="1">
        <f t="array" ref="P45:Q45">VLOOKUP(K45,[2]ILS!$A:$K,{10,11},0)</f>
        <v>0</v>
      </c>
      <c r="Q45" s="79">
        <v>600000000</v>
      </c>
      <c r="R45">
        <v>250000</v>
      </c>
      <c r="S45"/>
      <c r="T45">
        <v>102.85</v>
      </c>
      <c r="U45" s="211">
        <v>9.2521219253540038E-2</v>
      </c>
      <c r="V45" s="78" t="s">
        <v>720</v>
      </c>
      <c r="W45" s="74">
        <v>46481</v>
      </c>
      <c r="X45"/>
      <c r="Y45" s="17"/>
      <c r="Z45" s="210">
        <f>R45/VLOOKUP(K45,'[2]ETF Portfolio'!$H$19:$N$50,7,0)</f>
        <v>1.25E-3</v>
      </c>
      <c r="AA45" s="86">
        <v>5.2499146067005197E-2</v>
      </c>
      <c r="AB45" s="78">
        <v>0</v>
      </c>
      <c r="AC45" s="86">
        <v>6.5428009999999995E-2</v>
      </c>
      <c r="AD45" s="78">
        <v>0</v>
      </c>
      <c r="AE45" s="78">
        <v>0</v>
      </c>
      <c r="AF45" s="78">
        <v>0</v>
      </c>
      <c r="AG45" s="78">
        <v>0</v>
      </c>
      <c r="AH45" s="78">
        <v>0</v>
      </c>
      <c r="AI45" s="74">
        <v>45749</v>
      </c>
      <c r="AJ45" s="74">
        <v>45749</v>
      </c>
      <c r="AK45" s="74">
        <v>45749</v>
      </c>
      <c r="AL45" s="74">
        <v>45749</v>
      </c>
      <c r="AM45" s="74">
        <v>45749</v>
      </c>
      <c r="AN45" s="74" t="s">
        <v>721</v>
      </c>
      <c r="AO45" t="s">
        <v>727</v>
      </c>
      <c r="AP45" s="78">
        <v>0</v>
      </c>
      <c r="AQ45" s="78">
        <v>0</v>
      </c>
      <c r="AR45" s="78">
        <v>0</v>
      </c>
      <c r="AS45" s="78">
        <v>1</v>
      </c>
      <c r="AT45" s="149">
        <v>105</v>
      </c>
    </row>
    <row r="46" spans="1:46" ht="14.4" x14ac:dyDescent="0.3">
      <c r="A46" s="149" t="s">
        <v>1156</v>
      </c>
      <c r="B46" s="149" t="s">
        <v>1157</v>
      </c>
      <c r="C46" t="s">
        <v>89</v>
      </c>
      <c r="D46" s="78" t="str">
        <f t="shared" si="0"/>
        <v>2023-1</v>
      </c>
      <c r="E46" s="78" t="str">
        <f t="shared" si="1"/>
        <v>Class A</v>
      </c>
      <c r="F46" s="78" t="str">
        <f t="shared" si="2"/>
        <v>2025</v>
      </c>
      <c r="G46"/>
      <c r="H46" s="78" t="s">
        <v>717</v>
      </c>
      <c r="I46" t="s">
        <v>852</v>
      </c>
      <c r="J46"/>
      <c r="K46" t="s">
        <v>88</v>
      </c>
      <c r="L46" s="136">
        <v>45105</v>
      </c>
      <c r="M46" s="136">
        <v>46575</v>
      </c>
      <c r="N46"/>
      <c r="O46" s="78" t="s">
        <v>719</v>
      </c>
      <c r="P46" s="206" cm="1">
        <f t="array" ref="P46:Q46">VLOOKUP(K46,[2]ILS!$A:$K,{10,11},0)</f>
        <v>0</v>
      </c>
      <c r="Q46" s="79">
        <v>300000000</v>
      </c>
      <c r="R46">
        <v>250000</v>
      </c>
      <c r="S46"/>
      <c r="T46">
        <v>102.2</v>
      </c>
      <c r="U46" s="211">
        <v>9.052121925354005E-2</v>
      </c>
      <c r="V46" s="78" t="s">
        <v>720</v>
      </c>
      <c r="W46" s="74">
        <v>46486</v>
      </c>
      <c r="X46"/>
      <c r="Y46" s="17"/>
      <c r="Z46" s="210">
        <f>R46/VLOOKUP(K46,'[2]ETF Portfolio'!$H$19:$N$50,7,0)</f>
        <v>2.5000000000000001E-3</v>
      </c>
      <c r="AA46" s="86">
        <v>5.0465099531352441E-2</v>
      </c>
      <c r="AB46" s="78">
        <v>0</v>
      </c>
      <c r="AC46" s="86">
        <v>7.7633049999999995E-2</v>
      </c>
      <c r="AD46" s="78">
        <v>0</v>
      </c>
      <c r="AE46" s="78">
        <v>0</v>
      </c>
      <c r="AF46" s="78">
        <v>0</v>
      </c>
      <c r="AG46" s="78">
        <v>0</v>
      </c>
      <c r="AH46" s="78">
        <v>0</v>
      </c>
      <c r="AI46" s="74">
        <v>45749</v>
      </c>
      <c r="AJ46" s="74">
        <v>45749</v>
      </c>
      <c r="AK46" s="74">
        <v>45749</v>
      </c>
      <c r="AL46" s="74">
        <v>45749</v>
      </c>
      <c r="AM46" s="74">
        <v>45749</v>
      </c>
      <c r="AN46" s="74" t="s">
        <v>721</v>
      </c>
      <c r="AO46" t="s">
        <v>727</v>
      </c>
      <c r="AP46" s="78">
        <v>0</v>
      </c>
      <c r="AQ46" s="78">
        <v>0</v>
      </c>
      <c r="AR46" s="78">
        <v>0</v>
      </c>
      <c r="AS46" s="78">
        <v>1</v>
      </c>
      <c r="AT46" s="149">
        <v>105</v>
      </c>
    </row>
    <row r="47" spans="1:46" ht="14.4" x14ac:dyDescent="0.3">
      <c r="A47" s="149" t="s">
        <v>1158</v>
      </c>
      <c r="B47" s="149" t="s">
        <v>1159</v>
      </c>
      <c r="C47" t="s">
        <v>298</v>
      </c>
      <c r="D47" s="78" t="str">
        <f t="shared" si="0"/>
        <v>2024-1</v>
      </c>
      <c r="E47" s="78" t="str">
        <f t="shared" si="1"/>
        <v>Class A</v>
      </c>
      <c r="F47" s="78" t="str">
        <f t="shared" si="2"/>
        <v>2025</v>
      </c>
      <c r="G47"/>
      <c r="H47" s="78" t="s">
        <v>717</v>
      </c>
      <c r="I47" t="s">
        <v>744</v>
      </c>
      <c r="J47"/>
      <c r="K47" t="s">
        <v>297</v>
      </c>
      <c r="L47" s="136">
        <v>45391</v>
      </c>
      <c r="M47" s="136">
        <v>46545</v>
      </c>
      <c r="N47"/>
      <c r="O47" s="78" t="s">
        <v>719</v>
      </c>
      <c r="P47" s="206" cm="1">
        <f t="array" ref="P47:Q47">VLOOKUP(K47,[2]ILS!$A:$K,{10,11},0)</f>
        <v>0</v>
      </c>
      <c r="Q47" s="79">
        <v>300000000</v>
      </c>
      <c r="R47">
        <v>250000</v>
      </c>
      <c r="S47"/>
      <c r="T47">
        <v>102.6</v>
      </c>
      <c r="U47" s="211">
        <v>0.13128121681213378</v>
      </c>
      <c r="V47" s="78" t="s">
        <v>720</v>
      </c>
      <c r="W47" s="74">
        <v>46491</v>
      </c>
      <c r="X47"/>
      <c r="Y47" s="17"/>
      <c r="Z47" s="210">
        <f>R47/VLOOKUP(K47,'[2]ETF Portfolio'!$H$19:$N$50,7,0)</f>
        <v>1.1904761904761906E-3</v>
      </c>
      <c r="AA47" s="86">
        <v>9.1256734286354418E-2</v>
      </c>
      <c r="AB47" s="78">
        <v>0</v>
      </c>
      <c r="AC47" s="86">
        <v>0.11496279</v>
      </c>
      <c r="AD47" s="78">
        <v>0</v>
      </c>
      <c r="AE47" s="78">
        <v>0</v>
      </c>
      <c r="AF47" s="78">
        <v>0</v>
      </c>
      <c r="AG47" s="78">
        <v>0</v>
      </c>
      <c r="AH47" s="78">
        <v>0</v>
      </c>
      <c r="AI47" s="74">
        <v>45749</v>
      </c>
      <c r="AJ47" s="74">
        <v>45749</v>
      </c>
      <c r="AK47" s="74">
        <v>45749</v>
      </c>
      <c r="AL47" s="74">
        <v>45749</v>
      </c>
      <c r="AM47" s="74">
        <v>45749</v>
      </c>
      <c r="AN47" s="74" t="s">
        <v>721</v>
      </c>
      <c r="AO47" t="s">
        <v>727</v>
      </c>
      <c r="AP47" s="78">
        <v>0</v>
      </c>
      <c r="AQ47" s="78">
        <v>0</v>
      </c>
      <c r="AR47" s="78">
        <v>0</v>
      </c>
      <c r="AS47" s="78">
        <v>1</v>
      </c>
      <c r="AT47" s="149">
        <v>105</v>
      </c>
    </row>
    <row r="48" spans="1:46" ht="14.4" x14ac:dyDescent="0.3">
      <c r="A48" s="149" t="s">
        <v>1160</v>
      </c>
      <c r="B48" s="149" t="s">
        <v>1161</v>
      </c>
      <c r="C48" t="s">
        <v>412</v>
      </c>
      <c r="D48" s="78" t="str">
        <f t="shared" si="0"/>
        <v>2024-1</v>
      </c>
      <c r="E48" s="78" t="str">
        <f t="shared" si="1"/>
        <v>Class A</v>
      </c>
      <c r="F48" s="78" t="str">
        <f t="shared" si="2"/>
        <v>2025</v>
      </c>
      <c r="G48"/>
      <c r="H48" s="78" t="s">
        <v>717</v>
      </c>
      <c r="I48" t="s">
        <v>749</v>
      </c>
      <c r="J48"/>
      <c r="K48" t="s">
        <v>411</v>
      </c>
      <c r="L48" s="136">
        <v>45393</v>
      </c>
      <c r="M48" s="136">
        <v>46517</v>
      </c>
      <c r="N48"/>
      <c r="O48" s="78" t="s">
        <v>719</v>
      </c>
      <c r="P48" s="206" cm="1">
        <f t="array" ref="P48:Q48">VLOOKUP(K48,[2]ILS!$A:$K,{10,11},0)</f>
        <v>0</v>
      </c>
      <c r="Q48" s="79">
        <v>125000000</v>
      </c>
      <c r="R48">
        <v>250000</v>
      </c>
      <c r="S48"/>
      <c r="T48">
        <v>102</v>
      </c>
      <c r="U48" s="211">
        <v>0.11634122047424317</v>
      </c>
      <c r="V48" s="78" t="s">
        <v>720</v>
      </c>
      <c r="W48" s="74">
        <v>46507</v>
      </c>
      <c r="X48"/>
      <c r="Y48" s="17"/>
      <c r="Z48" s="210">
        <f>R48/VLOOKUP(K48,'[2]ETF Portfolio'!$H$19:$N$50,7,0)</f>
        <v>2E-3</v>
      </c>
      <c r="AA48" s="86">
        <v>7.6318703394137988E-2</v>
      </c>
      <c r="AB48" s="78">
        <v>0</v>
      </c>
      <c r="AC48" s="86">
        <v>0.10341628999999999</v>
      </c>
      <c r="AD48" s="78">
        <v>0</v>
      </c>
      <c r="AE48" s="78">
        <v>0</v>
      </c>
      <c r="AF48" s="78">
        <v>0</v>
      </c>
      <c r="AG48" s="78">
        <v>0</v>
      </c>
      <c r="AH48" s="78">
        <v>0</v>
      </c>
      <c r="AI48" s="74">
        <v>45749</v>
      </c>
      <c r="AJ48" s="74">
        <v>45749</v>
      </c>
      <c r="AK48" s="74">
        <v>45749</v>
      </c>
      <c r="AL48" s="74">
        <v>45749</v>
      </c>
      <c r="AM48" s="74">
        <v>45749</v>
      </c>
      <c r="AN48" s="74" t="s">
        <v>721</v>
      </c>
      <c r="AO48" t="s">
        <v>727</v>
      </c>
      <c r="AP48" s="78">
        <v>0</v>
      </c>
      <c r="AQ48" s="78">
        <v>0</v>
      </c>
      <c r="AR48" s="78">
        <v>0</v>
      </c>
      <c r="AS48" s="78">
        <v>1</v>
      </c>
      <c r="AT48" s="149">
        <v>105</v>
      </c>
    </row>
    <row r="49" spans="1:46" ht="14.4" x14ac:dyDescent="0.3">
      <c r="A49" s="149" t="s">
        <v>1162</v>
      </c>
      <c r="B49" s="149" t="s">
        <v>1163</v>
      </c>
      <c r="C49" t="s">
        <v>290</v>
      </c>
      <c r="D49" s="78" t="str">
        <f t="shared" si="0"/>
        <v>2023-1</v>
      </c>
      <c r="E49" s="78" t="str">
        <f t="shared" si="1"/>
        <v>Class A</v>
      </c>
      <c r="F49" s="78" t="str">
        <f t="shared" si="2"/>
        <v>2025</v>
      </c>
      <c r="G49"/>
      <c r="H49" s="78" t="s">
        <v>717</v>
      </c>
      <c r="I49" t="s">
        <v>754</v>
      </c>
      <c r="J49"/>
      <c r="K49" t="s">
        <v>289</v>
      </c>
      <c r="L49" s="136">
        <v>45064</v>
      </c>
      <c r="M49" s="136">
        <v>46168</v>
      </c>
      <c r="N49"/>
      <c r="O49" s="78" t="s">
        <v>719</v>
      </c>
      <c r="P49" s="206" cm="1">
        <f t="array" ref="P49:Q49">VLOOKUP(K49,[2]ILS!$A:$K,{10,11},0)</f>
        <v>0</v>
      </c>
      <c r="Q49" s="79">
        <v>250000000</v>
      </c>
      <c r="R49">
        <v>250000</v>
      </c>
      <c r="S49"/>
      <c r="T49">
        <v>104.6</v>
      </c>
      <c r="U49" s="211">
        <v>0.16392121925354006</v>
      </c>
      <c r="V49" s="78" t="s">
        <v>720</v>
      </c>
      <c r="W49" s="74">
        <v>46520</v>
      </c>
      <c r="X49"/>
      <c r="Y49" s="17"/>
      <c r="Z49" s="210">
        <f>R49/VLOOKUP(K49,'[2]ETF Portfolio'!$H$19:$N$50,7,0)</f>
        <v>2.0833333333333333E-3</v>
      </c>
      <c r="AA49" s="86">
        <v>0.123799740975</v>
      </c>
      <c r="AB49" s="78">
        <v>0</v>
      </c>
      <c r="AC49" s="86">
        <v>9.7166349999999999E-2</v>
      </c>
      <c r="AD49" s="78">
        <v>0</v>
      </c>
      <c r="AE49" s="78">
        <v>0</v>
      </c>
      <c r="AF49" s="78">
        <v>0</v>
      </c>
      <c r="AG49" s="78">
        <v>0</v>
      </c>
      <c r="AH49" s="78">
        <v>0</v>
      </c>
      <c r="AI49" s="74">
        <v>45749</v>
      </c>
      <c r="AJ49" s="74">
        <v>45749</v>
      </c>
      <c r="AK49" s="74">
        <v>45749</v>
      </c>
      <c r="AL49" s="74">
        <v>45749</v>
      </c>
      <c r="AM49" s="74">
        <v>45749</v>
      </c>
      <c r="AN49" s="74" t="s">
        <v>721</v>
      </c>
      <c r="AO49" t="s">
        <v>727</v>
      </c>
      <c r="AP49" s="78">
        <v>0</v>
      </c>
      <c r="AQ49" s="78">
        <v>0</v>
      </c>
      <c r="AR49" s="78">
        <v>0</v>
      </c>
      <c r="AS49" s="78">
        <v>1</v>
      </c>
      <c r="AT49" s="149">
        <v>105</v>
      </c>
    </row>
    <row r="50" spans="1:46" ht="14.4" x14ac:dyDescent="0.3">
      <c r="A50" s="149" t="s">
        <v>1164</v>
      </c>
      <c r="B50" s="149" t="s">
        <v>1165</v>
      </c>
      <c r="C50" t="s">
        <v>276</v>
      </c>
      <c r="D50" s="78" t="str">
        <f t="shared" si="0"/>
        <v>2023-1</v>
      </c>
      <c r="E50" s="78" t="str">
        <f t="shared" si="1"/>
        <v>Class B</v>
      </c>
      <c r="F50" s="78" t="str">
        <f t="shared" si="2"/>
        <v>2025</v>
      </c>
      <c r="G50"/>
      <c r="H50" s="78" t="s">
        <v>717</v>
      </c>
      <c r="I50" t="s">
        <v>761</v>
      </c>
      <c r="J50"/>
      <c r="K50" t="s">
        <v>275</v>
      </c>
      <c r="L50" s="136">
        <v>45057</v>
      </c>
      <c r="M50" s="136">
        <v>46180</v>
      </c>
      <c r="N50"/>
      <c r="O50" s="78" t="s">
        <v>719</v>
      </c>
      <c r="P50" s="206" cm="1">
        <f t="array" ref="P50:Q50">VLOOKUP(K50,[2]ILS!$A:$K,{10,11},0)</f>
        <v>0</v>
      </c>
      <c r="Q50" s="79">
        <v>115000000</v>
      </c>
      <c r="R50">
        <v>250000</v>
      </c>
      <c r="S50"/>
      <c r="T50">
        <v>103.85</v>
      </c>
      <c r="U50" s="211">
        <v>0.12712121925354006</v>
      </c>
      <c r="V50" s="78" t="s">
        <v>720</v>
      </c>
      <c r="W50" s="74">
        <v>46638</v>
      </c>
      <c r="X50"/>
      <c r="Y50" s="17"/>
      <c r="Z50" s="210">
        <f>R50/VLOOKUP(K50,'[2]ETF Portfolio'!$H$19:$N$50,7,0)</f>
        <v>2.1739130434782609E-3</v>
      </c>
      <c r="AA50" s="86">
        <v>8.6682056208E-2</v>
      </c>
      <c r="AB50" s="78">
        <v>0</v>
      </c>
      <c r="AC50" s="86">
        <v>7.397630999999999E-2</v>
      </c>
      <c r="AD50" s="78">
        <v>0</v>
      </c>
      <c r="AE50" s="78">
        <v>0</v>
      </c>
      <c r="AF50" s="78">
        <v>0</v>
      </c>
      <c r="AG50" s="78">
        <v>0</v>
      </c>
      <c r="AH50" s="78">
        <v>0</v>
      </c>
      <c r="AI50" s="74">
        <v>45749</v>
      </c>
      <c r="AJ50" s="74">
        <v>45749</v>
      </c>
      <c r="AK50" s="74">
        <v>45749</v>
      </c>
      <c r="AL50" s="74">
        <v>45749</v>
      </c>
      <c r="AM50" s="74">
        <v>45749</v>
      </c>
      <c r="AN50" s="74" t="s">
        <v>721</v>
      </c>
      <c r="AO50" t="s">
        <v>727</v>
      </c>
      <c r="AP50" s="78">
        <v>0</v>
      </c>
      <c r="AQ50" s="78">
        <v>0</v>
      </c>
      <c r="AR50" s="78">
        <v>0</v>
      </c>
      <c r="AS50" s="78">
        <v>1</v>
      </c>
      <c r="AT50" s="149">
        <v>105</v>
      </c>
    </row>
    <row r="51" spans="1:46" ht="14.4" x14ac:dyDescent="0.3">
      <c r="A51" s="149" t="s">
        <v>1166</v>
      </c>
      <c r="B51" s="149" t="s">
        <v>1167</v>
      </c>
      <c r="C51" t="s">
        <v>300</v>
      </c>
      <c r="D51" s="78" t="str">
        <f t="shared" si="0"/>
        <v>2023-2</v>
      </c>
      <c r="E51" s="78" t="str">
        <f t="shared" si="1"/>
        <v>Class A</v>
      </c>
      <c r="F51" s="78" t="str">
        <f t="shared" si="2"/>
        <v>2025</v>
      </c>
      <c r="G51"/>
      <c r="H51" s="78" t="s">
        <v>717</v>
      </c>
      <c r="I51" t="s">
        <v>744</v>
      </c>
      <c r="J51"/>
      <c r="K51" t="s">
        <v>299</v>
      </c>
      <c r="L51" s="136">
        <v>45112</v>
      </c>
      <c r="M51" s="136">
        <v>46178</v>
      </c>
      <c r="N51"/>
      <c r="O51" s="78" t="s">
        <v>719</v>
      </c>
      <c r="P51" s="206" cm="1">
        <f t="array" ref="P51:Q51">VLOOKUP(K51,[2]ILS!$A:$K,{10,11},0)</f>
        <v>0</v>
      </c>
      <c r="Q51" s="79">
        <v>100000000</v>
      </c>
      <c r="R51">
        <v>250000</v>
      </c>
      <c r="S51"/>
      <c r="T51">
        <v>102.9</v>
      </c>
      <c r="U51" s="211">
        <v>0.14582121925354005</v>
      </c>
      <c r="V51" s="78" t="s">
        <v>720</v>
      </c>
      <c r="W51" s="74">
        <v>46638</v>
      </c>
      <c r="X51"/>
      <c r="Y51" s="17"/>
      <c r="Z51" s="210">
        <f>R51/VLOOKUP(K51,'[2]ETF Portfolio'!$H$19:$N$50,7,0)</f>
        <v>2.5000000000000001E-3</v>
      </c>
      <c r="AA51" s="86">
        <v>0.10578202998664167</v>
      </c>
      <c r="AB51" s="78">
        <v>0</v>
      </c>
      <c r="AC51" s="86">
        <v>0.10549349</v>
      </c>
      <c r="AD51" s="78">
        <v>0</v>
      </c>
      <c r="AE51" s="78">
        <v>0</v>
      </c>
      <c r="AF51" s="78">
        <v>0</v>
      </c>
      <c r="AG51" s="78">
        <v>0</v>
      </c>
      <c r="AH51" s="78">
        <v>0</v>
      </c>
      <c r="AI51" s="74">
        <v>45749</v>
      </c>
      <c r="AJ51" s="74">
        <v>45749</v>
      </c>
      <c r="AK51" s="74">
        <v>45749</v>
      </c>
      <c r="AL51" s="74">
        <v>45749</v>
      </c>
      <c r="AM51" s="74">
        <v>45749</v>
      </c>
      <c r="AN51" s="74" t="s">
        <v>721</v>
      </c>
      <c r="AO51" t="s">
        <v>727</v>
      </c>
      <c r="AP51" s="78">
        <v>0</v>
      </c>
      <c r="AQ51" s="78">
        <v>0</v>
      </c>
      <c r="AR51" s="78">
        <v>0</v>
      </c>
      <c r="AS51" s="78">
        <v>1</v>
      </c>
      <c r="AT51" s="149">
        <v>105</v>
      </c>
    </row>
    <row r="52" spans="1:46" ht="14.4" x14ac:dyDescent="0.3">
      <c r="A52" s="149" t="s">
        <v>974</v>
      </c>
      <c r="B52" s="149" t="s">
        <v>975</v>
      </c>
      <c r="C52" t="s">
        <v>89</v>
      </c>
      <c r="D52" s="78" t="str">
        <f t="shared" si="0"/>
        <v>2023-1</v>
      </c>
      <c r="E52" s="78" t="str">
        <f t="shared" si="1"/>
        <v>Class A</v>
      </c>
      <c r="F52" s="78" t="str">
        <f t="shared" si="2"/>
        <v>2025</v>
      </c>
      <c r="G52"/>
      <c r="H52" s="78" t="s">
        <v>717</v>
      </c>
      <c r="I52" t="s">
        <v>852</v>
      </c>
      <c r="J52"/>
      <c r="K52" t="s">
        <v>88</v>
      </c>
      <c r="L52" s="136">
        <v>45105</v>
      </c>
      <c r="M52" s="136">
        <v>46575</v>
      </c>
      <c r="N52"/>
      <c r="O52" s="78" t="s">
        <v>719</v>
      </c>
      <c r="P52" s="206" cm="1">
        <f t="array" ref="P52:Q52">VLOOKUP(K52,[2]ILS!$A:$K,{10,11},0)</f>
        <v>0</v>
      </c>
      <c r="Q52" s="79">
        <v>300000000</v>
      </c>
      <c r="R52">
        <v>500000</v>
      </c>
      <c r="S52"/>
      <c r="T52">
        <v>102.2</v>
      </c>
      <c r="U52" s="211">
        <v>9.052121925354005E-2</v>
      </c>
      <c r="V52" s="78" t="s">
        <v>720</v>
      </c>
      <c r="W52" s="74">
        <v>46486</v>
      </c>
      <c r="X52"/>
      <c r="Y52" s="17"/>
      <c r="Z52" s="210">
        <f>R52/VLOOKUP(K52,'[2]ETF Portfolio'!$H$19:$N$50,7,0)</f>
        <v>5.0000000000000001E-3</v>
      </c>
      <c r="AA52" s="86">
        <v>5.0465099531352441E-2</v>
      </c>
      <c r="AB52" s="78">
        <v>0</v>
      </c>
      <c r="AC52" s="86">
        <v>7.7633049999999995E-2</v>
      </c>
      <c r="AD52" s="78">
        <v>0</v>
      </c>
      <c r="AE52" s="78">
        <v>0</v>
      </c>
      <c r="AF52" s="78">
        <v>0</v>
      </c>
      <c r="AG52" s="78">
        <v>0</v>
      </c>
      <c r="AH52" s="78">
        <v>0</v>
      </c>
      <c r="AI52" s="74">
        <v>45749</v>
      </c>
      <c r="AJ52" s="74">
        <v>45749</v>
      </c>
      <c r="AK52" s="74">
        <v>45749</v>
      </c>
      <c r="AL52" s="74">
        <v>45749</v>
      </c>
      <c r="AM52" s="74">
        <v>45749</v>
      </c>
      <c r="AN52" s="74" t="s">
        <v>721</v>
      </c>
      <c r="AO52" t="s">
        <v>727</v>
      </c>
      <c r="AP52" s="78">
        <v>0</v>
      </c>
      <c r="AQ52" s="78">
        <v>0</v>
      </c>
      <c r="AR52" s="78">
        <v>0</v>
      </c>
      <c r="AS52" s="78">
        <v>1</v>
      </c>
      <c r="AT52" s="149">
        <v>105</v>
      </c>
    </row>
    <row r="53" spans="1:46" ht="14.4" x14ac:dyDescent="0.3">
      <c r="A53" s="149" t="s">
        <v>976</v>
      </c>
      <c r="B53" s="149" t="s">
        <v>977</v>
      </c>
      <c r="C53" t="s">
        <v>412</v>
      </c>
      <c r="D53" s="78" t="str">
        <f t="shared" si="0"/>
        <v>2024-1</v>
      </c>
      <c r="E53" s="78" t="str">
        <f t="shared" si="1"/>
        <v>Class A</v>
      </c>
      <c r="F53" s="78" t="str">
        <f t="shared" si="2"/>
        <v>2025</v>
      </c>
      <c r="G53"/>
      <c r="H53" s="78" t="s">
        <v>717</v>
      </c>
      <c r="I53" t="s">
        <v>749</v>
      </c>
      <c r="J53"/>
      <c r="K53" t="s">
        <v>411</v>
      </c>
      <c r="L53" s="136">
        <v>45393</v>
      </c>
      <c r="M53" s="136">
        <v>46517</v>
      </c>
      <c r="N53"/>
      <c r="O53" s="78" t="s">
        <v>719</v>
      </c>
      <c r="P53" s="206" cm="1">
        <f t="array" ref="P53:Q53">VLOOKUP(K53,[2]ILS!$A:$K,{10,11},0)</f>
        <v>0</v>
      </c>
      <c r="Q53" s="79">
        <v>125000000</v>
      </c>
      <c r="R53">
        <v>500000</v>
      </c>
      <c r="S53"/>
      <c r="T53">
        <v>102</v>
      </c>
      <c r="U53" s="211">
        <v>0.11634122047424317</v>
      </c>
      <c r="V53" s="78" t="s">
        <v>720</v>
      </c>
      <c r="W53" s="74">
        <v>46507</v>
      </c>
      <c r="X53"/>
      <c r="Y53" s="17"/>
      <c r="Z53" s="210">
        <f>R53/VLOOKUP(K53,'[2]ETF Portfolio'!$H$19:$N$50,7,0)</f>
        <v>4.0000000000000001E-3</v>
      </c>
      <c r="AA53" s="86">
        <v>7.6318703394137988E-2</v>
      </c>
      <c r="AB53" s="78">
        <v>0</v>
      </c>
      <c r="AC53" s="86">
        <v>0.10341628999999999</v>
      </c>
      <c r="AD53" s="78">
        <v>0</v>
      </c>
      <c r="AE53" s="78">
        <v>0</v>
      </c>
      <c r="AF53" s="78">
        <v>0</v>
      </c>
      <c r="AG53" s="78">
        <v>0</v>
      </c>
      <c r="AH53" s="78">
        <v>0</v>
      </c>
      <c r="AI53" s="74">
        <v>45749</v>
      </c>
      <c r="AJ53" s="74">
        <v>45749</v>
      </c>
      <c r="AK53" s="74">
        <v>45749</v>
      </c>
      <c r="AL53" s="74">
        <v>45749</v>
      </c>
      <c r="AM53" s="74">
        <v>45749</v>
      </c>
      <c r="AN53" s="74" t="s">
        <v>721</v>
      </c>
      <c r="AO53" t="s">
        <v>727</v>
      </c>
      <c r="AP53" s="78">
        <v>0</v>
      </c>
      <c r="AQ53" s="78">
        <v>0</v>
      </c>
      <c r="AR53" s="78">
        <v>0</v>
      </c>
      <c r="AS53" s="78">
        <v>1</v>
      </c>
      <c r="AT53" s="149">
        <v>105</v>
      </c>
    </row>
    <row r="54" spans="1:46" ht="14.4" x14ac:dyDescent="0.3">
      <c r="A54" s="149" t="s">
        <v>1170</v>
      </c>
      <c r="B54" s="149" t="s">
        <v>1171</v>
      </c>
      <c r="C54" s="74" t="s">
        <v>550</v>
      </c>
      <c r="D54" s="78" t="str">
        <f t="shared" si="0"/>
        <v>2023-1</v>
      </c>
      <c r="E54" s="78" t="str">
        <f t="shared" si="1"/>
        <v>Class A</v>
      </c>
      <c r="F54" s="78" t="str">
        <f t="shared" si="2"/>
        <v>2025</v>
      </c>
      <c r="G54"/>
      <c r="H54" s="78" t="s">
        <v>717</v>
      </c>
      <c r="I54" t="s">
        <v>753</v>
      </c>
      <c r="J54"/>
      <c r="K54" t="s">
        <v>549</v>
      </c>
      <c r="L54" s="74">
        <v>45035</v>
      </c>
      <c r="M54" s="74">
        <v>46180</v>
      </c>
      <c r="N54"/>
      <c r="O54" s="78" t="s">
        <v>719</v>
      </c>
      <c r="P54" s="206" cm="1">
        <f t="array" ref="P54:Q54">VLOOKUP(K54,[2]ILS!$A:$K,{10,11},0)</f>
        <v>0</v>
      </c>
      <c r="Q54" s="79">
        <v>1000000000</v>
      </c>
      <c r="R54">
        <v>250000</v>
      </c>
      <c r="S54"/>
      <c r="T54">
        <v>102.5</v>
      </c>
      <c r="U54" s="211">
        <v>0.13082121925354004</v>
      </c>
      <c r="V54" s="78" t="s">
        <v>720</v>
      </c>
      <c r="W54" s="74">
        <v>46519</v>
      </c>
      <c r="X54" s="215"/>
      <c r="Y54" s="17"/>
      <c r="Z54" s="216">
        <v>5.0000000000000001E-4</v>
      </c>
      <c r="AA54" s="86">
        <v>9.0640780787409198E-2</v>
      </c>
      <c r="AB54" s="78">
        <v>0</v>
      </c>
      <c r="AC54" s="86">
        <v>9.6324590000000002E-2</v>
      </c>
      <c r="AD54" s="78">
        <v>0</v>
      </c>
      <c r="AE54" s="78">
        <v>0</v>
      </c>
      <c r="AF54" s="78">
        <v>0</v>
      </c>
      <c r="AG54" s="78">
        <v>0</v>
      </c>
      <c r="AH54" s="78">
        <v>0</v>
      </c>
      <c r="AI54" s="74">
        <v>45749</v>
      </c>
      <c r="AJ54" s="74">
        <v>45749</v>
      </c>
      <c r="AK54" s="74">
        <v>45749</v>
      </c>
      <c r="AL54" s="74">
        <v>45749</v>
      </c>
      <c r="AM54" s="74">
        <v>45749</v>
      </c>
      <c r="AN54" t="s">
        <v>721</v>
      </c>
      <c r="AO54" t="s">
        <v>722</v>
      </c>
      <c r="AP54" s="78">
        <v>0</v>
      </c>
      <c r="AQ54" s="78">
        <v>0</v>
      </c>
      <c r="AR54" s="78">
        <v>0</v>
      </c>
      <c r="AS54" s="78">
        <v>1</v>
      </c>
      <c r="AT54" s="149">
        <v>105</v>
      </c>
    </row>
    <row r="55" spans="1:46" ht="14.4" x14ac:dyDescent="0.3">
      <c r="A55" s="149" t="s">
        <v>1172</v>
      </c>
      <c r="B55" s="149" t="s">
        <v>1173</v>
      </c>
      <c r="C55" s="168" t="s">
        <v>121</v>
      </c>
      <c r="D55" s="78" t="str">
        <f t="shared" si="0"/>
        <v>2025-1</v>
      </c>
      <c r="E55" s="78" t="str">
        <f t="shared" si="1"/>
        <v>Class A</v>
      </c>
      <c r="F55" s="78" t="str">
        <f t="shared" si="2"/>
        <v/>
      </c>
      <c r="G55"/>
      <c r="H55" s="78" t="s">
        <v>717</v>
      </c>
      <c r="I55" t="s">
        <v>1178</v>
      </c>
      <c r="J55"/>
      <c r="K55" t="s">
        <v>120</v>
      </c>
      <c r="L55" s="74">
        <v>45839</v>
      </c>
      <c r="M55" s="74">
        <v>46934</v>
      </c>
      <c r="N55"/>
      <c r="O55" s="78" t="s">
        <v>719</v>
      </c>
      <c r="P55" s="206" cm="1">
        <f t="array" ref="P55:Q55">VLOOKUP(K55,[2]ILS!$A:$K,{10,11},0)</f>
        <v>0</v>
      </c>
      <c r="Q55" s="79">
        <v>400000000</v>
      </c>
      <c r="R55">
        <v>250000</v>
      </c>
      <c r="S55"/>
      <c r="T55">
        <v>107.38</v>
      </c>
      <c r="U55" s="211">
        <v>0.14330316781997701</v>
      </c>
      <c r="V55" s="78" t="s">
        <v>720</v>
      </c>
      <c r="W55" s="74">
        <v>46223</v>
      </c>
      <c r="X55" s="215"/>
      <c r="Y55" s="17"/>
      <c r="Z55" s="216">
        <v>3.1250000000000002E-3</v>
      </c>
      <c r="AA55">
        <v>7.3599999999999999E-2</v>
      </c>
      <c r="AB55" s="78">
        <v>0</v>
      </c>
      <c r="AC55" s="86">
        <v>9.3303167819977009E-2</v>
      </c>
      <c r="AD55" s="78">
        <v>0</v>
      </c>
      <c r="AE55" s="78">
        <v>0</v>
      </c>
      <c r="AF55" s="78">
        <v>0</v>
      </c>
      <c r="AG55" s="78">
        <v>0</v>
      </c>
      <c r="AH55" s="78">
        <v>0</v>
      </c>
      <c r="AI55" s="74">
        <v>45749</v>
      </c>
      <c r="AJ55" s="74">
        <v>45749</v>
      </c>
      <c r="AK55" s="74">
        <v>45749</v>
      </c>
      <c r="AL55" s="74">
        <v>45749</v>
      </c>
      <c r="AM55" s="74">
        <v>45749</v>
      </c>
      <c r="AN55" t="s">
        <v>721</v>
      </c>
      <c r="AO55" t="s">
        <v>1179</v>
      </c>
      <c r="AP55" s="78">
        <v>0</v>
      </c>
      <c r="AQ55" s="78">
        <v>0</v>
      </c>
      <c r="AR55" s="78">
        <v>0</v>
      </c>
      <c r="AS55" s="78">
        <v>1</v>
      </c>
      <c r="AT55" s="149">
        <v>105</v>
      </c>
    </row>
    <row r="56" spans="1:46" ht="14.4" x14ac:dyDescent="0.3">
      <c r="A56" s="149" t="s">
        <v>1174</v>
      </c>
      <c r="B56" s="149" t="s">
        <v>1175</v>
      </c>
      <c r="C56" s="168" t="s">
        <v>125</v>
      </c>
      <c r="D56" s="78" t="str">
        <f t="shared" si="0"/>
        <v>2025-2</v>
      </c>
      <c r="E56" s="78" t="str">
        <f t="shared" si="1"/>
        <v>Class A</v>
      </c>
      <c r="F56" s="78" t="str">
        <f t="shared" si="2"/>
        <v/>
      </c>
      <c r="G56"/>
      <c r="H56" s="78" t="s">
        <v>717</v>
      </c>
      <c r="I56" t="s">
        <v>1196</v>
      </c>
      <c r="J56"/>
      <c r="K56" t="s">
        <v>124</v>
      </c>
      <c r="L56" s="74">
        <v>45839</v>
      </c>
      <c r="M56" s="74">
        <v>46934</v>
      </c>
      <c r="N56"/>
      <c r="O56" s="78" t="s">
        <v>719</v>
      </c>
      <c r="P56" s="206" cm="1">
        <f t="array" ref="P56:Q56">VLOOKUP(K56,[2]ILS!$A:$K,{10,11},0)</f>
        <v>0</v>
      </c>
      <c r="Q56" s="79">
        <v>250000000</v>
      </c>
      <c r="R56">
        <v>250000</v>
      </c>
      <c r="S56"/>
      <c r="T56">
        <v>104.54</v>
      </c>
      <c r="U56" s="211">
        <v>0.1085</v>
      </c>
      <c r="V56" s="78" t="s">
        <v>720</v>
      </c>
      <c r="W56" s="74">
        <v>46223</v>
      </c>
      <c r="X56" s="215"/>
      <c r="Y56" s="17"/>
      <c r="Z56" s="216">
        <v>1.6666666666666668E-3</v>
      </c>
      <c r="AA56">
        <v>5.1200000000000002E-2</v>
      </c>
      <c r="AB56" s="78">
        <v>0</v>
      </c>
      <c r="AC56" s="86">
        <v>5.8499999999999996E-2</v>
      </c>
      <c r="AD56" s="78">
        <v>0</v>
      </c>
      <c r="AE56" s="78">
        <v>0</v>
      </c>
      <c r="AF56" s="78">
        <v>0</v>
      </c>
      <c r="AG56" s="78">
        <v>0</v>
      </c>
      <c r="AH56" s="78">
        <v>0</v>
      </c>
      <c r="AI56" s="74">
        <v>45749</v>
      </c>
      <c r="AJ56" s="74">
        <v>45749</v>
      </c>
      <c r="AK56" s="74">
        <v>45749</v>
      </c>
      <c r="AL56" s="74">
        <v>45749</v>
      </c>
      <c r="AM56" s="74">
        <v>45749</v>
      </c>
      <c r="AN56" t="s">
        <v>721</v>
      </c>
      <c r="AO56" t="s">
        <v>1179</v>
      </c>
      <c r="AP56" s="78">
        <v>0</v>
      </c>
      <c r="AQ56" s="78">
        <v>0</v>
      </c>
      <c r="AR56" s="78">
        <v>0</v>
      </c>
      <c r="AS56" s="78">
        <v>1</v>
      </c>
      <c r="AT56" s="149">
        <v>105</v>
      </c>
    </row>
    <row r="57" spans="1:46" ht="14.4" x14ac:dyDescent="0.3">
      <c r="A57" s="149" t="s">
        <v>1182</v>
      </c>
      <c r="B57" s="149" t="s">
        <v>1183</v>
      </c>
      <c r="C57" s="168" t="s">
        <v>139</v>
      </c>
      <c r="D57" s="78" t="str">
        <f t="shared" si="0"/>
        <v>2023-1</v>
      </c>
      <c r="E57" s="78" t="str">
        <f t="shared" si="1"/>
        <v>Class B</v>
      </c>
      <c r="F57" s="78" t="str">
        <f t="shared" si="2"/>
        <v>2025</v>
      </c>
      <c r="G57"/>
      <c r="H57" s="78" t="s">
        <v>717</v>
      </c>
      <c r="I57" t="s">
        <v>1197</v>
      </c>
      <c r="J57"/>
      <c r="K57" t="s">
        <v>138</v>
      </c>
      <c r="L57" s="74">
        <v>45017</v>
      </c>
      <c r="M57" s="74">
        <v>46477</v>
      </c>
      <c r="N57"/>
      <c r="O57" s="78" t="s">
        <v>719</v>
      </c>
      <c r="P57" s="206" cm="1">
        <f t="array" ref="P57:Q57">VLOOKUP(K57,[2]ILS!$A:$K,{10,11},0)</f>
        <v>0</v>
      </c>
      <c r="Q57" s="79">
        <v>500000000</v>
      </c>
      <c r="R57">
        <v>250000</v>
      </c>
      <c r="S57"/>
      <c r="T57">
        <v>104.1</v>
      </c>
      <c r="U57" s="211">
        <v>0.19670000000000001</v>
      </c>
      <c r="V57" s="78" t="s">
        <v>720</v>
      </c>
      <c r="W57" s="74">
        <v>46223</v>
      </c>
      <c r="X57" s="215"/>
      <c r="Y57" s="17"/>
      <c r="Z57" s="216">
        <v>1.6666666666666668E-3</v>
      </c>
      <c r="AA57">
        <v>0.12609999999999999</v>
      </c>
      <c r="AB57" s="78">
        <v>0</v>
      </c>
      <c r="AC57" s="86">
        <v>0.1467</v>
      </c>
      <c r="AD57" s="78">
        <v>0</v>
      </c>
      <c r="AE57" s="78">
        <v>0</v>
      </c>
      <c r="AF57" s="78">
        <v>0</v>
      </c>
      <c r="AG57" s="78">
        <v>0</v>
      </c>
      <c r="AH57" s="78">
        <v>0</v>
      </c>
      <c r="AI57" s="74">
        <v>45749</v>
      </c>
      <c r="AJ57" s="74">
        <v>45749</v>
      </c>
      <c r="AK57" s="74">
        <v>45749</v>
      </c>
      <c r="AL57" s="74">
        <v>45749</v>
      </c>
      <c r="AM57" s="74">
        <v>45749</v>
      </c>
      <c r="AN57" t="s">
        <v>721</v>
      </c>
      <c r="AO57" t="s">
        <v>1198</v>
      </c>
      <c r="AP57" s="78">
        <v>0</v>
      </c>
      <c r="AQ57" s="78">
        <v>0</v>
      </c>
      <c r="AR57" s="78">
        <v>0</v>
      </c>
      <c r="AS57" s="78">
        <v>1</v>
      </c>
      <c r="AT57" s="149">
        <v>105</v>
      </c>
    </row>
    <row r="58" spans="1:46" ht="14.4" x14ac:dyDescent="0.3">
      <c r="A58" s="149" t="s">
        <v>1184</v>
      </c>
      <c r="B58" s="149" t="s">
        <v>1185</v>
      </c>
      <c r="C58" s="168" t="s">
        <v>139</v>
      </c>
      <c r="D58" s="78" t="str">
        <f t="shared" si="0"/>
        <v>2023-1</v>
      </c>
      <c r="E58" s="78" t="str">
        <f t="shared" si="1"/>
        <v>Class B</v>
      </c>
      <c r="F58" s="78" t="str">
        <f t="shared" si="2"/>
        <v>2025</v>
      </c>
      <c r="G58"/>
      <c r="H58" s="78" t="s">
        <v>717</v>
      </c>
      <c r="I58" t="s">
        <v>1197</v>
      </c>
      <c r="J58"/>
      <c r="K58" t="s">
        <v>138</v>
      </c>
      <c r="L58" s="74">
        <v>45017</v>
      </c>
      <c r="M58" s="74">
        <v>46477</v>
      </c>
      <c r="N58"/>
      <c r="O58" s="78" t="s">
        <v>719</v>
      </c>
      <c r="P58" s="206" cm="1">
        <f t="array" ref="P58:Q58">VLOOKUP(K58,[2]ILS!$A:$K,{10,11},0)</f>
        <v>0</v>
      </c>
      <c r="Q58" s="79">
        <v>500000000</v>
      </c>
      <c r="R58">
        <v>250000</v>
      </c>
      <c r="S58"/>
      <c r="T58">
        <v>104.1</v>
      </c>
      <c r="U58" s="211">
        <v>0.19670000000000001</v>
      </c>
      <c r="V58" s="78" t="s">
        <v>720</v>
      </c>
      <c r="W58" s="74">
        <v>46223</v>
      </c>
      <c r="X58" s="215"/>
      <c r="Y58" s="17"/>
      <c r="Z58" s="216">
        <v>1.6666666666666668E-3</v>
      </c>
      <c r="AA58">
        <v>0.12609999999999999</v>
      </c>
      <c r="AB58" s="78">
        <v>0</v>
      </c>
      <c r="AC58" s="86">
        <v>0.1467</v>
      </c>
      <c r="AD58" s="78">
        <v>0</v>
      </c>
      <c r="AE58" s="78">
        <v>0</v>
      </c>
      <c r="AF58" s="78">
        <v>0</v>
      </c>
      <c r="AG58" s="78">
        <v>0</v>
      </c>
      <c r="AH58" s="78">
        <v>0</v>
      </c>
      <c r="AI58" s="74">
        <v>45749</v>
      </c>
      <c r="AJ58" s="74">
        <v>45749</v>
      </c>
      <c r="AK58" s="74">
        <v>45749</v>
      </c>
      <c r="AL58" s="74">
        <v>45749</v>
      </c>
      <c r="AM58" s="74">
        <v>45749</v>
      </c>
      <c r="AN58" t="s">
        <v>721</v>
      </c>
      <c r="AO58" t="s">
        <v>1198</v>
      </c>
      <c r="AP58" s="78">
        <v>0</v>
      </c>
      <c r="AQ58" s="78">
        <v>0</v>
      </c>
      <c r="AR58" s="78">
        <v>0</v>
      </c>
      <c r="AS58" s="78">
        <v>1</v>
      </c>
      <c r="AT58" s="149">
        <v>105</v>
      </c>
    </row>
    <row r="59" spans="1:46" ht="14.4" x14ac:dyDescent="0.3">
      <c r="A59" s="149" t="s">
        <v>1186</v>
      </c>
      <c r="B59" s="149" t="s">
        <v>1187</v>
      </c>
      <c r="C59" s="168" t="s">
        <v>210</v>
      </c>
      <c r="D59" s="78" t="str">
        <f t="shared" si="0"/>
        <v>2023-3</v>
      </c>
      <c r="E59" s="78" t="str">
        <f t="shared" si="1"/>
        <v>Class A</v>
      </c>
      <c r="F59" s="78" t="str">
        <f t="shared" si="2"/>
        <v>2025</v>
      </c>
      <c r="G59"/>
      <c r="H59" s="78" t="s">
        <v>717</v>
      </c>
      <c r="I59" t="s">
        <v>1199</v>
      </c>
      <c r="J59"/>
      <c r="K59" t="s">
        <v>209</v>
      </c>
      <c r="L59" s="74">
        <v>45128</v>
      </c>
      <c r="M59" s="74">
        <v>46203</v>
      </c>
      <c r="N59"/>
      <c r="O59" s="78" t="s">
        <v>719</v>
      </c>
      <c r="P59" s="206" cm="1">
        <f t="array" ref="P59:Q59">VLOOKUP(K59,[2]ILS!$A:$K,{10,11},0)</f>
        <v>57000000</v>
      </c>
      <c r="Q59" s="79">
        <v>51000000</v>
      </c>
      <c r="R59">
        <v>250000</v>
      </c>
      <c r="S59"/>
      <c r="T59">
        <v>105.85</v>
      </c>
      <c r="U59" s="211">
        <v>0.14729999999999999</v>
      </c>
      <c r="V59" s="78" t="s">
        <v>720</v>
      </c>
      <c r="W59" s="74">
        <v>46223</v>
      </c>
      <c r="X59" s="215"/>
      <c r="Y59" s="17"/>
      <c r="Z59" s="216">
        <v>5.0000000000000001E-3</v>
      </c>
      <c r="AA59">
        <v>1.5900000000000001E-2</v>
      </c>
      <c r="AB59" s="78">
        <v>0</v>
      </c>
      <c r="AC59" s="86">
        <v>9.7299999999999984E-2</v>
      </c>
      <c r="AD59" s="78">
        <v>0</v>
      </c>
      <c r="AE59" s="78">
        <v>0</v>
      </c>
      <c r="AF59" s="78">
        <v>0</v>
      </c>
      <c r="AG59" s="78">
        <v>0</v>
      </c>
      <c r="AH59" s="78">
        <v>0</v>
      </c>
      <c r="AI59" s="74">
        <v>45749</v>
      </c>
      <c r="AJ59" s="74">
        <v>45749</v>
      </c>
      <c r="AK59" s="74">
        <v>45749</v>
      </c>
      <c r="AL59" s="74">
        <v>45749</v>
      </c>
      <c r="AM59" s="74">
        <v>45749</v>
      </c>
      <c r="AN59" t="s">
        <v>1181</v>
      </c>
      <c r="AO59" t="s">
        <v>1198</v>
      </c>
      <c r="AP59" s="78">
        <v>0</v>
      </c>
      <c r="AQ59" s="78">
        <v>0</v>
      </c>
      <c r="AR59" s="78">
        <v>0</v>
      </c>
      <c r="AS59" s="78">
        <v>1</v>
      </c>
      <c r="AT59" s="149">
        <v>105</v>
      </c>
    </row>
    <row r="60" spans="1:46" ht="14.4" x14ac:dyDescent="0.3">
      <c r="A60" s="149" t="s">
        <v>1188</v>
      </c>
      <c r="B60" s="149" t="s">
        <v>1189</v>
      </c>
      <c r="C60" s="168" t="s">
        <v>246</v>
      </c>
      <c r="D60" s="78" t="str">
        <f t="shared" si="0"/>
        <v>2024-1</v>
      </c>
      <c r="E60" s="78" t="str">
        <f t="shared" si="1"/>
        <v>Class B</v>
      </c>
      <c r="F60" s="78" t="str">
        <f t="shared" si="2"/>
        <v>2025</v>
      </c>
      <c r="G60"/>
      <c r="H60" s="78" t="s">
        <v>717</v>
      </c>
      <c r="I60" t="s">
        <v>1180</v>
      </c>
      <c r="J60"/>
      <c r="K60" t="s">
        <v>245</v>
      </c>
      <c r="L60" s="74">
        <v>45474</v>
      </c>
      <c r="M60" s="74">
        <v>46568</v>
      </c>
      <c r="N60"/>
      <c r="O60" s="78" t="s">
        <v>719</v>
      </c>
      <c r="P60" s="206" cm="1">
        <f t="array" ref="P60:Q60">VLOOKUP(K60,[2]ILS!$A:$K,{10,11},0)</f>
        <v>0</v>
      </c>
      <c r="Q60" s="79">
        <v>80000000</v>
      </c>
      <c r="R60">
        <v>250000</v>
      </c>
      <c r="S60"/>
      <c r="T60">
        <v>111.2</v>
      </c>
      <c r="U60" s="211">
        <v>0.21840000000000001</v>
      </c>
      <c r="V60" s="78" t="s">
        <v>720</v>
      </c>
      <c r="W60" s="74">
        <v>46223</v>
      </c>
      <c r="X60" s="215"/>
      <c r="Y60" s="17"/>
      <c r="Z60" s="216">
        <v>4.1666666666666666E-3</v>
      </c>
      <c r="AA60">
        <v>9.35E-2</v>
      </c>
      <c r="AB60" s="78">
        <v>0</v>
      </c>
      <c r="AC60" s="86">
        <v>0.16839999999999999</v>
      </c>
      <c r="AD60" s="78">
        <v>0</v>
      </c>
      <c r="AE60" s="78">
        <v>0</v>
      </c>
      <c r="AF60" s="78">
        <v>0</v>
      </c>
      <c r="AG60" s="78">
        <v>0</v>
      </c>
      <c r="AH60" s="78">
        <v>0</v>
      </c>
      <c r="AI60" s="74">
        <v>45749</v>
      </c>
      <c r="AJ60" s="74">
        <v>45749</v>
      </c>
      <c r="AK60" s="74">
        <v>45749</v>
      </c>
      <c r="AL60" s="74">
        <v>45749</v>
      </c>
      <c r="AM60" s="74">
        <v>45749</v>
      </c>
      <c r="AN60" t="s">
        <v>1181</v>
      </c>
      <c r="AO60" t="s">
        <v>1179</v>
      </c>
      <c r="AP60" s="78">
        <v>0</v>
      </c>
      <c r="AQ60" s="78">
        <v>0</v>
      </c>
      <c r="AR60" s="78">
        <v>0</v>
      </c>
      <c r="AS60" s="78">
        <v>1</v>
      </c>
      <c r="AT60" s="149">
        <v>105</v>
      </c>
    </row>
    <row r="61" spans="1:46" ht="14.4" x14ac:dyDescent="0.3">
      <c r="A61" s="149" t="s">
        <v>1190</v>
      </c>
      <c r="B61" s="149" t="s">
        <v>1191</v>
      </c>
      <c r="C61" s="168" t="s">
        <v>326</v>
      </c>
      <c r="D61" s="78" t="str">
        <f t="shared" si="0"/>
        <v>2025-1</v>
      </c>
      <c r="E61" s="78" t="str">
        <f t="shared" si="1"/>
        <v>Class A</v>
      </c>
      <c r="F61" s="78" t="str">
        <f t="shared" si="2"/>
        <v/>
      </c>
      <c r="G61"/>
      <c r="H61" s="78" t="s">
        <v>717</v>
      </c>
      <c r="I61" t="s">
        <v>753</v>
      </c>
      <c r="J61"/>
      <c r="K61" t="s">
        <v>325</v>
      </c>
      <c r="L61" s="74">
        <v>45809</v>
      </c>
      <c r="M61" s="74">
        <v>46904</v>
      </c>
      <c r="N61"/>
      <c r="O61" s="78" t="s">
        <v>719</v>
      </c>
      <c r="P61" s="206" cm="1">
        <f t="array" ref="P61:Q61">VLOOKUP(K61,[2]ILS!$A:$K,{10,11},0)</f>
        <v>0</v>
      </c>
      <c r="Q61" s="79">
        <v>1427000000</v>
      </c>
      <c r="R61">
        <v>250000</v>
      </c>
      <c r="S61"/>
      <c r="T61">
        <v>105.75</v>
      </c>
      <c r="U61" s="211">
        <v>9.5899999999999999E-2</v>
      </c>
      <c r="V61" s="78" t="s">
        <v>720</v>
      </c>
      <c r="W61" s="74">
        <v>46223</v>
      </c>
      <c r="X61" s="215"/>
      <c r="Y61" s="17"/>
      <c r="Z61" s="216">
        <v>1E-3</v>
      </c>
      <c r="AA61">
        <v>3.3799999999999997E-2</v>
      </c>
      <c r="AB61" s="78">
        <v>0</v>
      </c>
      <c r="AC61" s="86">
        <v>4.5899999999999996E-2</v>
      </c>
      <c r="AD61" s="78">
        <v>0</v>
      </c>
      <c r="AE61" s="78">
        <v>0</v>
      </c>
      <c r="AF61" s="78">
        <v>0</v>
      </c>
      <c r="AG61" s="78">
        <v>0</v>
      </c>
      <c r="AH61" s="78">
        <v>0</v>
      </c>
      <c r="AI61" s="74">
        <v>45749</v>
      </c>
      <c r="AJ61" s="74">
        <v>45749</v>
      </c>
      <c r="AK61" s="74">
        <v>45749</v>
      </c>
      <c r="AL61" s="74">
        <v>45749</v>
      </c>
      <c r="AM61" s="74">
        <v>45749</v>
      </c>
      <c r="AN61" t="s">
        <v>721</v>
      </c>
      <c r="AO61" t="s">
        <v>1198</v>
      </c>
      <c r="AP61" s="78">
        <v>0</v>
      </c>
      <c r="AQ61" s="78">
        <v>0</v>
      </c>
      <c r="AR61" s="78">
        <v>0</v>
      </c>
      <c r="AS61" s="78">
        <v>1</v>
      </c>
      <c r="AT61" s="149">
        <v>105</v>
      </c>
    </row>
    <row r="62" spans="1:46" ht="14.4" x14ac:dyDescent="0.3">
      <c r="A62" s="149" t="s">
        <v>1192</v>
      </c>
      <c r="B62" s="149" t="s">
        <v>1193</v>
      </c>
      <c r="C62" s="168" t="s">
        <v>328</v>
      </c>
      <c r="D62" s="78" t="str">
        <f t="shared" si="0"/>
        <v>2025-1</v>
      </c>
      <c r="E62" s="78" t="str">
        <f t="shared" si="1"/>
        <v>Class B</v>
      </c>
      <c r="F62" s="78" t="str">
        <f t="shared" si="2"/>
        <v/>
      </c>
      <c r="G62"/>
      <c r="H62" s="78" t="s">
        <v>717</v>
      </c>
      <c r="I62" t="s">
        <v>753</v>
      </c>
      <c r="J62"/>
      <c r="K62" t="s">
        <v>327</v>
      </c>
      <c r="L62" s="74">
        <v>45809</v>
      </c>
      <c r="M62" s="74">
        <v>46904</v>
      </c>
      <c r="N62"/>
      <c r="O62" s="78" t="s">
        <v>719</v>
      </c>
      <c r="P62" s="206" cm="1">
        <f t="array" ref="P62:Q62">VLOOKUP(K62,[2]ILS!$A:$K,{10,11},0)</f>
        <v>0</v>
      </c>
      <c r="Q62" s="79">
        <v>800000000</v>
      </c>
      <c r="R62">
        <v>250000</v>
      </c>
      <c r="S62"/>
      <c r="T62">
        <v>107.33</v>
      </c>
      <c r="U62" s="211">
        <v>0.1234</v>
      </c>
      <c r="V62" s="78" t="s">
        <v>720</v>
      </c>
      <c r="W62" s="74">
        <v>46223</v>
      </c>
      <c r="X62" s="215"/>
      <c r="Y62" s="17"/>
      <c r="Z62" s="216">
        <v>1.25E-3</v>
      </c>
      <c r="AA62">
        <v>5.3900000000000003E-2</v>
      </c>
      <c r="AB62" s="78">
        <v>0</v>
      </c>
      <c r="AC62" s="86">
        <v>7.3399999999999993E-2</v>
      </c>
      <c r="AD62" s="78">
        <v>0</v>
      </c>
      <c r="AE62" s="78">
        <v>0</v>
      </c>
      <c r="AF62" s="78">
        <v>0</v>
      </c>
      <c r="AG62" s="78">
        <v>0</v>
      </c>
      <c r="AH62" s="78">
        <v>0</v>
      </c>
      <c r="AI62" s="74">
        <v>45749</v>
      </c>
      <c r="AJ62" s="74">
        <v>45749</v>
      </c>
      <c r="AK62" s="74">
        <v>45749</v>
      </c>
      <c r="AL62" s="74">
        <v>45749</v>
      </c>
      <c r="AM62" s="74">
        <v>45749</v>
      </c>
      <c r="AN62" t="s">
        <v>721</v>
      </c>
      <c r="AO62" t="s">
        <v>1198</v>
      </c>
      <c r="AP62" s="78">
        <v>0</v>
      </c>
      <c r="AQ62" s="78">
        <v>0</v>
      </c>
      <c r="AR62" s="78">
        <v>0</v>
      </c>
      <c r="AS62" s="78">
        <v>1</v>
      </c>
      <c r="AT62" s="149">
        <v>105</v>
      </c>
    </row>
    <row r="63" spans="1:46" ht="14.4" x14ac:dyDescent="0.3">
      <c r="A63" s="149" t="s">
        <v>1200</v>
      </c>
      <c r="B63" s="149" t="s">
        <v>1201</v>
      </c>
      <c r="C63" s="168" t="s">
        <v>330</v>
      </c>
      <c r="D63" s="78" t="str">
        <f t="shared" si="0"/>
        <v>2025-1</v>
      </c>
      <c r="E63" s="78" t="str">
        <f t="shared" si="1"/>
        <v>Class C</v>
      </c>
      <c r="F63" s="78" t="str">
        <f t="shared" si="2"/>
        <v/>
      </c>
      <c r="G63"/>
      <c r="H63" s="78" t="s">
        <v>717</v>
      </c>
      <c r="I63" t="s">
        <v>753</v>
      </c>
      <c r="J63"/>
      <c r="K63" t="s">
        <v>329</v>
      </c>
      <c r="L63" s="74">
        <v>45809</v>
      </c>
      <c r="M63" s="74">
        <v>46904</v>
      </c>
      <c r="N63"/>
      <c r="O63" s="78" t="s">
        <v>719</v>
      </c>
      <c r="P63" s="206" cm="1">
        <f t="array" ref="P63:Q63">VLOOKUP(K63,[2]ILS!$A:$K,{10,11},0)</f>
        <v>0</v>
      </c>
      <c r="Q63" s="79">
        <v>1000000000</v>
      </c>
      <c r="R63">
        <v>250000</v>
      </c>
      <c r="S63"/>
      <c r="T63">
        <v>109.18</v>
      </c>
      <c r="U63" s="211">
        <v>0.15590000000000001</v>
      </c>
      <c r="V63" s="78" t="s">
        <v>720</v>
      </c>
      <c r="W63" s="74">
        <v>46223</v>
      </c>
      <c r="X63" s="215"/>
      <c r="Y63" s="17"/>
      <c r="Z63" s="216">
        <v>2.5000000000000001E-3</v>
      </c>
      <c r="AA63">
        <v>7.7399999999999997E-2</v>
      </c>
      <c r="AB63" s="78">
        <v>0</v>
      </c>
      <c r="AC63" s="86">
        <v>0.10590000000000001</v>
      </c>
      <c r="AD63" s="78">
        <v>0</v>
      </c>
      <c r="AE63" s="78">
        <v>0</v>
      </c>
      <c r="AF63" s="78">
        <v>0</v>
      </c>
      <c r="AG63" s="78">
        <v>0</v>
      </c>
      <c r="AH63" s="78">
        <v>0</v>
      </c>
      <c r="AI63" s="74">
        <v>45749</v>
      </c>
      <c r="AJ63" s="74">
        <v>45749</v>
      </c>
      <c r="AK63" s="74">
        <v>45749</v>
      </c>
      <c r="AL63" s="74">
        <v>45749</v>
      </c>
      <c r="AM63" s="74">
        <v>45749</v>
      </c>
      <c r="AN63" t="s">
        <v>721</v>
      </c>
      <c r="AO63" t="s">
        <v>1198</v>
      </c>
      <c r="AP63" s="78">
        <v>0</v>
      </c>
      <c r="AQ63" s="78">
        <v>0</v>
      </c>
      <c r="AR63" s="78">
        <v>0</v>
      </c>
      <c r="AS63" s="78">
        <v>1</v>
      </c>
      <c r="AT63" s="149">
        <v>105</v>
      </c>
    </row>
    <row r="64" spans="1:46" ht="14.4" x14ac:dyDescent="0.3">
      <c r="A64" s="149" t="s">
        <v>1202</v>
      </c>
      <c r="B64" s="149" t="s">
        <v>1203</v>
      </c>
      <c r="C64" s="168" t="s">
        <v>332</v>
      </c>
      <c r="D64" s="78" t="str">
        <f t="shared" si="0"/>
        <v>2025-2</v>
      </c>
      <c r="E64" s="78" t="str">
        <f t="shared" si="1"/>
        <v>Class A</v>
      </c>
      <c r="F64" s="78" t="str">
        <f t="shared" si="2"/>
        <v/>
      </c>
      <c r="G64"/>
      <c r="H64" s="78" t="s">
        <v>717</v>
      </c>
      <c r="I64" t="s">
        <v>1204</v>
      </c>
      <c r="J64"/>
      <c r="K64" t="s">
        <v>331</v>
      </c>
      <c r="L64" s="74">
        <v>45839</v>
      </c>
      <c r="M64" s="74">
        <v>46538</v>
      </c>
      <c r="N64"/>
      <c r="O64" s="78" t="s">
        <v>719</v>
      </c>
      <c r="P64" s="206" cm="1">
        <f t="array" ref="P64:Q64">VLOOKUP(K64,[2]ILS!$A:$K,{10,11},0)</f>
        <v>0</v>
      </c>
      <c r="Q64" s="79">
        <v>320000000</v>
      </c>
      <c r="R64">
        <v>250000</v>
      </c>
      <c r="S64"/>
      <c r="T64">
        <v>108.29</v>
      </c>
      <c r="U64" s="211">
        <v>0.15859999999999999</v>
      </c>
      <c r="V64" s="78" t="s">
        <v>720</v>
      </c>
      <c r="W64" s="74">
        <v>46223</v>
      </c>
      <c r="X64" s="215"/>
      <c r="Y64" s="17"/>
      <c r="Z64" s="216">
        <v>1.25E-3</v>
      </c>
      <c r="AA64">
        <v>6.5299999999999997E-2</v>
      </c>
      <c r="AB64" s="78">
        <v>0</v>
      </c>
      <c r="AC64" s="86">
        <v>0.10859999999999999</v>
      </c>
      <c r="AD64" s="78">
        <v>0</v>
      </c>
      <c r="AE64" s="78">
        <v>0</v>
      </c>
      <c r="AF64" s="78">
        <v>0</v>
      </c>
      <c r="AG64" s="78">
        <v>0</v>
      </c>
      <c r="AH64" s="78">
        <v>0</v>
      </c>
      <c r="AI64" s="74">
        <v>45749</v>
      </c>
      <c r="AJ64" s="74">
        <v>45749</v>
      </c>
      <c r="AK64" s="74">
        <v>45749</v>
      </c>
      <c r="AL64" s="74">
        <v>45749</v>
      </c>
      <c r="AM64" s="74">
        <v>45749</v>
      </c>
      <c r="AN64" t="s">
        <v>721</v>
      </c>
      <c r="AO64" t="s">
        <v>1179</v>
      </c>
      <c r="AP64" s="78">
        <v>0</v>
      </c>
      <c r="AQ64" s="78">
        <v>0</v>
      </c>
      <c r="AR64" s="78">
        <v>0</v>
      </c>
      <c r="AS64" s="78">
        <v>1</v>
      </c>
      <c r="AT64" s="149">
        <v>105</v>
      </c>
    </row>
    <row r="65" spans="1:46" ht="14.4" x14ac:dyDescent="0.3">
      <c r="A65" s="149" t="s">
        <v>1205</v>
      </c>
      <c r="B65" s="149" t="s">
        <v>1206</v>
      </c>
      <c r="C65" s="168" t="s">
        <v>342</v>
      </c>
      <c r="D65" s="78" t="str">
        <f t="shared" si="0"/>
        <v>2025-3</v>
      </c>
      <c r="E65" s="78" t="str">
        <f t="shared" si="1"/>
        <v>Class A</v>
      </c>
      <c r="F65" s="78" t="str">
        <f t="shared" si="2"/>
        <v/>
      </c>
      <c r="G65"/>
      <c r="H65" s="78" t="s">
        <v>717</v>
      </c>
      <c r="I65" t="s">
        <v>1196</v>
      </c>
      <c r="J65"/>
      <c r="K65" t="s">
        <v>341</v>
      </c>
      <c r="L65" s="74">
        <v>45839</v>
      </c>
      <c r="M65" s="74">
        <v>46006</v>
      </c>
      <c r="N65"/>
      <c r="O65" s="78" t="s">
        <v>719</v>
      </c>
      <c r="P65" s="206" cm="1">
        <f t="array" ref="P65:Q65">VLOOKUP(K65,[2]ILS!$A:$K,{10,11},0)</f>
        <v>0</v>
      </c>
      <c r="Q65" s="79">
        <v>160000000</v>
      </c>
      <c r="R65">
        <v>250000</v>
      </c>
      <c r="S65"/>
      <c r="T65">
        <v>99.82</v>
      </c>
      <c r="U65" s="211">
        <v>3.8354828357696498E-2</v>
      </c>
      <c r="V65" s="78" t="s">
        <v>720</v>
      </c>
      <c r="W65" s="74">
        <v>46223</v>
      </c>
      <c r="X65" s="215"/>
      <c r="Y65" s="17"/>
      <c r="Z65" s="216">
        <v>2.5000000000000001E-3</v>
      </c>
      <c r="AA65">
        <v>1.12E-2</v>
      </c>
      <c r="AB65" s="78">
        <v>0</v>
      </c>
      <c r="AC65" s="86">
        <v>1.16451716423035E-2</v>
      </c>
      <c r="AD65" s="78">
        <v>0</v>
      </c>
      <c r="AE65" s="78">
        <v>0</v>
      </c>
      <c r="AF65" s="78">
        <v>0</v>
      </c>
      <c r="AG65" s="78">
        <v>0</v>
      </c>
      <c r="AH65" s="78">
        <v>0</v>
      </c>
      <c r="AI65" s="74">
        <v>45749</v>
      </c>
      <c r="AJ65" s="74">
        <v>45749</v>
      </c>
      <c r="AK65" s="74">
        <v>45749</v>
      </c>
      <c r="AL65" s="74">
        <v>45749</v>
      </c>
      <c r="AM65" s="74">
        <v>45749</v>
      </c>
      <c r="AN65" t="s">
        <v>721</v>
      </c>
      <c r="AO65" t="s">
        <v>1179</v>
      </c>
      <c r="AP65" s="78">
        <v>0</v>
      </c>
      <c r="AQ65" s="78">
        <v>0</v>
      </c>
      <c r="AR65" s="78">
        <v>0</v>
      </c>
      <c r="AS65" s="78">
        <v>1</v>
      </c>
      <c r="AT65" s="149">
        <v>105</v>
      </c>
    </row>
    <row r="66" spans="1:46" ht="14.4" x14ac:dyDescent="0.3">
      <c r="A66" s="149" t="s">
        <v>1207</v>
      </c>
      <c r="B66" s="149" t="s">
        <v>1208</v>
      </c>
      <c r="C66" s="168" t="s">
        <v>416</v>
      </c>
      <c r="D66" s="78" t="str">
        <f t="shared" si="0"/>
        <v>2023-1</v>
      </c>
      <c r="E66" s="78" t="str">
        <f t="shared" si="1"/>
        <v>Class A</v>
      </c>
      <c r="F66" s="78" t="str">
        <f t="shared" si="2"/>
        <v>2025</v>
      </c>
      <c r="G66"/>
      <c r="H66" s="78" t="s">
        <v>717</v>
      </c>
      <c r="I66" t="s">
        <v>1178</v>
      </c>
      <c r="J66"/>
      <c r="K66" t="s">
        <v>415</v>
      </c>
      <c r="L66" s="74">
        <v>44975</v>
      </c>
      <c r="M66" s="74">
        <v>46070</v>
      </c>
      <c r="N66"/>
      <c r="O66" s="78" t="s">
        <v>719</v>
      </c>
      <c r="P66" s="206" cm="1">
        <f t="array" ref="P66:Q66">VLOOKUP(K66,[2]ILS!$A:$K,{10,11},0)</f>
        <v>0</v>
      </c>
      <c r="Q66" s="79">
        <v>400000000</v>
      </c>
      <c r="R66">
        <v>250000</v>
      </c>
      <c r="S66"/>
      <c r="T66">
        <v>104.45</v>
      </c>
      <c r="U66" s="211">
        <v>0.17772899332046499</v>
      </c>
      <c r="V66" s="78" t="s">
        <v>720</v>
      </c>
      <c r="W66" s="74">
        <v>46223</v>
      </c>
      <c r="X66" s="215"/>
      <c r="Y66" s="17"/>
      <c r="Z66" s="216">
        <v>8.3333333333333339E-4</v>
      </c>
      <c r="AA66">
        <v>5.5999999999999999E-3</v>
      </c>
      <c r="AB66" s="78">
        <v>0</v>
      </c>
      <c r="AC66" s="86">
        <v>0.127728993320465</v>
      </c>
      <c r="AD66" s="78">
        <v>0</v>
      </c>
      <c r="AE66" s="78">
        <v>0</v>
      </c>
      <c r="AF66" s="78">
        <v>0</v>
      </c>
      <c r="AG66" s="78">
        <v>0</v>
      </c>
      <c r="AH66" s="78">
        <v>0</v>
      </c>
      <c r="AI66" s="74">
        <v>45749</v>
      </c>
      <c r="AJ66" s="74">
        <v>45749</v>
      </c>
      <c r="AK66" s="74">
        <v>45749</v>
      </c>
      <c r="AL66" s="74">
        <v>45749</v>
      </c>
      <c r="AM66" s="74">
        <v>45749</v>
      </c>
      <c r="AN66" t="s">
        <v>721</v>
      </c>
      <c r="AO66" t="s">
        <v>1179</v>
      </c>
      <c r="AP66" s="78">
        <v>0</v>
      </c>
      <c r="AQ66" s="78">
        <v>0</v>
      </c>
      <c r="AR66" s="78">
        <v>0</v>
      </c>
      <c r="AS66" s="78">
        <v>1</v>
      </c>
      <c r="AT66" s="149">
        <v>105</v>
      </c>
    </row>
    <row r="67" spans="1:46" ht="14.4" x14ac:dyDescent="0.3">
      <c r="A67" s="149" t="s">
        <v>1209</v>
      </c>
      <c r="B67" s="149" t="s">
        <v>1210</v>
      </c>
      <c r="C67" s="168" t="s">
        <v>418</v>
      </c>
      <c r="D67" s="78" t="str">
        <f t="shared" ref="D67:D85" si="3">MID(C67,FIND("Series",C67)+7,FIND("Class",C67)-FIND("Series",C67)-8)</f>
        <v>2023-1</v>
      </c>
      <c r="E67" s="78" t="str">
        <f t="shared" ref="E67:E85" si="4">IF(ISNUMBER(FIND("Reset",C67)),MID(C67,FIND("Class",C67),FIND("Reset",C67)-FIND("Class",C67)-1),TRIM(MID(C67,FIND("Class",C67),LEN(C67)-FIND("Class",C67)+1)))</f>
        <v>Class B</v>
      </c>
      <c r="F67" s="78" t="str">
        <f t="shared" ref="F67:F85" si="5">IF(ISNUMBER(FIND("Reset",C67)), MID(C67,FIND("Reset",C67)+6,4), "")</f>
        <v>2025</v>
      </c>
      <c r="G67"/>
      <c r="H67" s="78" t="s">
        <v>717</v>
      </c>
      <c r="I67" t="s">
        <v>1178</v>
      </c>
      <c r="J67"/>
      <c r="K67" t="s">
        <v>417</v>
      </c>
      <c r="L67" s="74">
        <v>44975</v>
      </c>
      <c r="M67" s="74">
        <v>46070</v>
      </c>
      <c r="N67"/>
      <c r="O67" s="78" t="s">
        <v>719</v>
      </c>
      <c r="P67" s="206" cm="1">
        <f t="array" ref="P67:Q67">VLOOKUP(K67,[2]ILS!$A:$K,{10,11},0)</f>
        <v>0</v>
      </c>
      <c r="Q67" s="79">
        <v>135000000</v>
      </c>
      <c r="R67">
        <v>250000</v>
      </c>
      <c r="S67"/>
      <c r="T67">
        <v>106.74</v>
      </c>
      <c r="U67" s="211">
        <v>0.2485</v>
      </c>
      <c r="V67" s="78" t="s">
        <v>720</v>
      </c>
      <c r="W67" s="74">
        <v>46223</v>
      </c>
      <c r="X67" s="215"/>
      <c r="Y67" s="17"/>
      <c r="Z67" s="216">
        <v>4.5454545454545452E-3</v>
      </c>
      <c r="AA67">
        <v>5.7999999999999996E-3</v>
      </c>
      <c r="AB67" s="78">
        <v>0</v>
      </c>
      <c r="AC67" s="86">
        <v>0.19850000000000001</v>
      </c>
      <c r="AD67" s="78">
        <v>0</v>
      </c>
      <c r="AE67" s="78">
        <v>0</v>
      </c>
      <c r="AF67" s="78">
        <v>0</v>
      </c>
      <c r="AG67" s="78">
        <v>0</v>
      </c>
      <c r="AH67" s="78">
        <v>0</v>
      </c>
      <c r="AI67" s="74">
        <v>45749</v>
      </c>
      <c r="AJ67" s="74">
        <v>45749</v>
      </c>
      <c r="AK67" s="74">
        <v>45749</v>
      </c>
      <c r="AL67" s="74">
        <v>45749</v>
      </c>
      <c r="AM67" s="74">
        <v>45749</v>
      </c>
      <c r="AN67" t="s">
        <v>721</v>
      </c>
      <c r="AO67" t="s">
        <v>1179</v>
      </c>
      <c r="AP67" s="78">
        <v>0</v>
      </c>
      <c r="AQ67" s="78">
        <v>0</v>
      </c>
      <c r="AR67" s="78">
        <v>0</v>
      </c>
      <c r="AS67" s="78">
        <v>1</v>
      </c>
      <c r="AT67" s="149">
        <v>105</v>
      </c>
    </row>
    <row r="68" spans="1:46" ht="14.4" x14ac:dyDescent="0.3">
      <c r="A68" s="149" t="s">
        <v>1211</v>
      </c>
      <c r="B68" s="149" t="s">
        <v>1212</v>
      </c>
      <c r="C68" s="168" t="s">
        <v>552</v>
      </c>
      <c r="D68" s="78" t="str">
        <f t="shared" si="3"/>
        <v>2024-1</v>
      </c>
      <c r="E68" s="78" t="str">
        <f t="shared" si="4"/>
        <v>Class A</v>
      </c>
      <c r="F68" s="78" t="str">
        <f t="shared" si="5"/>
        <v>2025</v>
      </c>
      <c r="G68"/>
      <c r="H68" s="78" t="s">
        <v>717</v>
      </c>
      <c r="I68" t="s">
        <v>753</v>
      </c>
      <c r="J68"/>
      <c r="K68" t="s">
        <v>551</v>
      </c>
      <c r="L68" s="74">
        <v>45444</v>
      </c>
      <c r="M68" s="74">
        <v>46538</v>
      </c>
      <c r="N68"/>
      <c r="O68" s="78" t="s">
        <v>719</v>
      </c>
      <c r="P68" s="206" cm="1">
        <f t="array" ref="P68:Q68">VLOOKUP(K68,[2]ILS!$A:$K,{10,11},0)</f>
        <v>0</v>
      </c>
      <c r="Q68" s="79">
        <v>1427000000</v>
      </c>
      <c r="R68">
        <v>250000</v>
      </c>
      <c r="S68"/>
      <c r="T68">
        <v>106.11</v>
      </c>
      <c r="U68" s="211">
        <v>0.1038</v>
      </c>
      <c r="V68" s="78" t="s">
        <v>720</v>
      </c>
      <c r="W68" s="74">
        <v>46223</v>
      </c>
      <c r="X68" s="215"/>
      <c r="Y68" s="17"/>
      <c r="Z68" s="216">
        <v>5.0000000000000001E-4</v>
      </c>
      <c r="AA68">
        <v>2.64E-2</v>
      </c>
      <c r="AB68" s="78">
        <v>0</v>
      </c>
      <c r="AC68" s="86">
        <v>5.3800000000000001E-2</v>
      </c>
      <c r="AD68" s="78">
        <v>0</v>
      </c>
      <c r="AE68" s="78">
        <v>0</v>
      </c>
      <c r="AF68" s="78">
        <v>0</v>
      </c>
      <c r="AG68" s="78">
        <v>0</v>
      </c>
      <c r="AH68" s="78">
        <v>0</v>
      </c>
      <c r="AI68" s="74">
        <v>45749</v>
      </c>
      <c r="AJ68" s="74">
        <v>45749</v>
      </c>
      <c r="AK68" s="74">
        <v>45749</v>
      </c>
      <c r="AL68" s="74">
        <v>45749</v>
      </c>
      <c r="AM68" s="74">
        <v>45749</v>
      </c>
      <c r="AN68" t="s">
        <v>721</v>
      </c>
      <c r="AO68" t="s">
        <v>1198</v>
      </c>
      <c r="AP68" s="78">
        <v>0</v>
      </c>
      <c r="AQ68" s="78">
        <v>0</v>
      </c>
      <c r="AR68" s="78">
        <v>0</v>
      </c>
      <c r="AS68" s="78">
        <v>1</v>
      </c>
      <c r="AT68" s="149">
        <v>105</v>
      </c>
    </row>
    <row r="69" spans="1:46" ht="14.4" x14ac:dyDescent="0.3">
      <c r="A69" s="149" t="s">
        <v>1213</v>
      </c>
      <c r="B69" s="149" t="s">
        <v>1214</v>
      </c>
      <c r="C69" s="168" t="s">
        <v>554</v>
      </c>
      <c r="D69" s="78" t="str">
        <f t="shared" si="3"/>
        <v>2024-1</v>
      </c>
      <c r="E69" s="78" t="str">
        <f t="shared" si="4"/>
        <v>Class B</v>
      </c>
      <c r="F69" s="78" t="str">
        <f t="shared" si="5"/>
        <v>2025</v>
      </c>
      <c r="G69"/>
      <c r="H69" s="78" t="s">
        <v>717</v>
      </c>
      <c r="I69" t="s">
        <v>753</v>
      </c>
      <c r="J69"/>
      <c r="K69" t="s">
        <v>553</v>
      </c>
      <c r="L69" s="74">
        <v>45444</v>
      </c>
      <c r="M69" s="74">
        <v>46538</v>
      </c>
      <c r="N69"/>
      <c r="O69" s="78" t="s">
        <v>719</v>
      </c>
      <c r="P69" s="206" cm="1">
        <f t="array" ref="P69:Q69">VLOOKUP(K69,[2]ILS!$A:$K,{10,11},0)</f>
        <v>0</v>
      </c>
      <c r="Q69" s="79">
        <v>1000000000</v>
      </c>
      <c r="R69">
        <v>250000</v>
      </c>
      <c r="S69"/>
      <c r="T69">
        <v>107.71</v>
      </c>
      <c r="U69" s="211">
        <v>0.122740002441406</v>
      </c>
      <c r="V69" s="78" t="s">
        <v>720</v>
      </c>
      <c r="W69" s="74">
        <v>46223</v>
      </c>
      <c r="X69" s="215"/>
      <c r="Y69" s="17"/>
      <c r="Z69" s="216">
        <v>5.0000000000000001E-4</v>
      </c>
      <c r="AA69">
        <v>3.4799999999999998E-2</v>
      </c>
      <c r="AB69" s="78">
        <v>0</v>
      </c>
      <c r="AC69" s="86">
        <v>7.2740002441405993E-2</v>
      </c>
      <c r="AD69" s="78">
        <v>0</v>
      </c>
      <c r="AE69" s="78">
        <v>0</v>
      </c>
      <c r="AF69" s="78">
        <v>0</v>
      </c>
      <c r="AG69" s="78">
        <v>0</v>
      </c>
      <c r="AH69" s="78">
        <v>0</v>
      </c>
      <c r="AI69" s="74">
        <v>45749</v>
      </c>
      <c r="AJ69" s="74">
        <v>45749</v>
      </c>
      <c r="AK69" s="74">
        <v>45749</v>
      </c>
      <c r="AL69" s="74">
        <v>45749</v>
      </c>
      <c r="AM69" s="74">
        <v>45749</v>
      </c>
      <c r="AN69" t="s">
        <v>721</v>
      </c>
      <c r="AO69" t="s">
        <v>1198</v>
      </c>
      <c r="AP69" s="78">
        <v>0</v>
      </c>
      <c r="AQ69" s="78">
        <v>0</v>
      </c>
      <c r="AR69" s="78">
        <v>0</v>
      </c>
      <c r="AS69" s="78">
        <v>1</v>
      </c>
      <c r="AT69" s="149">
        <v>105</v>
      </c>
    </row>
    <row r="70" spans="1:46" ht="14.4" x14ac:dyDescent="0.3">
      <c r="A70" s="149" t="s">
        <v>1215</v>
      </c>
      <c r="B70" s="149" t="s">
        <v>1216</v>
      </c>
      <c r="C70" s="168" t="s">
        <v>556</v>
      </c>
      <c r="D70" s="78" t="str">
        <f t="shared" si="3"/>
        <v>2024-1</v>
      </c>
      <c r="E70" s="78" t="str">
        <f t="shared" si="4"/>
        <v>Class C</v>
      </c>
      <c r="F70" s="78" t="str">
        <f t="shared" si="5"/>
        <v>2025</v>
      </c>
      <c r="G70"/>
      <c r="H70" s="78" t="s">
        <v>717</v>
      </c>
      <c r="I70" t="s">
        <v>753</v>
      </c>
      <c r="J70"/>
      <c r="K70" t="s">
        <v>555</v>
      </c>
      <c r="L70" s="74">
        <v>45444</v>
      </c>
      <c r="M70" s="74">
        <v>46173</v>
      </c>
      <c r="N70"/>
      <c r="O70" s="78" t="s">
        <v>719</v>
      </c>
      <c r="P70" s="206" cm="1">
        <f t="array" ref="P70:Q70">VLOOKUP(K70,[2]ILS!$A:$K,{10,11},0)</f>
        <v>0</v>
      </c>
      <c r="Q70" s="79">
        <v>1800000000</v>
      </c>
      <c r="R70">
        <v>250000</v>
      </c>
      <c r="S70"/>
      <c r="T70">
        <v>105.35</v>
      </c>
      <c r="U70" s="211">
        <v>0.15720000000000001</v>
      </c>
      <c r="V70" s="78" t="s">
        <v>720</v>
      </c>
      <c r="W70" s="74">
        <v>46223</v>
      </c>
      <c r="X70" s="215"/>
      <c r="Y70" s="17"/>
      <c r="Z70" s="216">
        <v>6.2500000000000001E-4</v>
      </c>
      <c r="AA70">
        <v>3.4000000000000002E-2</v>
      </c>
      <c r="AB70" s="78">
        <v>0</v>
      </c>
      <c r="AC70" s="86">
        <v>0.1072</v>
      </c>
      <c r="AD70" s="78">
        <v>0</v>
      </c>
      <c r="AE70" s="78">
        <v>0</v>
      </c>
      <c r="AF70" s="78">
        <v>0</v>
      </c>
      <c r="AG70" s="78">
        <v>0</v>
      </c>
      <c r="AH70" s="78">
        <v>0</v>
      </c>
      <c r="AI70" s="74">
        <v>45749</v>
      </c>
      <c r="AJ70" s="74">
        <v>45749</v>
      </c>
      <c r="AK70" s="74">
        <v>45749</v>
      </c>
      <c r="AL70" s="74">
        <v>45749</v>
      </c>
      <c r="AM70" s="74">
        <v>45749</v>
      </c>
      <c r="AN70" t="s">
        <v>721</v>
      </c>
      <c r="AO70" t="s">
        <v>1198</v>
      </c>
      <c r="AP70" s="78">
        <v>0</v>
      </c>
      <c r="AQ70" s="78">
        <v>0</v>
      </c>
      <c r="AR70" s="78">
        <v>0</v>
      </c>
      <c r="AS70" s="78">
        <v>1</v>
      </c>
      <c r="AT70" s="149">
        <v>105</v>
      </c>
    </row>
    <row r="71" spans="1:46" ht="14.4" x14ac:dyDescent="0.3">
      <c r="A71" s="149" t="s">
        <v>1152</v>
      </c>
      <c r="B71" s="149" t="s">
        <v>1153</v>
      </c>
      <c r="C71" s="74" t="s">
        <v>492</v>
      </c>
      <c r="D71" s="78" t="str">
        <f t="shared" si="3"/>
        <v>2023-3</v>
      </c>
      <c r="E71" s="78" t="str">
        <f t="shared" si="4"/>
        <v>Class AA</v>
      </c>
      <c r="F71" s="78" t="str">
        <f t="shared" si="5"/>
        <v>2024</v>
      </c>
      <c r="G71" s="128"/>
      <c r="H71" s="78" t="s">
        <v>717</v>
      </c>
      <c r="I71" s="74" t="s">
        <v>735</v>
      </c>
      <c r="J71" s="128"/>
      <c r="K71" s="74" t="s">
        <v>491</v>
      </c>
      <c r="L71" s="74">
        <v>45267</v>
      </c>
      <c r="M71" s="74">
        <v>46363</v>
      </c>
      <c r="N71" s="128"/>
      <c r="O71" s="78" t="s">
        <v>719</v>
      </c>
      <c r="P71" s="206" cm="1">
        <f t="array" ref="P71:Q71">VLOOKUP(K71,[2]ILS!$A:$K,{10,11},0)</f>
        <v>0</v>
      </c>
      <c r="Q71" s="206">
        <v>1000000000</v>
      </c>
      <c r="R71" s="207">
        <v>250000</v>
      </c>
      <c r="S71" s="128"/>
      <c r="T71" s="208">
        <v>103.95</v>
      </c>
      <c r="U71" s="209">
        <v>9.5799999999999996E-2</v>
      </c>
      <c r="V71" s="78" t="s">
        <v>720</v>
      </c>
      <c r="W71" s="74">
        <v>46481</v>
      </c>
      <c r="X71" s="215"/>
      <c r="Y71" s="129"/>
      <c r="Z71" s="210">
        <v>8.3333333333333339E-4</v>
      </c>
      <c r="AA71" s="130">
        <v>5.4973855344643684E-2</v>
      </c>
      <c r="AB71" s="78">
        <v>0</v>
      </c>
      <c r="AC71" s="130">
        <v>3.4925629999999999E-2</v>
      </c>
      <c r="AD71" s="78">
        <v>0</v>
      </c>
      <c r="AE71" s="78">
        <v>0</v>
      </c>
      <c r="AF71" s="78">
        <v>0</v>
      </c>
      <c r="AG71" s="78">
        <v>0</v>
      </c>
      <c r="AH71" s="78">
        <v>0</v>
      </c>
      <c r="AI71" s="74">
        <v>45749</v>
      </c>
      <c r="AJ71" s="74">
        <v>45749</v>
      </c>
      <c r="AK71" s="74">
        <v>45749</v>
      </c>
      <c r="AL71" s="74">
        <v>45749</v>
      </c>
      <c r="AM71" s="74">
        <v>45749</v>
      </c>
      <c r="AN71" s="74" t="s">
        <v>721</v>
      </c>
      <c r="AO71" s="74" t="s">
        <v>722</v>
      </c>
      <c r="AP71" s="78">
        <v>0</v>
      </c>
      <c r="AQ71" s="78">
        <v>0</v>
      </c>
      <c r="AR71" s="78">
        <v>0</v>
      </c>
      <c r="AS71" s="78">
        <v>1</v>
      </c>
      <c r="AT71" s="149">
        <v>106</v>
      </c>
    </row>
    <row r="72" spans="1:46" ht="14.4" x14ac:dyDescent="0.3">
      <c r="A72" s="149" t="s">
        <v>1154</v>
      </c>
      <c r="B72" s="149" t="s">
        <v>1155</v>
      </c>
      <c r="C72" s="74" t="s">
        <v>218</v>
      </c>
      <c r="D72" s="78" t="str">
        <f t="shared" si="3"/>
        <v>2023-1</v>
      </c>
      <c r="E72" s="78" t="str">
        <f t="shared" si="4"/>
        <v>Class A</v>
      </c>
      <c r="F72" s="78" t="str">
        <f t="shared" si="5"/>
        <v>2025</v>
      </c>
      <c r="G72"/>
      <c r="H72" s="78" t="s">
        <v>717</v>
      </c>
      <c r="I72" t="s">
        <v>751</v>
      </c>
      <c r="J72"/>
      <c r="K72" t="s">
        <v>217</v>
      </c>
      <c r="L72" s="74">
        <v>45071</v>
      </c>
      <c r="M72" s="74">
        <v>46178</v>
      </c>
      <c r="N72"/>
      <c r="O72" s="78" t="s">
        <v>719</v>
      </c>
      <c r="P72" s="206" cm="1">
        <f t="array" ref="P72:Q72">VLOOKUP(K72,[2]ILS!$A:$K,{10,11},0)</f>
        <v>0</v>
      </c>
      <c r="Q72" s="79">
        <v>150000000</v>
      </c>
      <c r="R72" s="207">
        <v>250000</v>
      </c>
      <c r="S72"/>
      <c r="T72">
        <v>101.95</v>
      </c>
      <c r="U72" s="211">
        <v>9.3081216812133785E-2</v>
      </c>
      <c r="V72" s="78" t="s">
        <v>720</v>
      </c>
      <c r="W72" s="74">
        <v>46515</v>
      </c>
      <c r="X72" s="215"/>
      <c r="Y72" s="17"/>
      <c r="Z72" s="210">
        <v>1.6666666666666668E-3</v>
      </c>
      <c r="AA72" s="86">
        <v>5.2918735843584239E-2</v>
      </c>
      <c r="AB72" s="78">
        <v>0</v>
      </c>
      <c r="AC72" s="86">
        <v>6.6261989999999993E-2</v>
      </c>
      <c r="AD72" s="78">
        <v>0</v>
      </c>
      <c r="AE72" s="78">
        <v>0</v>
      </c>
      <c r="AF72" s="78">
        <v>0</v>
      </c>
      <c r="AG72" s="78">
        <v>0</v>
      </c>
      <c r="AH72" s="78">
        <v>0</v>
      </c>
      <c r="AI72" s="74">
        <v>45749</v>
      </c>
      <c r="AJ72" s="74">
        <v>45749</v>
      </c>
      <c r="AK72" s="74">
        <v>45749</v>
      </c>
      <c r="AL72" s="74">
        <v>45749</v>
      </c>
      <c r="AM72" s="74">
        <v>45749</v>
      </c>
      <c r="AN72" s="74" t="s">
        <v>721</v>
      </c>
      <c r="AO72" t="s">
        <v>727</v>
      </c>
      <c r="AP72" s="78">
        <v>0</v>
      </c>
      <c r="AQ72" s="78">
        <v>0</v>
      </c>
      <c r="AR72" s="78">
        <v>0</v>
      </c>
      <c r="AS72" s="78">
        <v>1</v>
      </c>
      <c r="AT72" s="149">
        <v>106</v>
      </c>
    </row>
    <row r="73" spans="1:46" ht="14.4" x14ac:dyDescent="0.3">
      <c r="A73" s="149" t="s">
        <v>1156</v>
      </c>
      <c r="B73" s="149" t="s">
        <v>1157</v>
      </c>
      <c r="C73" s="74" t="s">
        <v>376</v>
      </c>
      <c r="D73" s="78" t="str">
        <f t="shared" si="3"/>
        <v>2024-1</v>
      </c>
      <c r="E73" s="78" t="str">
        <f t="shared" si="4"/>
        <v>Class A</v>
      </c>
      <c r="F73" s="78" t="str">
        <f t="shared" si="5"/>
        <v/>
      </c>
      <c r="G73"/>
      <c r="H73" s="78" t="s">
        <v>717</v>
      </c>
      <c r="I73" t="s">
        <v>757</v>
      </c>
      <c r="J73"/>
      <c r="K73" t="s">
        <v>375</v>
      </c>
      <c r="L73" s="74">
        <v>45593</v>
      </c>
      <c r="M73" s="74">
        <v>46377</v>
      </c>
      <c r="N73"/>
      <c r="O73" s="78" t="s">
        <v>719</v>
      </c>
      <c r="P73" s="206" cm="1">
        <f t="array" ref="P73:Q73">VLOOKUP(K73,[2]ILS!$A:$K,{10,11},0)</f>
        <v>0</v>
      </c>
      <c r="Q73" s="79">
        <v>95000000</v>
      </c>
      <c r="R73" s="207">
        <v>250000</v>
      </c>
      <c r="S73"/>
      <c r="T73">
        <v>101.85</v>
      </c>
      <c r="U73" s="211">
        <v>0.10002121925354004</v>
      </c>
      <c r="V73" s="78" t="s">
        <v>720</v>
      </c>
      <c r="W73" s="74">
        <v>46527</v>
      </c>
      <c r="X73" s="215"/>
      <c r="Y73" s="17"/>
      <c r="Z73" s="210">
        <v>2.631578947368421E-3</v>
      </c>
      <c r="AA73" s="86">
        <v>5.987584733518761E-2</v>
      </c>
      <c r="AB73" s="78">
        <v>0</v>
      </c>
      <c r="AC73" s="86">
        <v>9.1009530000000005E-2</v>
      </c>
      <c r="AD73" s="78">
        <v>0</v>
      </c>
      <c r="AE73" s="78">
        <v>0</v>
      </c>
      <c r="AF73" s="78">
        <v>0</v>
      </c>
      <c r="AG73" s="78">
        <v>0</v>
      </c>
      <c r="AH73" s="78">
        <v>0</v>
      </c>
      <c r="AI73" s="74">
        <v>45749</v>
      </c>
      <c r="AJ73" s="74">
        <v>45749</v>
      </c>
      <c r="AK73" s="74">
        <v>45749</v>
      </c>
      <c r="AL73" s="74">
        <v>45749</v>
      </c>
      <c r="AM73" s="74">
        <v>45749</v>
      </c>
      <c r="AN73" s="74" t="s">
        <v>721</v>
      </c>
      <c r="AO73" t="s">
        <v>727</v>
      </c>
      <c r="AP73" s="78">
        <v>0</v>
      </c>
      <c r="AQ73" s="78">
        <v>0</v>
      </c>
      <c r="AR73" s="78">
        <v>0</v>
      </c>
      <c r="AS73" s="78">
        <v>1</v>
      </c>
      <c r="AT73" s="149">
        <v>106</v>
      </c>
    </row>
    <row r="74" spans="1:46" ht="14.4" x14ac:dyDescent="0.3">
      <c r="A74" s="149" t="s">
        <v>1158</v>
      </c>
      <c r="B74" s="149" t="s">
        <v>1159</v>
      </c>
      <c r="C74" s="168" t="s">
        <v>256</v>
      </c>
      <c r="D74" s="78" t="str">
        <f t="shared" si="3"/>
        <v>2023-1</v>
      </c>
      <c r="E74" s="78" t="str">
        <f t="shared" si="4"/>
        <v>Class B</v>
      </c>
      <c r="F74" s="78" t="str">
        <f t="shared" si="5"/>
        <v>2025</v>
      </c>
      <c r="G74"/>
      <c r="H74" s="78" t="s">
        <v>717</v>
      </c>
      <c r="I74" t="s">
        <v>736</v>
      </c>
      <c r="J74"/>
      <c r="K74" t="s">
        <v>255</v>
      </c>
      <c r="L74" s="74">
        <v>44986</v>
      </c>
      <c r="M74" s="74">
        <v>46081</v>
      </c>
      <c r="N74"/>
      <c r="O74" s="78" t="s">
        <v>719</v>
      </c>
      <c r="P74" s="206" cm="1">
        <f t="array" ref="P74:Q74">VLOOKUP(K74,[2]ILS!$A:$K,{10,11},0)</f>
        <v>0</v>
      </c>
      <c r="Q74" s="79">
        <v>100000000</v>
      </c>
      <c r="R74" s="207">
        <v>250000</v>
      </c>
      <c r="S74"/>
      <c r="T74">
        <v>102.87</v>
      </c>
      <c r="U74" s="211">
        <v>0.1648</v>
      </c>
      <c r="V74" s="78" t="s">
        <v>720</v>
      </c>
      <c r="W74" s="74">
        <v>46223</v>
      </c>
      <c r="X74" s="215"/>
      <c r="Y74" s="17"/>
      <c r="Z74" s="210">
        <v>3.3333333333333335E-3</v>
      </c>
      <c r="AA74" s="86">
        <v>4.8599999999999997E-2</v>
      </c>
      <c r="AB74" s="78">
        <v>0</v>
      </c>
      <c r="AC74" s="86">
        <v>0.1148</v>
      </c>
      <c r="AD74" s="78">
        <v>0</v>
      </c>
      <c r="AE74" s="78">
        <v>0</v>
      </c>
      <c r="AF74" s="78">
        <v>0</v>
      </c>
      <c r="AG74" s="78">
        <v>0</v>
      </c>
      <c r="AH74" s="78">
        <v>0</v>
      </c>
      <c r="AI74" s="74">
        <v>45749</v>
      </c>
      <c r="AJ74" s="74">
        <v>45749</v>
      </c>
      <c r="AK74" s="74">
        <v>45749</v>
      </c>
      <c r="AL74" s="74">
        <v>45749</v>
      </c>
      <c r="AM74" s="74">
        <v>45749</v>
      </c>
      <c r="AN74" s="74" t="s">
        <v>721</v>
      </c>
      <c r="AO74" t="s">
        <v>727</v>
      </c>
      <c r="AP74" s="78">
        <v>0</v>
      </c>
      <c r="AQ74" s="78">
        <v>0</v>
      </c>
      <c r="AR74" s="78">
        <v>0</v>
      </c>
      <c r="AS74" s="78">
        <v>1</v>
      </c>
      <c r="AT74" s="149">
        <v>106</v>
      </c>
    </row>
    <row r="75" spans="1:46" ht="14.4" x14ac:dyDescent="0.3">
      <c r="A75" s="149" t="s">
        <v>1160</v>
      </c>
      <c r="B75" s="149" t="s">
        <v>1161</v>
      </c>
      <c r="C75" s="168" t="s">
        <v>484</v>
      </c>
      <c r="D75" s="78" t="str">
        <f t="shared" si="3"/>
        <v>2022-2</v>
      </c>
      <c r="E75" s="78" t="str">
        <f t="shared" si="4"/>
        <v>Class AA</v>
      </c>
      <c r="F75" s="78" t="str">
        <f t="shared" si="5"/>
        <v>2024</v>
      </c>
      <c r="G75"/>
      <c r="H75" s="78" t="s">
        <v>717</v>
      </c>
      <c r="I75" t="s">
        <v>735</v>
      </c>
      <c r="J75"/>
      <c r="K75" t="s">
        <v>483</v>
      </c>
      <c r="L75" s="74">
        <v>44908</v>
      </c>
      <c r="M75" s="74">
        <v>45991</v>
      </c>
      <c r="N75"/>
      <c r="O75" s="78" t="s">
        <v>719</v>
      </c>
      <c r="P75" s="206" cm="1">
        <f t="array" ref="P75:Q75">VLOOKUP(K75,[2]ILS!$A:$K,{10,11},0)</f>
        <v>0</v>
      </c>
      <c r="Q75" s="79">
        <v>1000000000</v>
      </c>
      <c r="R75" s="207">
        <v>250000</v>
      </c>
      <c r="S75"/>
      <c r="T75">
        <v>100.55</v>
      </c>
      <c r="U75" s="211">
        <v>0.1086</v>
      </c>
      <c r="V75" s="78" t="s">
        <v>720</v>
      </c>
      <c r="W75" s="74">
        <v>46223</v>
      </c>
      <c r="X75" s="215"/>
      <c r="Y75" s="17"/>
      <c r="Z75" s="210">
        <v>1.3513513513513514E-3</v>
      </c>
      <c r="AA75" s="86">
        <v>1.8599999999999998E-2</v>
      </c>
      <c r="AB75" s="78">
        <v>0</v>
      </c>
      <c r="AC75" s="86">
        <v>5.8599999999999999E-2</v>
      </c>
      <c r="AD75" s="78">
        <v>0</v>
      </c>
      <c r="AE75" s="78">
        <v>0</v>
      </c>
      <c r="AF75" s="78">
        <v>0</v>
      </c>
      <c r="AG75" s="78">
        <v>0</v>
      </c>
      <c r="AH75" s="78">
        <v>0</v>
      </c>
      <c r="AI75" s="74">
        <v>45749</v>
      </c>
      <c r="AJ75" s="74">
        <v>45749</v>
      </c>
      <c r="AK75" s="74">
        <v>45749</v>
      </c>
      <c r="AL75" s="74">
        <v>45749</v>
      </c>
      <c r="AM75" s="74">
        <v>45749</v>
      </c>
      <c r="AN75" s="74" t="s">
        <v>721</v>
      </c>
      <c r="AO75" t="s">
        <v>1198</v>
      </c>
      <c r="AP75" s="78">
        <v>0</v>
      </c>
      <c r="AQ75" s="78">
        <v>0</v>
      </c>
      <c r="AR75" s="78">
        <v>0</v>
      </c>
      <c r="AS75" s="78">
        <v>1</v>
      </c>
      <c r="AT75" s="149">
        <v>106</v>
      </c>
    </row>
    <row r="76" spans="1:46" ht="14.4" x14ac:dyDescent="0.3">
      <c r="A76" s="149" t="s">
        <v>1162</v>
      </c>
      <c r="B76" s="149" t="s">
        <v>1163</v>
      </c>
      <c r="C76" s="168" t="s">
        <v>486</v>
      </c>
      <c r="D76" s="78" t="str">
        <f t="shared" si="3"/>
        <v>2022-2</v>
      </c>
      <c r="E76" s="78" t="str">
        <f t="shared" si="4"/>
        <v>Class C</v>
      </c>
      <c r="F76" s="78" t="str">
        <f t="shared" si="5"/>
        <v>2024</v>
      </c>
      <c r="G76"/>
      <c r="H76" s="78" t="s">
        <v>717</v>
      </c>
      <c r="I76" t="s">
        <v>735</v>
      </c>
      <c r="J76"/>
      <c r="K76" t="s">
        <v>485</v>
      </c>
      <c r="L76" s="74">
        <v>44908</v>
      </c>
      <c r="M76" s="74">
        <v>45991</v>
      </c>
      <c r="N76"/>
      <c r="O76" s="78" t="s">
        <v>719</v>
      </c>
      <c r="P76" s="206" cm="1">
        <f t="array" ref="P76:Q76">VLOOKUP(K76,[2]ILS!$A:$K,{10,11},0)</f>
        <v>0</v>
      </c>
      <c r="Q76" s="79">
        <v>500000000</v>
      </c>
      <c r="R76" s="207">
        <v>250000</v>
      </c>
      <c r="S76"/>
      <c r="T76">
        <v>100.9</v>
      </c>
      <c r="U76" s="211">
        <v>0.1411</v>
      </c>
      <c r="V76" s="78" t="s">
        <v>720</v>
      </c>
      <c r="W76" s="74">
        <v>46223</v>
      </c>
      <c r="X76" s="215"/>
      <c r="Y76" s="17"/>
      <c r="Z76" s="210">
        <v>2.0833333333333333E-3</v>
      </c>
      <c r="AA76" s="86">
        <v>1.8800000000000001E-2</v>
      </c>
      <c r="AB76" s="78">
        <v>0</v>
      </c>
      <c r="AC76" s="86">
        <v>9.11E-2</v>
      </c>
      <c r="AD76" s="78">
        <v>0</v>
      </c>
      <c r="AE76" s="78">
        <v>0</v>
      </c>
      <c r="AF76" s="78">
        <v>0</v>
      </c>
      <c r="AG76" s="78">
        <v>0</v>
      </c>
      <c r="AH76" s="78">
        <v>0</v>
      </c>
      <c r="AI76" s="74">
        <v>45749</v>
      </c>
      <c r="AJ76" s="74">
        <v>45749</v>
      </c>
      <c r="AK76" s="74">
        <v>45749</v>
      </c>
      <c r="AL76" s="74">
        <v>45749</v>
      </c>
      <c r="AM76" s="74">
        <v>45749</v>
      </c>
      <c r="AN76" s="74" t="s">
        <v>721</v>
      </c>
      <c r="AO76" t="s">
        <v>1198</v>
      </c>
      <c r="AP76" s="78">
        <v>0</v>
      </c>
      <c r="AQ76" s="78">
        <v>0</v>
      </c>
      <c r="AR76" s="78">
        <v>0</v>
      </c>
      <c r="AS76" s="78">
        <v>1</v>
      </c>
      <c r="AT76" s="149">
        <v>106</v>
      </c>
    </row>
    <row r="77" spans="1:46" ht="14.4" x14ac:dyDescent="0.3">
      <c r="A77" s="149" t="s">
        <v>1164</v>
      </c>
      <c r="B77" s="149" t="s">
        <v>1165</v>
      </c>
      <c r="C77" s="168" t="s">
        <v>488</v>
      </c>
      <c r="D77" s="78" t="str">
        <f t="shared" si="3"/>
        <v>2025-1</v>
      </c>
      <c r="E77" s="78" t="str">
        <f t="shared" si="4"/>
        <v>Class G</v>
      </c>
      <c r="F77" s="78" t="str">
        <f t="shared" si="5"/>
        <v/>
      </c>
      <c r="G77"/>
      <c r="H77" s="78" t="s">
        <v>717</v>
      </c>
      <c r="I77" t="s">
        <v>735</v>
      </c>
      <c r="J77"/>
      <c r="K77" t="s">
        <v>487</v>
      </c>
      <c r="L77" s="74">
        <v>45818</v>
      </c>
      <c r="M77" s="74">
        <v>46904</v>
      </c>
      <c r="N77"/>
      <c r="O77" s="78" t="s">
        <v>719</v>
      </c>
      <c r="P77" s="206" cm="1">
        <f t="array" ref="P77:Q77">VLOOKUP(K77,[2]ILS!$A:$K,{10,11},0)</f>
        <v>0</v>
      </c>
      <c r="Q77" s="79">
        <v>400000000</v>
      </c>
      <c r="R77" s="207">
        <v>250000</v>
      </c>
      <c r="S77"/>
      <c r="T77">
        <v>102.03</v>
      </c>
      <c r="U77" s="211">
        <v>0.1285</v>
      </c>
      <c r="V77" s="78" t="s">
        <v>720</v>
      </c>
      <c r="W77" s="74">
        <v>46223</v>
      </c>
      <c r="X77" s="215"/>
      <c r="Y77" s="17"/>
      <c r="Z77" s="210">
        <v>6.2500000000000001E-4</v>
      </c>
      <c r="AA77" s="86">
        <v>8.0699999999999994E-2</v>
      </c>
      <c r="AB77" s="78">
        <v>0</v>
      </c>
      <c r="AC77" s="86">
        <v>7.85E-2</v>
      </c>
      <c r="AD77" s="78">
        <v>0</v>
      </c>
      <c r="AE77" s="78">
        <v>0</v>
      </c>
      <c r="AF77" s="78">
        <v>0</v>
      </c>
      <c r="AG77" s="78">
        <v>0</v>
      </c>
      <c r="AH77" s="78">
        <v>0</v>
      </c>
      <c r="AI77" s="74">
        <v>45749</v>
      </c>
      <c r="AJ77" s="74">
        <v>45749</v>
      </c>
      <c r="AK77" s="74">
        <v>45749</v>
      </c>
      <c r="AL77" s="74">
        <v>45749</v>
      </c>
      <c r="AM77" s="74">
        <v>45749</v>
      </c>
      <c r="AN77" s="74" t="s">
        <v>721</v>
      </c>
      <c r="AO77" t="s">
        <v>1198</v>
      </c>
      <c r="AP77" s="78">
        <v>0</v>
      </c>
      <c r="AQ77" s="78">
        <v>0</v>
      </c>
      <c r="AR77" s="78">
        <v>0</v>
      </c>
      <c r="AS77" s="78">
        <v>1</v>
      </c>
      <c r="AT77" s="149">
        <v>106</v>
      </c>
    </row>
    <row r="78" spans="1:46" ht="14.4" x14ac:dyDescent="0.3">
      <c r="A78" s="149" t="s">
        <v>1166</v>
      </c>
      <c r="B78" s="149" t="s">
        <v>1167</v>
      </c>
      <c r="C78" s="168" t="s">
        <v>490</v>
      </c>
      <c r="D78" s="78" t="str">
        <f t="shared" si="3"/>
        <v>2023-2</v>
      </c>
      <c r="E78" s="78" t="str">
        <f t="shared" si="4"/>
        <v>Class E</v>
      </c>
      <c r="F78" s="78" t="str">
        <f t="shared" si="5"/>
        <v>2024</v>
      </c>
      <c r="G78"/>
      <c r="H78" s="78" t="s">
        <v>717</v>
      </c>
      <c r="I78" t="s">
        <v>735</v>
      </c>
      <c r="J78"/>
      <c r="K78" t="s">
        <v>489</v>
      </c>
      <c r="L78" s="74">
        <v>45216</v>
      </c>
      <c r="M78" s="74">
        <v>46356</v>
      </c>
      <c r="N78"/>
      <c r="O78" s="78" t="s">
        <v>719</v>
      </c>
      <c r="P78" s="206" cm="1">
        <f t="array" ref="P78:Q78">VLOOKUP(K78,[2]ILS!$A:$K,{10,11},0)</f>
        <v>0</v>
      </c>
      <c r="Q78" s="79">
        <v>500000000</v>
      </c>
      <c r="R78" s="207">
        <v>250000</v>
      </c>
      <c r="S78"/>
      <c r="T78">
        <v>104.68</v>
      </c>
      <c r="U78" s="211">
        <v>0.13109999999999999</v>
      </c>
      <c r="V78" s="78" t="s">
        <v>720</v>
      </c>
      <c r="W78" s="74">
        <v>46223</v>
      </c>
      <c r="X78" s="215"/>
      <c r="Y78" s="17"/>
      <c r="Z78" s="210">
        <v>1.0869565217391304E-3</v>
      </c>
      <c r="AA78" s="86">
        <v>4.7800000000000002E-2</v>
      </c>
      <c r="AB78" s="78">
        <v>0</v>
      </c>
      <c r="AC78" s="86">
        <v>8.1099999999999992E-2</v>
      </c>
      <c r="AD78" s="78">
        <v>0</v>
      </c>
      <c r="AE78" s="78">
        <v>0</v>
      </c>
      <c r="AF78" s="78">
        <v>0</v>
      </c>
      <c r="AG78" s="78">
        <v>0</v>
      </c>
      <c r="AH78" s="78">
        <v>0</v>
      </c>
      <c r="AI78" s="74">
        <v>45749</v>
      </c>
      <c r="AJ78" s="74">
        <v>45749</v>
      </c>
      <c r="AK78" s="74">
        <v>45749</v>
      </c>
      <c r="AL78" s="74">
        <v>45749</v>
      </c>
      <c r="AM78" s="74">
        <v>45749</v>
      </c>
      <c r="AN78" s="74" t="s">
        <v>721</v>
      </c>
      <c r="AO78" t="s">
        <v>1198</v>
      </c>
      <c r="AP78" s="78">
        <v>0</v>
      </c>
      <c r="AQ78" s="78">
        <v>0</v>
      </c>
      <c r="AR78" s="78">
        <v>0</v>
      </c>
      <c r="AS78" s="78">
        <v>1</v>
      </c>
      <c r="AT78" s="149">
        <v>106</v>
      </c>
    </row>
    <row r="79" spans="1:46" ht="14.4" x14ac:dyDescent="0.3">
      <c r="A79" s="149" t="s">
        <v>974</v>
      </c>
      <c r="B79" s="149" t="s">
        <v>975</v>
      </c>
      <c r="C79" s="168" t="s">
        <v>494</v>
      </c>
      <c r="D79" s="78" t="str">
        <f t="shared" si="3"/>
        <v>2023-3</v>
      </c>
      <c r="E79" s="78" t="str">
        <f t="shared" si="4"/>
        <v>Class D</v>
      </c>
      <c r="F79" s="78" t="str">
        <f t="shared" si="5"/>
        <v>2024</v>
      </c>
      <c r="G79"/>
      <c r="H79" s="78" t="s">
        <v>717</v>
      </c>
      <c r="I79" t="s">
        <v>735</v>
      </c>
      <c r="J79"/>
      <c r="K79" t="s">
        <v>493</v>
      </c>
      <c r="L79" s="74">
        <v>45265</v>
      </c>
      <c r="M79" s="74">
        <v>46356</v>
      </c>
      <c r="N79"/>
      <c r="O79" s="78" t="s">
        <v>719</v>
      </c>
      <c r="P79" s="206" cm="1">
        <f t="array" ref="P79:Q79">VLOOKUP(K79,[2]ILS!$A:$K,{10,11},0)</f>
        <v>0</v>
      </c>
      <c r="Q79" s="79">
        <v>500000000</v>
      </c>
      <c r="R79" s="207">
        <v>250000</v>
      </c>
      <c r="S79"/>
      <c r="T79">
        <v>104.34</v>
      </c>
      <c r="U79" s="211">
        <v>0.12590000000000001</v>
      </c>
      <c r="V79" s="78" t="s">
        <v>720</v>
      </c>
      <c r="W79" s="74">
        <v>46223</v>
      </c>
      <c r="X79" s="215"/>
      <c r="Y79" s="17"/>
      <c r="Z79" s="210">
        <v>7.1428571428571429E-4</v>
      </c>
      <c r="AA79" s="86">
        <v>3.0599999999999999E-2</v>
      </c>
      <c r="AB79" s="78">
        <v>0</v>
      </c>
      <c r="AC79" s="86">
        <v>7.5900000000000009E-2</v>
      </c>
      <c r="AD79" s="78">
        <v>0</v>
      </c>
      <c r="AE79" s="78">
        <v>0</v>
      </c>
      <c r="AF79" s="78">
        <v>0</v>
      </c>
      <c r="AG79" s="78">
        <v>0</v>
      </c>
      <c r="AH79" s="78">
        <v>0</v>
      </c>
      <c r="AI79" s="74">
        <v>45749</v>
      </c>
      <c r="AJ79" s="74">
        <v>45749</v>
      </c>
      <c r="AK79" s="74">
        <v>45749</v>
      </c>
      <c r="AL79" s="74">
        <v>45749</v>
      </c>
      <c r="AM79" s="74">
        <v>45749</v>
      </c>
      <c r="AN79" s="74" t="s">
        <v>721</v>
      </c>
      <c r="AO79" t="s">
        <v>1198</v>
      </c>
      <c r="AP79" s="78">
        <v>0</v>
      </c>
      <c r="AQ79" s="78">
        <v>0</v>
      </c>
      <c r="AR79" s="78">
        <v>0</v>
      </c>
      <c r="AS79" s="78">
        <v>1</v>
      </c>
      <c r="AT79" s="149">
        <v>106</v>
      </c>
    </row>
    <row r="80" spans="1:46" ht="14.4" x14ac:dyDescent="0.3">
      <c r="A80" s="149" t="s">
        <v>976</v>
      </c>
      <c r="B80" s="149" t="s">
        <v>977</v>
      </c>
      <c r="C80" s="168" t="s">
        <v>496</v>
      </c>
      <c r="D80" s="78" t="str">
        <f t="shared" si="3"/>
        <v>2023-1</v>
      </c>
      <c r="E80" s="78" t="str">
        <f t="shared" si="4"/>
        <v>Class AA</v>
      </c>
      <c r="F80" s="78" t="str">
        <f t="shared" si="5"/>
        <v>2024</v>
      </c>
      <c r="G80"/>
      <c r="H80" s="78" t="s">
        <v>717</v>
      </c>
      <c r="I80" t="s">
        <v>735</v>
      </c>
      <c r="J80"/>
      <c r="K80" t="s">
        <v>495</v>
      </c>
      <c r="L80" s="74">
        <v>45036</v>
      </c>
      <c r="M80" s="74">
        <v>45991</v>
      </c>
      <c r="N80"/>
      <c r="O80" s="78" t="s">
        <v>719</v>
      </c>
      <c r="P80" s="206" cm="1">
        <f t="array" ref="P80:Q80">VLOOKUP(K80,[2]ILS!$A:$K,{10,11},0)</f>
        <v>0</v>
      </c>
      <c r="Q80" s="79">
        <v>1000000000</v>
      </c>
      <c r="R80" s="207">
        <v>250000</v>
      </c>
      <c r="S80"/>
      <c r="T80">
        <v>100.4</v>
      </c>
      <c r="U80" s="211">
        <v>9.3669559999999999E-2</v>
      </c>
      <c r="V80" s="78" t="s">
        <v>720</v>
      </c>
      <c r="W80" s="74">
        <v>46223</v>
      </c>
      <c r="X80" s="215"/>
      <c r="Y80" s="17"/>
      <c r="Z80" s="210">
        <v>2E-3</v>
      </c>
      <c r="AA80" s="86">
        <v>1.7500000000000002E-2</v>
      </c>
      <c r="AB80" s="78">
        <v>0</v>
      </c>
      <c r="AC80" s="86">
        <v>4.3669559999999996E-2</v>
      </c>
      <c r="AD80" s="78">
        <v>0</v>
      </c>
      <c r="AE80" s="78">
        <v>0</v>
      </c>
      <c r="AF80" s="78">
        <v>0</v>
      </c>
      <c r="AG80" s="78">
        <v>0</v>
      </c>
      <c r="AH80" s="78">
        <v>0</v>
      </c>
      <c r="AI80" s="74">
        <v>45749</v>
      </c>
      <c r="AJ80" s="74">
        <v>45749</v>
      </c>
      <c r="AK80" s="74">
        <v>45749</v>
      </c>
      <c r="AL80" s="74">
        <v>45749</v>
      </c>
      <c r="AM80" s="74">
        <v>45749</v>
      </c>
      <c r="AN80" s="74" t="s">
        <v>721</v>
      </c>
      <c r="AO80" t="s">
        <v>1198</v>
      </c>
      <c r="AP80" s="78">
        <v>0</v>
      </c>
      <c r="AQ80" s="78">
        <v>0</v>
      </c>
      <c r="AR80" s="78">
        <v>0</v>
      </c>
      <c r="AS80" s="78">
        <v>1</v>
      </c>
      <c r="AT80" s="149">
        <v>106</v>
      </c>
    </row>
    <row r="81" spans="1:46" ht="14.4" x14ac:dyDescent="0.3">
      <c r="A81" s="149" t="s">
        <v>1170</v>
      </c>
      <c r="B81" s="149" t="s">
        <v>1171</v>
      </c>
      <c r="C81" s="168" t="s">
        <v>498</v>
      </c>
      <c r="D81" s="78" t="str">
        <f t="shared" si="3"/>
        <v>2023-1</v>
      </c>
      <c r="E81" s="78" t="str">
        <f t="shared" si="4"/>
        <v>Class C</v>
      </c>
      <c r="F81" s="78" t="str">
        <f t="shared" si="5"/>
        <v>2024</v>
      </c>
      <c r="G81"/>
      <c r="H81" s="78" t="s">
        <v>717</v>
      </c>
      <c r="I81" t="s">
        <v>735</v>
      </c>
      <c r="J81"/>
      <c r="K81" t="s">
        <v>497</v>
      </c>
      <c r="L81" s="74">
        <v>45036</v>
      </c>
      <c r="M81" s="74">
        <v>45991</v>
      </c>
      <c r="N81"/>
      <c r="O81" s="78" t="s">
        <v>719</v>
      </c>
      <c r="P81" s="206" cm="1">
        <f t="array" ref="P81:Q81">VLOOKUP(K81,[2]ILS!$A:$K,{10,11},0)</f>
        <v>0</v>
      </c>
      <c r="Q81" s="79">
        <v>500000000</v>
      </c>
      <c r="R81" s="207">
        <v>250000</v>
      </c>
      <c r="S81"/>
      <c r="T81">
        <v>100.65</v>
      </c>
      <c r="U81" s="211">
        <v>0.12116956</v>
      </c>
      <c r="V81" s="78" t="s">
        <v>720</v>
      </c>
      <c r="W81" s="74">
        <v>46223</v>
      </c>
      <c r="X81" s="215"/>
      <c r="Y81" s="17"/>
      <c r="Z81" s="210">
        <v>3.3333333333333335E-3</v>
      </c>
      <c r="AA81" s="86">
        <v>2.18E-2</v>
      </c>
      <c r="AB81" s="78">
        <v>0</v>
      </c>
      <c r="AC81" s="86">
        <v>7.1169559999999993E-2</v>
      </c>
      <c r="AD81" s="78">
        <v>0</v>
      </c>
      <c r="AE81" s="78">
        <v>0</v>
      </c>
      <c r="AF81" s="78">
        <v>0</v>
      </c>
      <c r="AG81" s="78">
        <v>0</v>
      </c>
      <c r="AH81" s="78">
        <v>0</v>
      </c>
      <c r="AI81" s="74">
        <v>45749</v>
      </c>
      <c r="AJ81" s="74">
        <v>45749</v>
      </c>
      <c r="AK81" s="74">
        <v>45749</v>
      </c>
      <c r="AL81" s="74">
        <v>45749</v>
      </c>
      <c r="AM81" s="74">
        <v>45749</v>
      </c>
      <c r="AN81" t="s">
        <v>721</v>
      </c>
      <c r="AO81" t="s">
        <v>1198</v>
      </c>
      <c r="AP81" s="78">
        <v>0</v>
      </c>
      <c r="AQ81" s="78">
        <v>0</v>
      </c>
      <c r="AR81" s="78">
        <v>0</v>
      </c>
      <c r="AS81" s="78">
        <v>1</v>
      </c>
      <c r="AT81" s="149">
        <v>106</v>
      </c>
    </row>
    <row r="82" spans="1:46" ht="14.4" x14ac:dyDescent="0.3">
      <c r="A82" s="149" t="s">
        <v>1172</v>
      </c>
      <c r="B82" s="149" t="s">
        <v>1173</v>
      </c>
      <c r="C82" s="168" t="s">
        <v>500</v>
      </c>
      <c r="D82" s="78" t="str">
        <f t="shared" si="3"/>
        <v>2025-1</v>
      </c>
      <c r="E82" s="78" t="str">
        <f t="shared" si="4"/>
        <v>Class F</v>
      </c>
      <c r="F82" s="78" t="str">
        <f t="shared" si="5"/>
        <v/>
      </c>
      <c r="G82"/>
      <c r="H82" s="78" t="s">
        <v>717</v>
      </c>
      <c r="I82" t="s">
        <v>735</v>
      </c>
      <c r="J82"/>
      <c r="K82" t="s">
        <v>499</v>
      </c>
      <c r="L82" s="74">
        <v>45703</v>
      </c>
      <c r="M82" s="74">
        <v>46797</v>
      </c>
      <c r="N82"/>
      <c r="O82" s="78" t="s">
        <v>719</v>
      </c>
      <c r="P82" s="206" cm="1">
        <f t="array" ref="P82:Q82">VLOOKUP(K82,[2]ILS!$A:$K,{10,11},0)</f>
        <v>0</v>
      </c>
      <c r="Q82" s="79">
        <v>500000000</v>
      </c>
      <c r="R82" s="207">
        <v>250000</v>
      </c>
      <c r="S82"/>
      <c r="T82">
        <v>101.69</v>
      </c>
      <c r="U82" s="211">
        <v>0.11366956</v>
      </c>
      <c r="V82" s="78" t="s">
        <v>720</v>
      </c>
      <c r="W82" s="74">
        <v>46223</v>
      </c>
      <c r="X82" s="215"/>
      <c r="Y82" s="17"/>
      <c r="Z82" s="210">
        <v>6.2500000000000001E-4</v>
      </c>
      <c r="AA82">
        <v>6.6600000000000006E-2</v>
      </c>
      <c r="AB82" s="78">
        <v>0</v>
      </c>
      <c r="AC82" s="86">
        <v>6.366956E-2</v>
      </c>
      <c r="AD82" s="78">
        <v>0</v>
      </c>
      <c r="AE82" s="78">
        <v>0</v>
      </c>
      <c r="AF82" s="78">
        <v>0</v>
      </c>
      <c r="AG82" s="78">
        <v>0</v>
      </c>
      <c r="AH82" s="78">
        <v>0</v>
      </c>
      <c r="AI82" s="74">
        <v>45749</v>
      </c>
      <c r="AJ82" s="74">
        <v>45749</v>
      </c>
      <c r="AK82" s="74">
        <v>45749</v>
      </c>
      <c r="AL82" s="74">
        <v>45749</v>
      </c>
      <c r="AM82" s="74">
        <v>45749</v>
      </c>
      <c r="AN82" t="s">
        <v>721</v>
      </c>
      <c r="AO82" t="s">
        <v>1198</v>
      </c>
      <c r="AP82" s="78">
        <v>0</v>
      </c>
      <c r="AQ82" s="78">
        <v>0</v>
      </c>
      <c r="AR82" s="78">
        <v>0</v>
      </c>
      <c r="AS82" s="78">
        <v>1</v>
      </c>
      <c r="AT82" s="149">
        <v>106</v>
      </c>
    </row>
    <row r="83" spans="1:46" ht="14.4" x14ac:dyDescent="0.3">
      <c r="A83" s="149" t="s">
        <v>1174</v>
      </c>
      <c r="B83" s="149" t="s">
        <v>1175</v>
      </c>
      <c r="C83" s="168" t="s">
        <v>528</v>
      </c>
      <c r="D83" s="78" t="str">
        <f t="shared" si="3"/>
        <v>2023-1</v>
      </c>
      <c r="E83" s="78" t="str">
        <f t="shared" si="4"/>
        <v>Class B</v>
      </c>
      <c r="F83" s="78" t="str">
        <f t="shared" si="5"/>
        <v>2025</v>
      </c>
      <c r="G83"/>
      <c r="H83" s="78" t="s">
        <v>717</v>
      </c>
      <c r="I83" t="s">
        <v>1218</v>
      </c>
      <c r="J83"/>
      <c r="K83" t="s">
        <v>527</v>
      </c>
      <c r="L83" s="74">
        <v>45135</v>
      </c>
      <c r="M83" s="74">
        <v>46230</v>
      </c>
      <c r="N83"/>
      <c r="O83" s="78" t="s">
        <v>719</v>
      </c>
      <c r="P83" s="206" cm="1">
        <f t="array" ref="P83:Q83">VLOOKUP(K83,[2]ILS!$A:$K,{10,11},0)</f>
        <v>0</v>
      </c>
      <c r="Q83" s="79">
        <v>150000000</v>
      </c>
      <c r="R83" s="207">
        <v>250000</v>
      </c>
      <c r="S83"/>
      <c r="T83">
        <v>103.06</v>
      </c>
      <c r="U83" s="211">
        <v>0.10539999999999999</v>
      </c>
      <c r="V83" s="78" t="s">
        <v>720</v>
      </c>
      <c r="W83" s="74">
        <v>46223</v>
      </c>
      <c r="X83" s="215"/>
      <c r="Y83" s="17"/>
      <c r="Z83" s="210">
        <v>1.6666666666666668E-3</v>
      </c>
      <c r="AA83">
        <v>2.69E-2</v>
      </c>
      <c r="AB83" s="78">
        <v>0</v>
      </c>
      <c r="AC83" s="86">
        <v>5.5399999999999991E-2</v>
      </c>
      <c r="AD83" s="78">
        <v>0</v>
      </c>
      <c r="AE83" s="78">
        <v>0</v>
      </c>
      <c r="AF83" s="78">
        <v>0</v>
      </c>
      <c r="AG83" s="78">
        <v>0</v>
      </c>
      <c r="AH83" s="78">
        <v>0</v>
      </c>
      <c r="AI83" s="74">
        <v>45749</v>
      </c>
      <c r="AJ83" s="74">
        <v>45749</v>
      </c>
      <c r="AK83" s="74">
        <v>45749</v>
      </c>
      <c r="AL83" s="74">
        <v>45749</v>
      </c>
      <c r="AM83" s="74">
        <v>45749</v>
      </c>
      <c r="AN83" t="s">
        <v>721</v>
      </c>
      <c r="AO83" t="s">
        <v>1198</v>
      </c>
      <c r="AP83" s="78">
        <v>0</v>
      </c>
      <c r="AQ83" s="78">
        <v>0</v>
      </c>
      <c r="AR83" s="78">
        <v>0</v>
      </c>
      <c r="AS83" s="78">
        <v>1</v>
      </c>
      <c r="AT83" s="149">
        <v>106</v>
      </c>
    </row>
    <row r="84" spans="1:46" ht="14.4" x14ac:dyDescent="0.3">
      <c r="A84" s="149" t="s">
        <v>1182</v>
      </c>
      <c r="B84" s="149" t="s">
        <v>1183</v>
      </c>
      <c r="C84" s="168" t="s">
        <v>593</v>
      </c>
      <c r="D84" s="78" t="str">
        <f t="shared" si="3"/>
        <v>2023-1</v>
      </c>
      <c r="E84" s="78" t="str">
        <f t="shared" si="4"/>
        <v>Class B</v>
      </c>
      <c r="F84" s="78" t="str">
        <f t="shared" si="5"/>
        <v>2025</v>
      </c>
      <c r="G84"/>
      <c r="H84" s="78" t="s">
        <v>717</v>
      </c>
      <c r="I84" t="s">
        <v>735</v>
      </c>
      <c r="J84"/>
      <c r="K84" t="s">
        <v>592</v>
      </c>
      <c r="L84" s="74">
        <v>45091</v>
      </c>
      <c r="M84" s="74">
        <v>46186</v>
      </c>
      <c r="N84"/>
      <c r="O84" s="78" t="s">
        <v>719</v>
      </c>
      <c r="P84" s="206" cm="1">
        <f t="array" ref="P84:Q84">VLOOKUP(K84,[2]ILS!$A:$K,{10,11},0)</f>
        <v>0</v>
      </c>
      <c r="Q84" s="79">
        <v>500000000</v>
      </c>
      <c r="R84" s="207">
        <v>250000</v>
      </c>
      <c r="S84"/>
      <c r="T84">
        <v>102.08</v>
      </c>
      <c r="U84" s="211">
        <v>0.10589999999999999</v>
      </c>
      <c r="V84" s="78" t="s">
        <v>720</v>
      </c>
      <c r="W84" s="74">
        <v>46223</v>
      </c>
      <c r="X84" s="215"/>
      <c r="Y84" s="17"/>
      <c r="Z84" s="210">
        <v>1.1111111111111111E-3</v>
      </c>
      <c r="AA84">
        <v>3.4200000000000001E-2</v>
      </c>
      <c r="AB84" s="78">
        <v>0</v>
      </c>
      <c r="AC84" s="86">
        <v>5.5899999999999991E-2</v>
      </c>
      <c r="AD84" s="78">
        <v>0</v>
      </c>
      <c r="AE84" s="78">
        <v>0</v>
      </c>
      <c r="AF84" s="78">
        <v>0</v>
      </c>
      <c r="AG84" s="78">
        <v>0</v>
      </c>
      <c r="AH84" s="78">
        <v>0</v>
      </c>
      <c r="AI84" s="74">
        <v>45749</v>
      </c>
      <c r="AJ84" s="74">
        <v>45749</v>
      </c>
      <c r="AK84" s="74">
        <v>45749</v>
      </c>
      <c r="AL84" s="74">
        <v>45749</v>
      </c>
      <c r="AM84" s="74">
        <v>45749</v>
      </c>
      <c r="AN84" t="s">
        <v>721</v>
      </c>
      <c r="AO84" t="s">
        <v>1198</v>
      </c>
      <c r="AP84" s="78">
        <v>0</v>
      </c>
      <c r="AQ84" s="78">
        <v>0</v>
      </c>
      <c r="AR84" s="78">
        <v>0</v>
      </c>
      <c r="AS84" s="78">
        <v>1</v>
      </c>
      <c r="AT84" s="149">
        <v>106</v>
      </c>
    </row>
    <row r="85" spans="1:46" ht="14.4" x14ac:dyDescent="0.3">
      <c r="A85" s="149" t="s">
        <v>1184</v>
      </c>
      <c r="B85" s="149" t="s">
        <v>1185</v>
      </c>
      <c r="C85" s="168" t="s">
        <v>595</v>
      </c>
      <c r="D85" s="78" t="str">
        <f t="shared" si="3"/>
        <v>2023-1</v>
      </c>
      <c r="E85" s="78" t="str">
        <f t="shared" si="4"/>
        <v>Class E</v>
      </c>
      <c r="F85" s="78" t="str">
        <f t="shared" si="5"/>
        <v>2025</v>
      </c>
      <c r="G85"/>
      <c r="H85" s="78" t="s">
        <v>717</v>
      </c>
      <c r="I85" t="s">
        <v>735</v>
      </c>
      <c r="J85"/>
      <c r="K85" t="s">
        <v>594</v>
      </c>
      <c r="L85" s="74">
        <v>45091</v>
      </c>
      <c r="M85" s="74">
        <v>46186</v>
      </c>
      <c r="N85"/>
      <c r="O85" s="78" t="s">
        <v>719</v>
      </c>
      <c r="P85" s="206" cm="1">
        <f t="array" ref="P85:Q85">VLOOKUP(K85,[2]ILS!$A:$K,{10,11},0)</f>
        <v>0</v>
      </c>
      <c r="Q85" s="79">
        <v>500000000</v>
      </c>
      <c r="R85" s="207">
        <v>250000</v>
      </c>
      <c r="S85"/>
      <c r="T85">
        <v>102.85</v>
      </c>
      <c r="U85" s="211">
        <v>0.13589999999999999</v>
      </c>
      <c r="V85" s="78" t="s">
        <v>720</v>
      </c>
      <c r="W85" s="74">
        <v>46223</v>
      </c>
      <c r="X85" s="215"/>
      <c r="Y85" s="17"/>
      <c r="Z85" s="210">
        <v>1.25E-3</v>
      </c>
      <c r="AA85">
        <v>5.1200000000000002E-2</v>
      </c>
      <c r="AB85" s="78">
        <v>0</v>
      </c>
      <c r="AC85" s="86">
        <v>8.589999999999999E-2</v>
      </c>
      <c r="AD85" s="78">
        <v>0</v>
      </c>
      <c r="AE85" s="78">
        <v>0</v>
      </c>
      <c r="AF85" s="78">
        <v>0</v>
      </c>
      <c r="AG85" s="78">
        <v>0</v>
      </c>
      <c r="AH85" s="78">
        <v>0</v>
      </c>
      <c r="AI85" s="74">
        <v>45749</v>
      </c>
      <c r="AJ85" s="74">
        <v>45749</v>
      </c>
      <c r="AK85" s="74">
        <v>45749</v>
      </c>
      <c r="AL85" s="74">
        <v>45749</v>
      </c>
      <c r="AM85" s="74">
        <v>45749</v>
      </c>
      <c r="AN85" t="s">
        <v>721</v>
      </c>
      <c r="AO85" t="s">
        <v>1198</v>
      </c>
      <c r="AP85" s="78">
        <v>0</v>
      </c>
      <c r="AQ85" s="78">
        <v>0</v>
      </c>
      <c r="AR85" s="78">
        <v>0</v>
      </c>
      <c r="AS85" s="78">
        <v>1</v>
      </c>
      <c r="AT85" s="149">
        <v>106</v>
      </c>
    </row>
  </sheetData>
  <phoneticPr fontId="19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H6"/>
  <sheetViews>
    <sheetView tabSelected="1" workbookViewId="0">
      <selection activeCell="H2" sqref="H2"/>
    </sheetView>
  </sheetViews>
  <sheetFormatPr defaultRowHeight="14.4" x14ac:dyDescent="0.3"/>
  <cols>
    <col min="1" max="1" width="10" bestFit="1" customWidth="1"/>
    <col min="2" max="2" width="6.88671875" bestFit="1" customWidth="1"/>
    <col min="3" max="3" width="20.77734375" bestFit="1" customWidth="1"/>
    <col min="4" max="5" width="13.6640625" style="198" bestFit="1" customWidth="1"/>
    <col min="6" max="6" width="12.44140625" bestFit="1" customWidth="1"/>
    <col min="7" max="7" width="29.5546875" customWidth="1"/>
    <col min="8" max="8" width="45" bestFit="1" customWidth="1"/>
  </cols>
  <sheetData>
    <row r="1" spans="1:8" x14ac:dyDescent="0.3">
      <c r="A1" t="s">
        <v>769</v>
      </c>
      <c r="B1" t="s">
        <v>978</v>
      </c>
      <c r="C1" t="s">
        <v>771</v>
      </c>
      <c r="D1" s="198" t="s">
        <v>979</v>
      </c>
      <c r="E1" s="198" t="s">
        <v>980</v>
      </c>
      <c r="F1" t="s">
        <v>774</v>
      </c>
      <c r="G1" t="s">
        <v>981</v>
      </c>
      <c r="H1" t="s">
        <v>775</v>
      </c>
    </row>
    <row r="2" spans="1:8" x14ac:dyDescent="0.3">
      <c r="A2">
        <v>102</v>
      </c>
      <c r="B2" t="s">
        <v>777</v>
      </c>
      <c r="C2" t="s">
        <v>1169</v>
      </c>
      <c r="D2" s="212">
        <v>3000000</v>
      </c>
      <c r="E2" s="212">
        <v>2500000</v>
      </c>
      <c r="F2" t="s">
        <v>778</v>
      </c>
      <c r="G2" s="17">
        <v>46224</v>
      </c>
      <c r="H2" t="s">
        <v>1177</v>
      </c>
    </row>
    <row r="3" spans="1:8" x14ac:dyDescent="0.3">
      <c r="A3">
        <v>103</v>
      </c>
      <c r="B3" t="s">
        <v>777</v>
      </c>
      <c r="C3" t="s">
        <v>1169</v>
      </c>
      <c r="D3" s="212">
        <v>4500000</v>
      </c>
      <c r="E3" s="212">
        <v>4000000</v>
      </c>
      <c r="F3" t="s">
        <v>778</v>
      </c>
      <c r="G3" s="17">
        <v>46224</v>
      </c>
      <c r="H3" t="s">
        <v>1176</v>
      </c>
    </row>
    <row r="4" spans="1:8" x14ac:dyDescent="0.3">
      <c r="A4">
        <v>104</v>
      </c>
      <c r="B4" t="s">
        <v>777</v>
      </c>
      <c r="C4" t="s">
        <v>1169</v>
      </c>
      <c r="D4" s="212">
        <v>5250000</v>
      </c>
      <c r="E4" s="212">
        <v>5250000</v>
      </c>
      <c r="F4" t="s">
        <v>778</v>
      </c>
      <c r="G4" s="17">
        <v>46224</v>
      </c>
      <c r="H4" t="s">
        <v>1194</v>
      </c>
    </row>
    <row r="5" spans="1:8" x14ac:dyDescent="0.3">
      <c r="A5">
        <v>105</v>
      </c>
      <c r="B5" t="s">
        <v>777</v>
      </c>
      <c r="C5" t="s">
        <v>1169</v>
      </c>
      <c r="D5" s="198">
        <v>750000</v>
      </c>
      <c r="E5" s="198">
        <v>7250000</v>
      </c>
      <c r="F5" t="s">
        <v>778</v>
      </c>
      <c r="G5" s="17">
        <v>46224</v>
      </c>
      <c r="H5" t="s">
        <v>1195</v>
      </c>
    </row>
    <row r="6" spans="1:8" x14ac:dyDescent="0.3">
      <c r="A6">
        <v>106</v>
      </c>
      <c r="B6" t="s">
        <v>777</v>
      </c>
      <c r="C6" t="s">
        <v>1169</v>
      </c>
      <c r="D6" s="198">
        <v>3750000</v>
      </c>
      <c r="E6" s="198">
        <v>3750000</v>
      </c>
      <c r="F6" t="s">
        <v>778</v>
      </c>
      <c r="G6" s="17">
        <v>46224</v>
      </c>
      <c r="H6" t="s">
        <v>1217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M2"/>
  <sheetViews>
    <sheetView workbookViewId="0">
      <selection activeCell="H21" sqref="H21"/>
    </sheetView>
  </sheetViews>
  <sheetFormatPr defaultRowHeight="14.4" x14ac:dyDescent="0.3"/>
  <cols>
    <col min="1" max="1" width="16.6640625" bestFit="1" customWidth="1"/>
    <col min="2" max="2" width="5.5546875" bestFit="1" customWidth="1"/>
    <col min="3" max="3" width="13.109375" bestFit="1" customWidth="1"/>
    <col min="4" max="4" width="12.109375" bestFit="1" customWidth="1"/>
    <col min="5" max="5" width="19.109375" bestFit="1" customWidth="1"/>
    <col min="6" max="6" width="6.109375" bestFit="1" customWidth="1"/>
    <col min="7" max="7" width="14.33203125" bestFit="1" customWidth="1"/>
    <col min="8" max="8" width="16.44140625" bestFit="1" customWidth="1"/>
    <col min="9" max="9" width="11.33203125" bestFit="1" customWidth="1"/>
    <col min="10" max="10" width="13.5546875" bestFit="1" customWidth="1"/>
    <col min="11" max="11" width="24" bestFit="1" customWidth="1"/>
    <col min="12" max="12" width="26.44140625" bestFit="1" customWidth="1"/>
    <col min="13" max="13" width="21.88671875" bestFit="1" customWidth="1"/>
  </cols>
  <sheetData>
    <row r="1" spans="1:13" ht="15" customHeight="1" thickBot="1" x14ac:dyDescent="0.35">
      <c r="A1" s="27" t="s">
        <v>982</v>
      </c>
      <c r="B1" s="28" t="s">
        <v>983</v>
      </c>
      <c r="C1" s="28" t="s">
        <v>984</v>
      </c>
      <c r="D1" s="28" t="s">
        <v>985</v>
      </c>
      <c r="E1" s="28" t="s">
        <v>986</v>
      </c>
      <c r="F1" s="28" t="s">
        <v>987</v>
      </c>
      <c r="G1" s="28" t="s">
        <v>988</v>
      </c>
      <c r="H1" s="28" t="s">
        <v>989</v>
      </c>
      <c r="I1" s="29" t="s">
        <v>990</v>
      </c>
      <c r="J1" s="28" t="s">
        <v>991</v>
      </c>
      <c r="K1" s="28" t="s">
        <v>992</v>
      </c>
      <c r="L1" s="28" t="s">
        <v>993</v>
      </c>
      <c r="M1" s="29" t="s">
        <v>994</v>
      </c>
    </row>
    <row r="2" spans="1:13" ht="15" customHeight="1" thickBot="1" x14ac:dyDescent="0.35">
      <c r="A2" s="76">
        <v>1.2E-2</v>
      </c>
      <c r="B2" s="23">
        <v>0</v>
      </c>
      <c r="C2" s="23">
        <v>0</v>
      </c>
      <c r="D2" s="24">
        <v>0</v>
      </c>
      <c r="E2" s="25">
        <v>0</v>
      </c>
      <c r="F2" s="73">
        <v>0</v>
      </c>
      <c r="G2" s="26">
        <v>0</v>
      </c>
      <c r="H2" s="75">
        <v>3.8E-3</v>
      </c>
      <c r="I2" s="13" t="s">
        <v>995</v>
      </c>
      <c r="J2" s="73">
        <v>3.8699999999999998E-2</v>
      </c>
      <c r="K2" s="26">
        <v>0</v>
      </c>
      <c r="L2" s="26">
        <v>0</v>
      </c>
      <c r="M2" s="77">
        <v>0</v>
      </c>
    </row>
  </sheetData>
  <pageMargins left="0.7" right="0.7" top="0.75" bottom="0.75" header="0.3" footer="0.3"/>
  <pageSetup orientation="portrait" horizontalDpi="90" verticalDpi="9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F11"/>
  <sheetViews>
    <sheetView zoomScaleNormal="100" workbookViewId="0">
      <selection activeCell="C1" sqref="C1"/>
    </sheetView>
  </sheetViews>
  <sheetFormatPr defaultColWidth="24.6640625" defaultRowHeight="14.4" x14ac:dyDescent="0.3"/>
  <cols>
    <col min="1" max="1" width="10" bestFit="1" customWidth="1"/>
    <col min="2" max="2" width="29.109375" bestFit="1" customWidth="1"/>
    <col min="3" max="3" width="57.5546875" bestFit="1" customWidth="1"/>
    <col min="4" max="4" width="21.44140625" customWidth="1"/>
    <col min="5" max="5" width="35.109375" customWidth="1"/>
  </cols>
  <sheetData>
    <row r="1" spans="1:6" x14ac:dyDescent="0.3">
      <c r="A1" s="1" t="s">
        <v>996</v>
      </c>
      <c r="B1" s="1" t="s">
        <v>997</v>
      </c>
      <c r="C1" s="1" t="s">
        <v>998</v>
      </c>
      <c r="D1" s="1" t="s">
        <v>999</v>
      </c>
      <c r="E1" s="1" t="s">
        <v>702</v>
      </c>
      <c r="F1" s="1"/>
    </row>
    <row r="2" spans="1:6" x14ac:dyDescent="0.3">
      <c r="A2" s="21">
        <v>270132852</v>
      </c>
      <c r="B2" t="s">
        <v>1000</v>
      </c>
      <c r="C2" t="s">
        <v>308</v>
      </c>
      <c r="D2" s="44">
        <v>1</v>
      </c>
    </row>
    <row r="3" spans="1:6" x14ac:dyDescent="0.3">
      <c r="A3" s="21">
        <v>270132852</v>
      </c>
      <c r="B3" t="s">
        <v>1000</v>
      </c>
      <c r="C3" t="s">
        <v>542</v>
      </c>
      <c r="D3" s="44">
        <v>1</v>
      </c>
    </row>
    <row r="4" spans="1:6" x14ac:dyDescent="0.3">
      <c r="A4" s="21">
        <v>270132852</v>
      </c>
      <c r="B4" t="s">
        <v>1000</v>
      </c>
      <c r="C4" t="s">
        <v>282</v>
      </c>
      <c r="D4" s="44">
        <v>1</v>
      </c>
    </row>
    <row r="5" spans="1:6" x14ac:dyDescent="0.3">
      <c r="A5" s="21">
        <v>270132852</v>
      </c>
      <c r="B5" t="s">
        <v>1000</v>
      </c>
      <c r="C5" t="s">
        <v>398</v>
      </c>
      <c r="D5" s="44">
        <v>1</v>
      </c>
    </row>
    <row r="6" spans="1:6" x14ac:dyDescent="0.3">
      <c r="A6" s="21">
        <v>270132852</v>
      </c>
      <c r="B6" t="s">
        <v>1000</v>
      </c>
      <c r="C6" t="s">
        <v>492</v>
      </c>
      <c r="D6" s="44">
        <v>1</v>
      </c>
    </row>
    <row r="7" spans="1:6" x14ac:dyDescent="0.3">
      <c r="A7" s="21">
        <v>270132852</v>
      </c>
      <c r="B7" t="s">
        <v>1000</v>
      </c>
      <c r="C7" t="s">
        <v>260</v>
      </c>
      <c r="D7" s="44">
        <v>1</v>
      </c>
    </row>
    <row r="8" spans="1:6" x14ac:dyDescent="0.3">
      <c r="A8" s="21">
        <v>270132852</v>
      </c>
      <c r="B8" t="s">
        <v>1000</v>
      </c>
      <c r="C8" t="s">
        <v>538</v>
      </c>
      <c r="D8" s="44">
        <v>1</v>
      </c>
    </row>
    <row r="9" spans="1:6" x14ac:dyDescent="0.3">
      <c r="A9" s="21">
        <v>270132852</v>
      </c>
      <c r="B9" t="s">
        <v>1000</v>
      </c>
      <c r="C9" t="s">
        <v>458</v>
      </c>
      <c r="D9" s="44">
        <v>1</v>
      </c>
    </row>
    <row r="10" spans="1:6" x14ac:dyDescent="0.3">
      <c r="A10" s="21">
        <v>270132852</v>
      </c>
      <c r="B10" t="s">
        <v>1000</v>
      </c>
      <c r="C10" t="s">
        <v>137</v>
      </c>
      <c r="D10" s="44">
        <v>1</v>
      </c>
    </row>
    <row r="11" spans="1:6" x14ac:dyDescent="0.3">
      <c r="A11" s="21">
        <v>270132852</v>
      </c>
      <c r="B11" t="s">
        <v>1000</v>
      </c>
      <c r="C11" t="s">
        <v>422</v>
      </c>
      <c r="D11" s="44">
        <v>1</v>
      </c>
    </row>
  </sheetData>
  <dataValidations count="1">
    <dataValidation type="list" allowBlank="1" showInputMessage="1" showErrorMessage="1" sqref="A2:A1048576" xr:uid="{00000000-0002-0000-0800-000000000000}">
      <formula1>#REF!</formula1>
    </dataValidation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T89"/>
  <sheetViews>
    <sheetView workbookViewId="0"/>
  </sheetViews>
  <sheetFormatPr defaultColWidth="9.109375" defaultRowHeight="14.4" x14ac:dyDescent="0.3"/>
  <cols>
    <col min="1" max="1" width="14.5546875" bestFit="1" customWidth="1"/>
    <col min="2" max="2" width="61.44140625" bestFit="1" customWidth="1"/>
    <col min="3" max="3" width="10.88671875" bestFit="1" customWidth="1"/>
    <col min="5" max="5" width="9" bestFit="1" customWidth="1"/>
    <col min="6" max="6" width="12.88671875" bestFit="1" customWidth="1"/>
    <col min="11" max="11" width="29.44140625" customWidth="1"/>
  </cols>
  <sheetData>
    <row r="1" spans="1:20" ht="15" customHeight="1" thickBot="1" x14ac:dyDescent="0.35">
      <c r="A1" s="217" t="s">
        <v>1001</v>
      </c>
      <c r="B1" s="217" t="s">
        <v>1002</v>
      </c>
      <c r="C1" s="217" t="s">
        <v>1003</v>
      </c>
      <c r="D1" s="217" t="s">
        <v>1004</v>
      </c>
      <c r="E1" s="217" t="s">
        <v>1005</v>
      </c>
      <c r="F1" s="217" t="s">
        <v>1006</v>
      </c>
      <c r="J1" s="38" t="s">
        <v>1007</v>
      </c>
      <c r="K1" s="39"/>
      <c r="L1" s="33" t="s">
        <v>1008</v>
      </c>
      <c r="M1" s="40" t="s">
        <v>1009</v>
      </c>
      <c r="N1" s="41" t="s">
        <v>1010</v>
      </c>
      <c r="P1" s="38" t="s">
        <v>1011</v>
      </c>
      <c r="Q1" s="39" t="s">
        <v>783</v>
      </c>
      <c r="R1" s="42" t="s">
        <v>1008</v>
      </c>
      <c r="S1" s="42" t="s">
        <v>1009</v>
      </c>
      <c r="T1" s="43" t="s">
        <v>1010</v>
      </c>
    </row>
    <row r="2" spans="1:20" x14ac:dyDescent="0.3">
      <c r="A2" s="70" t="s">
        <v>1012</v>
      </c>
      <c r="B2" s="70" t="s">
        <v>1013</v>
      </c>
      <c r="C2" s="70"/>
      <c r="D2" s="70">
        <f>IF([3]BoundPortfolio!$A$2=1,[3]Guidelines!L12,[3]Guidelines!R12)</f>
        <v>0.15</v>
      </c>
      <c r="E2" s="70"/>
      <c r="F2" s="70"/>
      <c r="K2" s="5" t="s">
        <v>817</v>
      </c>
      <c r="L2" s="44">
        <v>0.05</v>
      </c>
      <c r="M2" s="45">
        <v>0</v>
      </c>
      <c r="N2" s="46">
        <v>0.5</v>
      </c>
      <c r="Q2" s="5" t="s">
        <v>817</v>
      </c>
      <c r="R2" s="45">
        <v>7.4999999999999997E-2</v>
      </c>
      <c r="S2" s="45">
        <v>0</v>
      </c>
      <c r="T2" s="47">
        <v>0.5</v>
      </c>
    </row>
    <row r="3" spans="1:20" x14ac:dyDescent="0.3">
      <c r="A3" s="70" t="s">
        <v>1012</v>
      </c>
      <c r="B3" s="70" t="s">
        <v>1014</v>
      </c>
      <c r="C3" s="70"/>
      <c r="D3" s="70">
        <f>IF([3]BoundPortfolio!$A$2=1,[3]Guidelines!L13,[3]Guidelines!R13)</f>
        <v>0.3</v>
      </c>
      <c r="E3" s="70"/>
      <c r="F3" s="70"/>
      <c r="K3" s="5" t="s">
        <v>1015</v>
      </c>
      <c r="L3" s="48">
        <v>2.5000000000000001E-2</v>
      </c>
      <c r="M3" s="45">
        <v>0</v>
      </c>
      <c r="N3" s="46">
        <v>0.3</v>
      </c>
      <c r="Q3" s="5" t="s">
        <v>1015</v>
      </c>
      <c r="R3" s="45">
        <v>0.05</v>
      </c>
      <c r="S3" s="45">
        <v>0</v>
      </c>
      <c r="T3" s="47">
        <v>0.3</v>
      </c>
    </row>
    <row r="4" spans="1:20" x14ac:dyDescent="0.3">
      <c r="A4" s="70" t="s">
        <v>679</v>
      </c>
      <c r="B4" s="70" t="s">
        <v>718</v>
      </c>
      <c r="C4" s="70"/>
      <c r="D4" s="70">
        <v>0.3</v>
      </c>
      <c r="E4" s="70"/>
      <c r="F4" s="70"/>
      <c r="K4" s="5" t="s">
        <v>1016</v>
      </c>
      <c r="L4" s="44">
        <v>0.4</v>
      </c>
      <c r="M4" s="45">
        <v>0</v>
      </c>
      <c r="N4" s="46">
        <v>0.7</v>
      </c>
      <c r="Q4" s="5" t="s">
        <v>1016</v>
      </c>
      <c r="R4" s="45">
        <v>0.4</v>
      </c>
      <c r="S4" s="45">
        <v>0</v>
      </c>
      <c r="T4" s="47">
        <v>0.7</v>
      </c>
    </row>
    <row r="5" spans="1:20" x14ac:dyDescent="0.3">
      <c r="A5" s="70" t="s">
        <v>679</v>
      </c>
      <c r="B5" s="70" t="s">
        <v>725</v>
      </c>
      <c r="C5" s="70"/>
      <c r="D5" s="70">
        <v>0.3</v>
      </c>
      <c r="E5" s="70"/>
      <c r="F5" s="70"/>
      <c r="K5" s="5" t="s">
        <v>1018</v>
      </c>
      <c r="L5" s="44">
        <v>0.4</v>
      </c>
      <c r="M5" s="45">
        <v>0</v>
      </c>
      <c r="N5" s="46">
        <v>0.7</v>
      </c>
      <c r="Q5" s="5" t="s">
        <v>1018</v>
      </c>
      <c r="R5" s="45">
        <v>0.4</v>
      </c>
      <c r="S5" s="45">
        <v>0</v>
      </c>
      <c r="T5" s="47">
        <v>0.7</v>
      </c>
    </row>
    <row r="6" spans="1:20" x14ac:dyDescent="0.3">
      <c r="A6" s="70" t="s">
        <v>679</v>
      </c>
      <c r="B6" s="70" t="s">
        <v>730</v>
      </c>
      <c r="C6" s="70"/>
      <c r="D6" s="70">
        <v>0.3</v>
      </c>
      <c r="E6" s="70"/>
      <c r="F6" s="70"/>
      <c r="K6" s="5" t="s">
        <v>1019</v>
      </c>
      <c r="L6" s="44">
        <v>0.05</v>
      </c>
      <c r="M6" s="45">
        <v>0</v>
      </c>
      <c r="N6" s="46">
        <v>0.3</v>
      </c>
      <c r="Q6" s="5" t="s">
        <v>1019</v>
      </c>
      <c r="R6" s="45">
        <v>0.1</v>
      </c>
      <c r="S6" s="45">
        <v>0</v>
      </c>
      <c r="T6" s="47">
        <v>0.5</v>
      </c>
    </row>
    <row r="7" spans="1:20" x14ac:dyDescent="0.3">
      <c r="A7" s="70" t="s">
        <v>679</v>
      </c>
      <c r="B7" s="70" t="s">
        <v>731</v>
      </c>
      <c r="C7" s="70"/>
      <c r="D7" s="70">
        <v>0.3</v>
      </c>
      <c r="E7" s="70"/>
      <c r="F7" s="70"/>
      <c r="K7" s="5" t="s">
        <v>1020</v>
      </c>
      <c r="L7" s="44">
        <v>0.1</v>
      </c>
      <c r="M7" s="45">
        <v>0.1</v>
      </c>
      <c r="N7" s="49">
        <v>0.75</v>
      </c>
      <c r="Q7" s="5" t="s">
        <v>1020</v>
      </c>
      <c r="R7" s="45">
        <v>0.1</v>
      </c>
      <c r="S7" s="45">
        <v>0.1</v>
      </c>
      <c r="T7" s="47">
        <v>0.75</v>
      </c>
    </row>
    <row r="8" spans="1:20" x14ac:dyDescent="0.3">
      <c r="A8" s="70" t="s">
        <v>679</v>
      </c>
      <c r="B8" s="70" t="s">
        <v>735</v>
      </c>
      <c r="C8" s="70"/>
      <c r="D8" s="70">
        <v>0.3</v>
      </c>
      <c r="E8" s="70"/>
      <c r="F8" s="70"/>
      <c r="K8" s="5" t="s">
        <v>1017</v>
      </c>
      <c r="L8" s="44">
        <v>0.1</v>
      </c>
      <c r="M8" s="45">
        <v>-0.3</v>
      </c>
      <c r="N8" s="50">
        <v>0.15</v>
      </c>
      <c r="Q8" s="5" t="s">
        <v>1017</v>
      </c>
      <c r="R8" s="45">
        <v>0.1</v>
      </c>
      <c r="S8" s="45">
        <v>-0.3</v>
      </c>
      <c r="T8" s="47">
        <v>0.15</v>
      </c>
    </row>
    <row r="9" spans="1:20" ht="15" customHeight="1" thickBot="1" x14ac:dyDescent="0.35">
      <c r="A9" s="70" t="s">
        <v>679</v>
      </c>
      <c r="B9" s="70" t="s">
        <v>736</v>
      </c>
      <c r="C9" s="70"/>
      <c r="D9" s="70">
        <v>0.3</v>
      </c>
      <c r="E9" s="70"/>
      <c r="F9" s="70"/>
      <c r="K9" s="6" t="s">
        <v>666</v>
      </c>
      <c r="L9" s="12"/>
      <c r="M9" s="51">
        <v>2.5000000000000001E-2</v>
      </c>
      <c r="N9" s="13"/>
      <c r="Q9" s="6" t="s">
        <v>666</v>
      </c>
      <c r="R9" s="51"/>
      <c r="S9" s="51">
        <v>2.5000000000000001E-2</v>
      </c>
      <c r="T9" s="52"/>
    </row>
    <row r="10" spans="1:20" x14ac:dyDescent="0.3">
      <c r="A10" s="70" t="s">
        <v>679</v>
      </c>
      <c r="B10" s="70" t="s">
        <v>737</v>
      </c>
      <c r="C10" s="70"/>
      <c r="D10" s="70">
        <v>0.3</v>
      </c>
      <c r="E10" s="70"/>
      <c r="F10" s="70"/>
      <c r="L10" s="45"/>
      <c r="M10" s="45"/>
      <c r="N10" s="45"/>
      <c r="R10" s="45"/>
      <c r="S10" s="45"/>
      <c r="T10" s="45"/>
    </row>
    <row r="11" spans="1:20" ht="15" customHeight="1" thickBot="1" x14ac:dyDescent="0.35">
      <c r="A11" s="70" t="s">
        <v>679</v>
      </c>
      <c r="B11" s="70" t="s">
        <v>738</v>
      </c>
      <c r="C11" s="70"/>
      <c r="D11" s="70">
        <v>0.3</v>
      </c>
      <c r="E11" s="70"/>
      <c r="F11" s="70"/>
      <c r="K11" t="s">
        <v>1022</v>
      </c>
      <c r="L11" t="s">
        <v>1023</v>
      </c>
      <c r="Q11" t="s">
        <v>1024</v>
      </c>
      <c r="R11" s="45" t="s">
        <v>1023</v>
      </c>
      <c r="S11" s="45"/>
      <c r="T11" s="45"/>
    </row>
    <row r="12" spans="1:20" x14ac:dyDescent="0.3">
      <c r="A12" s="70" t="s">
        <v>679</v>
      </c>
      <c r="B12" s="70" t="s">
        <v>739</v>
      </c>
      <c r="C12" s="70"/>
      <c r="D12" s="70">
        <v>0.3</v>
      </c>
      <c r="E12" s="70"/>
      <c r="F12" s="70"/>
      <c r="K12" s="18" t="s">
        <v>1013</v>
      </c>
      <c r="L12" s="53">
        <v>0.15</v>
      </c>
      <c r="Q12" s="18" t="s">
        <v>1013</v>
      </c>
      <c r="R12" s="54">
        <v>0.15</v>
      </c>
      <c r="S12" s="45"/>
      <c r="T12" s="45"/>
    </row>
    <row r="13" spans="1:20" ht="15" customHeight="1" thickBot="1" x14ac:dyDescent="0.35">
      <c r="A13" s="70" t="s">
        <v>679</v>
      </c>
      <c r="B13" s="70" t="s">
        <v>740</v>
      </c>
      <c r="C13" s="70"/>
      <c r="D13" s="70">
        <f>IF([3]BoundPortfolio!$A$2=1,[3]Guidelines!L16,[3]Guidelines!R16)</f>
        <v>0.15</v>
      </c>
      <c r="E13" s="70"/>
      <c r="F13" s="70"/>
      <c r="K13" s="6" t="s">
        <v>1014</v>
      </c>
      <c r="L13" s="55">
        <v>0.3</v>
      </c>
      <c r="Q13" s="6" t="s">
        <v>1014</v>
      </c>
      <c r="R13" s="52">
        <v>0.3</v>
      </c>
      <c r="S13" s="45"/>
      <c r="T13" s="45"/>
    </row>
    <row r="14" spans="1:20" ht="15" customHeight="1" thickBot="1" x14ac:dyDescent="0.35">
      <c r="A14" s="70" t="s">
        <v>679</v>
      </c>
      <c r="B14" s="70" t="s">
        <v>1017</v>
      </c>
      <c r="C14" s="70"/>
      <c r="D14" s="70">
        <f>IF([3]BoundPortfolio!$A$2=1,[3]Guidelines!L17,[3]Guidelines!R17)</f>
        <v>0.15</v>
      </c>
      <c r="E14" s="70"/>
      <c r="F14" s="70"/>
      <c r="L14" s="44"/>
      <c r="R14" s="45"/>
      <c r="S14" s="45"/>
      <c r="T14" s="45"/>
    </row>
    <row r="15" spans="1:20" x14ac:dyDescent="0.3">
      <c r="A15" s="70" t="s">
        <v>679</v>
      </c>
      <c r="B15" s="70" t="s">
        <v>1015</v>
      </c>
      <c r="C15" s="70"/>
      <c r="D15" s="70">
        <f>IF([3]BoundPortfolio!$A$2=1,[3]Guidelines!L18,[3]Guidelines!R18)</f>
        <v>0.15</v>
      </c>
      <c r="E15" s="70"/>
      <c r="F15" s="70"/>
      <c r="K15" s="39" t="s">
        <v>1026</v>
      </c>
      <c r="L15" s="53" t="s">
        <v>1023</v>
      </c>
      <c r="Q15" s="39" t="s">
        <v>1026</v>
      </c>
      <c r="R15" s="43" t="s">
        <v>1023</v>
      </c>
      <c r="S15" s="45"/>
      <c r="T15" s="45"/>
    </row>
    <row r="16" spans="1:20" x14ac:dyDescent="0.3">
      <c r="A16" s="70" t="s">
        <v>679</v>
      </c>
      <c r="B16" s="70" t="s">
        <v>1016</v>
      </c>
      <c r="C16" s="70"/>
      <c r="D16" s="70">
        <f>IF([3]BoundPortfolio!$A$2=1,[3]Guidelines!L19,[3]Guidelines!R19)</f>
        <v>0.3</v>
      </c>
      <c r="E16" s="70"/>
      <c r="F16" s="70"/>
      <c r="K16" s="5" t="s">
        <v>817</v>
      </c>
      <c r="L16" s="49">
        <v>0.1</v>
      </c>
      <c r="Q16" s="5" t="s">
        <v>817</v>
      </c>
      <c r="R16" s="47">
        <v>0.15</v>
      </c>
      <c r="S16" s="45"/>
      <c r="T16" s="45"/>
    </row>
    <row r="17" spans="1:20" x14ac:dyDescent="0.3">
      <c r="A17" s="70" t="s">
        <v>679</v>
      </c>
      <c r="B17" s="70" t="s">
        <v>1019</v>
      </c>
      <c r="C17" s="70"/>
      <c r="D17" s="70">
        <f>IF([3]BoundPortfolio!$A$2=1,[3]Guidelines!L20,[3]Guidelines!R20)</f>
        <v>0.3</v>
      </c>
      <c r="E17" s="70"/>
      <c r="F17" s="70"/>
      <c r="K17" s="5" t="s">
        <v>1017</v>
      </c>
      <c r="L17" s="49">
        <v>0.3</v>
      </c>
      <c r="Q17" s="5" t="s">
        <v>1017</v>
      </c>
      <c r="R17" s="47">
        <v>0.15</v>
      </c>
      <c r="S17" s="45"/>
      <c r="T17" s="45"/>
    </row>
    <row r="18" spans="1:20" x14ac:dyDescent="0.3">
      <c r="A18" s="70" t="s">
        <v>679</v>
      </c>
      <c r="B18" s="70" t="s">
        <v>1018</v>
      </c>
      <c r="C18" s="70"/>
      <c r="D18" s="70">
        <f>IF([3]BoundPortfolio!$A$2=1,[3]Guidelines!L21,[3]Guidelines!R21)</f>
        <v>0.15</v>
      </c>
      <c r="E18" s="70"/>
      <c r="F18" s="70"/>
      <c r="K18" s="5" t="s">
        <v>1015</v>
      </c>
      <c r="L18" s="49">
        <v>0.3</v>
      </c>
      <c r="Q18" s="5" t="s">
        <v>1015</v>
      </c>
      <c r="R18" s="47">
        <v>0.15</v>
      </c>
      <c r="S18" s="45"/>
      <c r="T18" s="45"/>
    </row>
    <row r="19" spans="1:20" x14ac:dyDescent="0.3">
      <c r="A19" s="70" t="s">
        <v>679</v>
      </c>
      <c r="B19" s="70" t="s">
        <v>1021</v>
      </c>
      <c r="C19" s="70"/>
      <c r="D19" s="70">
        <f>IF([3]BoundPortfolio!$A$2=1,[3]Guidelines!L22,[3]Guidelines!R22)</f>
        <v>0.3</v>
      </c>
      <c r="E19" s="70"/>
      <c r="F19" s="70"/>
      <c r="K19" s="5" t="s">
        <v>1016</v>
      </c>
      <c r="L19" s="49">
        <v>0.3</v>
      </c>
      <c r="Q19" s="5" t="s">
        <v>1016</v>
      </c>
      <c r="R19" s="47">
        <v>0.3</v>
      </c>
      <c r="S19" s="45"/>
      <c r="T19" s="45"/>
    </row>
    <row r="20" spans="1:20" x14ac:dyDescent="0.3">
      <c r="A20" s="70" t="s">
        <v>679</v>
      </c>
      <c r="B20" s="70" t="s">
        <v>1020</v>
      </c>
      <c r="C20" s="70"/>
      <c r="D20" s="70">
        <f>IF([3]BoundPortfolio!$A$2=1,[3]Guidelines!L23,[3]Guidelines!R23)</f>
        <v>0.3</v>
      </c>
      <c r="E20" s="70"/>
      <c r="F20" s="70"/>
      <c r="K20" s="5" t="s">
        <v>1019</v>
      </c>
      <c r="L20" s="49">
        <v>0.3</v>
      </c>
      <c r="Q20" s="5" t="s">
        <v>1020</v>
      </c>
      <c r="R20" s="47">
        <v>0.3</v>
      </c>
      <c r="S20" s="45"/>
      <c r="T20" s="45"/>
    </row>
    <row r="21" spans="1:20" x14ac:dyDescent="0.3">
      <c r="A21" s="70" t="s">
        <v>1025</v>
      </c>
      <c r="B21" s="70" t="s">
        <v>817</v>
      </c>
      <c r="C21" s="70"/>
      <c r="D21" s="70">
        <f>IF([3]BoundPortfolio!$A$2=1,[3]Guidelines!L2,[3]Guidelines!R2)</f>
        <v>7.4999999999999997E-2</v>
      </c>
      <c r="E21" s="70"/>
      <c r="F21" s="70"/>
      <c r="K21" s="5" t="s">
        <v>1018</v>
      </c>
      <c r="L21" s="49">
        <v>0.3</v>
      </c>
      <c r="Q21" s="5" t="s">
        <v>1019</v>
      </c>
      <c r="R21" s="47">
        <v>0.15</v>
      </c>
      <c r="S21" s="45"/>
      <c r="T21" s="45"/>
    </row>
    <row r="22" spans="1:20" x14ac:dyDescent="0.3">
      <c r="A22" s="70" t="s">
        <v>1025</v>
      </c>
      <c r="B22" s="70" t="s">
        <v>1015</v>
      </c>
      <c r="C22" s="70"/>
      <c r="D22" s="70">
        <f>IF([3]BoundPortfolio!$A$2=1,[3]Guidelines!L3,[3]Guidelines!R3)</f>
        <v>0.05</v>
      </c>
      <c r="E22" s="70"/>
      <c r="F22" s="70"/>
      <c r="K22" s="5" t="s">
        <v>1021</v>
      </c>
      <c r="L22" s="49">
        <v>0.3</v>
      </c>
      <c r="Q22" s="5" t="s">
        <v>1021</v>
      </c>
      <c r="R22" s="47">
        <v>0.3</v>
      </c>
      <c r="S22" s="45"/>
      <c r="T22" s="45"/>
    </row>
    <row r="23" spans="1:20" ht="15" customHeight="1" thickBot="1" x14ac:dyDescent="0.35">
      <c r="A23" s="70" t="s">
        <v>1025</v>
      </c>
      <c r="B23" s="70" t="s">
        <v>1016</v>
      </c>
      <c r="C23" s="70"/>
      <c r="D23" s="70">
        <f>IF([3]BoundPortfolio!$A$2=1,[3]Guidelines!L4,[3]Guidelines!R4)</f>
        <v>0.4</v>
      </c>
      <c r="E23" s="70"/>
      <c r="F23" s="70"/>
      <c r="K23" s="6" t="s">
        <v>1020</v>
      </c>
      <c r="L23" s="56">
        <v>0.3</v>
      </c>
      <c r="M23" s="45"/>
      <c r="N23" s="45"/>
      <c r="Q23" s="6" t="s">
        <v>1018</v>
      </c>
      <c r="R23" s="52">
        <v>0.3</v>
      </c>
      <c r="S23" s="45"/>
      <c r="T23" s="40"/>
    </row>
    <row r="24" spans="1:20" ht="15" customHeight="1" thickBot="1" x14ac:dyDescent="0.35">
      <c r="A24" s="70" t="s">
        <v>1025</v>
      </c>
      <c r="B24" s="70" t="s">
        <v>1018</v>
      </c>
      <c r="C24" s="70"/>
      <c r="D24" s="70">
        <f>IF([3]BoundPortfolio!$A$2=1,[3]Guidelines!L5,[3]Guidelines!R5)</f>
        <v>0.4</v>
      </c>
      <c r="E24" s="70"/>
      <c r="F24" s="70"/>
      <c r="L24" s="45"/>
      <c r="M24" s="45"/>
      <c r="N24" s="45"/>
      <c r="R24" s="45"/>
      <c r="S24" s="45"/>
      <c r="T24" s="45"/>
    </row>
    <row r="25" spans="1:20" x14ac:dyDescent="0.3">
      <c r="A25" s="70" t="s">
        <v>1025</v>
      </c>
      <c r="B25" s="70" t="s">
        <v>1019</v>
      </c>
      <c r="C25" s="70"/>
      <c r="D25" s="70">
        <f>IF([3]BoundPortfolio!$A$2=1,[3]Guidelines!L6,[3]Guidelines!R6)</f>
        <v>0.1</v>
      </c>
      <c r="E25" s="70"/>
      <c r="F25" s="70"/>
      <c r="K25" s="18"/>
      <c r="L25" s="42" t="s">
        <v>1035</v>
      </c>
      <c r="M25" s="43" t="s">
        <v>1036</v>
      </c>
      <c r="N25" s="40"/>
      <c r="Q25" s="18"/>
      <c r="R25" s="42" t="s">
        <v>1035</v>
      </c>
      <c r="S25" s="43" t="s">
        <v>1036</v>
      </c>
      <c r="T25" s="45"/>
    </row>
    <row r="26" spans="1:20" ht="15" customHeight="1" thickBot="1" x14ac:dyDescent="0.35">
      <c r="A26" s="70" t="s">
        <v>1025</v>
      </c>
      <c r="B26" s="70" t="s">
        <v>1020</v>
      </c>
      <c r="C26" s="70"/>
      <c r="D26" s="70">
        <f>IF([3]BoundPortfolio!$A$2=1,[3]Guidelines!L7,[3]Guidelines!R7)</f>
        <v>0.1</v>
      </c>
      <c r="E26" s="70"/>
      <c r="F26" s="70"/>
      <c r="K26" s="5"/>
      <c r="L26" s="40" t="s">
        <v>1038</v>
      </c>
      <c r="M26" s="57" t="s">
        <v>1039</v>
      </c>
      <c r="N26" s="40"/>
      <c r="Q26" s="58" t="s">
        <v>1040</v>
      </c>
      <c r="R26" s="40" t="s">
        <v>1038</v>
      </c>
      <c r="S26" s="57" t="s">
        <v>1039</v>
      </c>
      <c r="T26" s="40"/>
    </row>
    <row r="27" spans="1:20" x14ac:dyDescent="0.3">
      <c r="A27" s="70" t="s">
        <v>1025</v>
      </c>
      <c r="B27" s="70" t="s">
        <v>1017</v>
      </c>
      <c r="C27" s="70"/>
      <c r="D27" s="70">
        <f>IF([3]BoundPortfolio!$A$2=1,[3]Guidelines!L8,[3]Guidelines!R8)</f>
        <v>0.1</v>
      </c>
      <c r="E27" s="70"/>
      <c r="F27" s="70"/>
      <c r="K27" s="59" t="s">
        <v>1028</v>
      </c>
      <c r="L27" s="60">
        <v>0.35</v>
      </c>
      <c r="M27" s="61">
        <v>0.5</v>
      </c>
      <c r="N27" s="62"/>
      <c r="Q27" s="59" t="s">
        <v>1028</v>
      </c>
      <c r="R27" s="60">
        <v>0.45</v>
      </c>
      <c r="S27" s="61">
        <v>0.75</v>
      </c>
      <c r="T27" s="62"/>
    </row>
    <row r="28" spans="1:20" x14ac:dyDescent="0.3">
      <c r="A28" s="70" t="s">
        <v>1025</v>
      </c>
      <c r="B28" s="70" t="s">
        <v>666</v>
      </c>
      <c r="C28" s="70"/>
      <c r="D28" s="70">
        <f>IF([3]BoundPortfolio!$A$2=1,[3]Guidelines!L9,[3]Guidelines!R9)</f>
        <v>0</v>
      </c>
      <c r="E28" s="70"/>
      <c r="F28" s="70"/>
      <c r="K28" s="63" t="s">
        <v>1030</v>
      </c>
      <c r="L28" s="64">
        <v>0.3</v>
      </c>
      <c r="M28" s="65">
        <v>0.5</v>
      </c>
      <c r="N28" s="62"/>
      <c r="Q28" s="63" t="s">
        <v>1030</v>
      </c>
      <c r="R28" s="64">
        <v>0.4</v>
      </c>
      <c r="S28" s="65">
        <v>0.65</v>
      </c>
      <c r="T28" s="62"/>
    </row>
    <row r="29" spans="1:20" x14ac:dyDescent="0.3">
      <c r="A29" s="70" t="s">
        <v>1027</v>
      </c>
      <c r="B29" s="70" t="s">
        <v>1028</v>
      </c>
      <c r="C29" s="70"/>
      <c r="D29" s="70">
        <v>0.35</v>
      </c>
      <c r="E29" s="70" t="s">
        <v>1029</v>
      </c>
      <c r="F29" s="70">
        <v>100</v>
      </c>
      <c r="K29" s="63" t="s">
        <v>1031</v>
      </c>
      <c r="L29" s="64">
        <v>0.3</v>
      </c>
      <c r="M29" s="65">
        <v>0.5</v>
      </c>
      <c r="N29" s="62"/>
      <c r="Q29" s="63" t="s">
        <v>1031</v>
      </c>
      <c r="R29" s="64">
        <v>0.4</v>
      </c>
      <c r="S29" s="65">
        <v>0.65</v>
      </c>
      <c r="T29" s="62"/>
    </row>
    <row r="30" spans="1:20" x14ac:dyDescent="0.3">
      <c r="A30" s="5" t="s">
        <v>1027</v>
      </c>
      <c r="B30" t="s">
        <v>1030</v>
      </c>
      <c r="D30">
        <v>0.3</v>
      </c>
      <c r="E30" t="s">
        <v>1029</v>
      </c>
      <c r="F30" s="11">
        <v>100</v>
      </c>
      <c r="K30" s="63" t="s">
        <v>1032</v>
      </c>
      <c r="L30" s="64">
        <v>0.3</v>
      </c>
      <c r="M30" s="65">
        <v>0.5</v>
      </c>
      <c r="N30" s="62"/>
      <c r="Q30" s="63" t="s">
        <v>1032</v>
      </c>
      <c r="R30" s="64">
        <v>0.3</v>
      </c>
      <c r="S30" s="65">
        <v>0.5</v>
      </c>
      <c r="T30" s="62"/>
    </row>
    <row r="31" spans="1:20" x14ac:dyDescent="0.3">
      <c r="A31" s="5" t="s">
        <v>1027</v>
      </c>
      <c r="B31" t="s">
        <v>1031</v>
      </c>
      <c r="D31">
        <v>0.3</v>
      </c>
      <c r="E31" t="s">
        <v>1029</v>
      </c>
      <c r="F31" s="11">
        <v>100</v>
      </c>
      <c r="K31" s="63" t="s">
        <v>1033</v>
      </c>
      <c r="L31" s="64">
        <v>0.3</v>
      </c>
      <c r="M31" s="65">
        <v>0.5</v>
      </c>
      <c r="N31" s="62"/>
      <c r="Q31" s="63" t="s">
        <v>1033</v>
      </c>
      <c r="R31" s="64">
        <v>0.45</v>
      </c>
      <c r="S31" s="65">
        <v>0.65</v>
      </c>
      <c r="T31" s="62"/>
    </row>
    <row r="32" spans="1:20" ht="15" customHeight="1" thickBot="1" x14ac:dyDescent="0.35">
      <c r="A32" s="5" t="s">
        <v>1027</v>
      </c>
      <c r="B32" t="s">
        <v>1032</v>
      </c>
      <c r="D32">
        <f>IF([3]BoundPortfolio!$A$2=1,[3]Guidelines!L30,[3]Guidelines!R30)</f>
        <v>0.3</v>
      </c>
      <c r="E32" t="s">
        <v>1029</v>
      </c>
      <c r="F32" s="11">
        <v>100</v>
      </c>
      <c r="K32" s="63" t="s">
        <v>1034</v>
      </c>
      <c r="L32" s="64">
        <v>0.3</v>
      </c>
      <c r="M32" s="65">
        <v>0.5</v>
      </c>
      <c r="N32" s="62"/>
      <c r="Q32" s="63" t="s">
        <v>1034</v>
      </c>
      <c r="R32" s="64">
        <v>0.4</v>
      </c>
      <c r="S32" s="65">
        <v>0.65</v>
      </c>
      <c r="T32" s="62"/>
    </row>
    <row r="33" spans="1:20" x14ac:dyDescent="0.3">
      <c r="A33" s="5" t="s">
        <v>1027</v>
      </c>
      <c r="B33" t="s">
        <v>1033</v>
      </c>
      <c r="D33">
        <v>0.3</v>
      </c>
      <c r="E33" t="s">
        <v>1029</v>
      </c>
      <c r="F33" s="11">
        <v>100</v>
      </c>
      <c r="K33" s="59" t="s">
        <v>1037</v>
      </c>
      <c r="L33" s="64">
        <v>0.2</v>
      </c>
      <c r="M33" s="65">
        <v>0.35</v>
      </c>
      <c r="N33" s="62"/>
      <c r="Q33" s="59" t="s">
        <v>1037</v>
      </c>
      <c r="R33" s="64">
        <v>0.3</v>
      </c>
      <c r="S33" s="65">
        <v>0.5</v>
      </c>
      <c r="T33" s="62"/>
    </row>
    <row r="34" spans="1:20" x14ac:dyDescent="0.3">
      <c r="A34" s="5" t="s">
        <v>1027</v>
      </c>
      <c r="B34" t="s">
        <v>1034</v>
      </c>
      <c r="D34">
        <v>0.3</v>
      </c>
      <c r="E34" t="s">
        <v>1029</v>
      </c>
      <c r="F34" s="11">
        <v>100</v>
      </c>
      <c r="K34" s="63" t="s">
        <v>1041</v>
      </c>
      <c r="L34" s="64">
        <v>0.2</v>
      </c>
      <c r="M34" s="65">
        <v>0.3</v>
      </c>
      <c r="N34" s="62"/>
      <c r="Q34" s="63" t="s">
        <v>1041</v>
      </c>
      <c r="R34" s="64">
        <v>0.3</v>
      </c>
      <c r="S34" s="65">
        <v>0.45</v>
      </c>
      <c r="T34" s="62"/>
    </row>
    <row r="35" spans="1:20" x14ac:dyDescent="0.3">
      <c r="A35" s="5" t="s">
        <v>1027</v>
      </c>
      <c r="B35" t="s">
        <v>1037</v>
      </c>
      <c r="D35">
        <v>0.2</v>
      </c>
      <c r="E35" t="s">
        <v>1029</v>
      </c>
      <c r="F35" s="11">
        <v>100</v>
      </c>
      <c r="K35" s="5" t="s">
        <v>1042</v>
      </c>
      <c r="L35" s="64">
        <v>0.3</v>
      </c>
      <c r="M35" s="65">
        <v>0.5</v>
      </c>
      <c r="N35" s="62"/>
      <c r="Q35" s="5" t="s">
        <v>1042</v>
      </c>
      <c r="R35" s="64">
        <v>0.45</v>
      </c>
      <c r="S35" s="65">
        <v>0.65</v>
      </c>
      <c r="T35" s="62"/>
    </row>
    <row r="36" spans="1:20" x14ac:dyDescent="0.3">
      <c r="A36" s="5" t="s">
        <v>1027</v>
      </c>
      <c r="B36" t="s">
        <v>1041</v>
      </c>
      <c r="D36">
        <v>0.2</v>
      </c>
      <c r="E36" t="s">
        <v>1029</v>
      </c>
      <c r="F36" s="11">
        <v>100</v>
      </c>
      <c r="K36" s="5" t="s">
        <v>1043</v>
      </c>
      <c r="L36" s="64">
        <v>0.2</v>
      </c>
      <c r="M36" s="65">
        <v>0.3</v>
      </c>
      <c r="N36" s="62"/>
      <c r="Q36" s="5" t="s">
        <v>1043</v>
      </c>
      <c r="R36" s="64">
        <v>0.3</v>
      </c>
      <c r="S36" s="65">
        <v>0.45</v>
      </c>
      <c r="T36" s="62"/>
    </row>
    <row r="37" spans="1:20" x14ac:dyDescent="0.3">
      <c r="A37" s="5" t="s">
        <v>1027</v>
      </c>
      <c r="B37" t="s">
        <v>1042</v>
      </c>
      <c r="D37">
        <v>0.3</v>
      </c>
      <c r="E37" t="s">
        <v>1029</v>
      </c>
      <c r="F37" s="11">
        <v>100</v>
      </c>
      <c r="K37" s="63" t="s">
        <v>1044</v>
      </c>
      <c r="L37" s="64">
        <v>0.15</v>
      </c>
      <c r="M37" s="65">
        <v>0.25</v>
      </c>
      <c r="N37" s="62"/>
      <c r="Q37" s="63" t="s">
        <v>1044</v>
      </c>
      <c r="R37" s="64">
        <v>0.2</v>
      </c>
      <c r="S37" s="65">
        <v>0.35</v>
      </c>
      <c r="T37" s="62"/>
    </row>
    <row r="38" spans="1:20" x14ac:dyDescent="0.3">
      <c r="A38" s="5" t="s">
        <v>1027</v>
      </c>
      <c r="B38" t="s">
        <v>1043</v>
      </c>
      <c r="D38">
        <v>0.2</v>
      </c>
      <c r="E38" t="s">
        <v>1029</v>
      </c>
      <c r="F38" s="11">
        <v>100</v>
      </c>
      <c r="K38" s="63" t="s">
        <v>1045</v>
      </c>
      <c r="L38" s="64">
        <v>0.15</v>
      </c>
      <c r="M38" s="65">
        <v>0.25</v>
      </c>
      <c r="N38" s="62"/>
      <c r="Q38" s="63" t="s">
        <v>1045</v>
      </c>
      <c r="R38" s="64">
        <v>0.2</v>
      </c>
      <c r="S38" s="65">
        <v>0.35</v>
      </c>
      <c r="T38" s="62"/>
    </row>
    <row r="39" spans="1:20" x14ac:dyDescent="0.3">
      <c r="A39" s="5" t="s">
        <v>1027</v>
      </c>
      <c r="B39" t="s">
        <v>1044</v>
      </c>
      <c r="D39">
        <v>0.15</v>
      </c>
      <c r="E39" t="s">
        <v>1029</v>
      </c>
      <c r="F39" s="11">
        <v>100</v>
      </c>
      <c r="K39" s="63" t="s">
        <v>1046</v>
      </c>
      <c r="L39" s="64">
        <v>0.15</v>
      </c>
      <c r="M39" s="65">
        <v>0.25</v>
      </c>
      <c r="N39" s="62"/>
      <c r="Q39" s="63" t="s">
        <v>1046</v>
      </c>
      <c r="R39" s="64">
        <v>0.2</v>
      </c>
      <c r="S39" s="65">
        <v>0.35</v>
      </c>
      <c r="T39" s="62"/>
    </row>
    <row r="40" spans="1:20" ht="15" customHeight="1" thickBot="1" x14ac:dyDescent="0.35">
      <c r="A40" s="5" t="s">
        <v>1027</v>
      </c>
      <c r="B40" t="s">
        <v>1045</v>
      </c>
      <c r="D40">
        <v>0.15</v>
      </c>
      <c r="E40" t="s">
        <v>1029</v>
      </c>
      <c r="F40" s="11">
        <v>100</v>
      </c>
      <c r="K40" s="6" t="s">
        <v>1047</v>
      </c>
      <c r="L40" s="66">
        <v>0.15</v>
      </c>
      <c r="M40" s="67">
        <v>0.25</v>
      </c>
      <c r="N40" s="62"/>
      <c r="Q40" s="6" t="s">
        <v>1047</v>
      </c>
      <c r="R40" s="66">
        <v>0.2</v>
      </c>
      <c r="S40" s="67">
        <v>0.35</v>
      </c>
      <c r="T40" s="62"/>
    </row>
    <row r="41" spans="1:20" x14ac:dyDescent="0.3">
      <c r="A41" s="5" t="s">
        <v>1027</v>
      </c>
      <c r="B41" t="s">
        <v>1046</v>
      </c>
      <c r="D41">
        <v>0.15</v>
      </c>
      <c r="E41" t="s">
        <v>1029</v>
      </c>
      <c r="F41" s="11">
        <v>100</v>
      </c>
    </row>
    <row r="42" spans="1:20" x14ac:dyDescent="0.3">
      <c r="A42" s="5" t="s">
        <v>1027</v>
      </c>
      <c r="B42" t="s">
        <v>1047</v>
      </c>
      <c r="D42">
        <v>0.15</v>
      </c>
      <c r="E42" t="s">
        <v>1029</v>
      </c>
      <c r="F42" s="11">
        <v>100</v>
      </c>
    </row>
    <row r="43" spans="1:20" x14ac:dyDescent="0.3">
      <c r="A43" s="5" t="s">
        <v>1027</v>
      </c>
      <c r="B43" t="s">
        <v>1028</v>
      </c>
      <c r="D43">
        <v>0.5</v>
      </c>
      <c r="E43" t="s">
        <v>1048</v>
      </c>
      <c r="F43" s="11">
        <v>500</v>
      </c>
    </row>
    <row r="44" spans="1:20" x14ac:dyDescent="0.3">
      <c r="A44" s="5" t="s">
        <v>1027</v>
      </c>
      <c r="B44" t="s">
        <v>1030</v>
      </c>
      <c r="D44">
        <v>0.5</v>
      </c>
      <c r="E44" t="s">
        <v>1048</v>
      </c>
      <c r="F44" s="11">
        <v>500</v>
      </c>
    </row>
    <row r="45" spans="1:20" x14ac:dyDescent="0.3">
      <c r="A45" s="5" t="s">
        <v>1027</v>
      </c>
      <c r="B45" t="s">
        <v>1031</v>
      </c>
      <c r="D45">
        <v>0.5</v>
      </c>
      <c r="E45" t="s">
        <v>1048</v>
      </c>
      <c r="F45" s="11">
        <v>500</v>
      </c>
    </row>
    <row r="46" spans="1:20" x14ac:dyDescent="0.3">
      <c r="A46" s="5" t="s">
        <v>1027</v>
      </c>
      <c r="B46" t="s">
        <v>1032</v>
      </c>
      <c r="D46">
        <v>0.5</v>
      </c>
      <c r="E46" t="s">
        <v>1048</v>
      </c>
      <c r="F46" s="11">
        <v>500</v>
      </c>
    </row>
    <row r="47" spans="1:20" x14ac:dyDescent="0.3">
      <c r="A47" s="5" t="s">
        <v>1027</v>
      </c>
      <c r="B47" t="s">
        <v>1033</v>
      </c>
      <c r="D47">
        <v>0.5</v>
      </c>
      <c r="E47" t="s">
        <v>1048</v>
      </c>
      <c r="F47" s="11">
        <v>500</v>
      </c>
    </row>
    <row r="48" spans="1:20" x14ac:dyDescent="0.3">
      <c r="A48" s="5" t="s">
        <v>1027</v>
      </c>
      <c r="B48" t="s">
        <v>1034</v>
      </c>
      <c r="D48">
        <v>0.5</v>
      </c>
      <c r="E48" t="s">
        <v>1048</v>
      </c>
      <c r="F48" s="11">
        <v>500</v>
      </c>
    </row>
    <row r="49" spans="1:6" x14ac:dyDescent="0.3">
      <c r="A49" s="5" t="s">
        <v>1027</v>
      </c>
      <c r="B49" t="s">
        <v>1037</v>
      </c>
      <c r="D49">
        <v>0.5</v>
      </c>
      <c r="E49" t="s">
        <v>1048</v>
      </c>
      <c r="F49" s="11">
        <v>500</v>
      </c>
    </row>
    <row r="50" spans="1:6" x14ac:dyDescent="0.3">
      <c r="A50" s="5" t="s">
        <v>1027</v>
      </c>
      <c r="B50" t="s">
        <v>1041</v>
      </c>
      <c r="D50">
        <v>0.35</v>
      </c>
      <c r="E50" t="s">
        <v>1048</v>
      </c>
      <c r="F50" s="11">
        <v>500</v>
      </c>
    </row>
    <row r="51" spans="1:6" x14ac:dyDescent="0.3">
      <c r="A51" s="5" t="s">
        <v>1027</v>
      </c>
      <c r="B51" t="s">
        <v>1042</v>
      </c>
      <c r="D51">
        <v>0.3</v>
      </c>
      <c r="E51" t="s">
        <v>1048</v>
      </c>
      <c r="F51" s="11">
        <v>500</v>
      </c>
    </row>
    <row r="52" spans="1:6" x14ac:dyDescent="0.3">
      <c r="A52" s="5" t="s">
        <v>1027</v>
      </c>
      <c r="B52" t="s">
        <v>1043</v>
      </c>
      <c r="D52">
        <v>0.5</v>
      </c>
      <c r="E52" t="s">
        <v>1048</v>
      </c>
      <c r="F52" s="11">
        <v>500</v>
      </c>
    </row>
    <row r="53" spans="1:6" x14ac:dyDescent="0.3">
      <c r="A53" s="5" t="s">
        <v>1027</v>
      </c>
      <c r="B53" t="s">
        <v>1044</v>
      </c>
      <c r="D53">
        <v>0.3</v>
      </c>
      <c r="E53" t="s">
        <v>1048</v>
      </c>
      <c r="F53" s="11">
        <v>500</v>
      </c>
    </row>
    <row r="54" spans="1:6" x14ac:dyDescent="0.3">
      <c r="A54" s="5" t="s">
        <v>1027</v>
      </c>
      <c r="B54" t="s">
        <v>1045</v>
      </c>
      <c r="D54">
        <v>0.25</v>
      </c>
      <c r="E54" t="s">
        <v>1048</v>
      </c>
      <c r="F54" s="11">
        <v>500</v>
      </c>
    </row>
    <row r="55" spans="1:6" x14ac:dyDescent="0.3">
      <c r="A55" s="5" t="s">
        <v>1027</v>
      </c>
      <c r="B55" t="s">
        <v>1046</v>
      </c>
      <c r="D55">
        <v>0.25</v>
      </c>
      <c r="E55" t="s">
        <v>1048</v>
      </c>
      <c r="F55" s="11">
        <v>500</v>
      </c>
    </row>
    <row r="56" spans="1:6" x14ac:dyDescent="0.3">
      <c r="A56" s="5" t="s">
        <v>1027</v>
      </c>
      <c r="B56" t="s">
        <v>1047</v>
      </c>
      <c r="D56">
        <v>0.25</v>
      </c>
      <c r="E56" t="s">
        <v>1048</v>
      </c>
      <c r="F56" s="11">
        <v>500</v>
      </c>
    </row>
    <row r="57" spans="1:6" x14ac:dyDescent="0.3">
      <c r="A57" s="5" t="s">
        <v>1027</v>
      </c>
      <c r="B57" t="s">
        <v>1049</v>
      </c>
      <c r="D57">
        <v>0.3</v>
      </c>
      <c r="E57" t="s">
        <v>1029</v>
      </c>
      <c r="F57" s="11">
        <v>100</v>
      </c>
    </row>
    <row r="58" spans="1:6" x14ac:dyDescent="0.3">
      <c r="A58" s="5" t="s">
        <v>1027</v>
      </c>
      <c r="B58" t="s">
        <v>1049</v>
      </c>
      <c r="D58">
        <v>0.5</v>
      </c>
      <c r="E58" t="s">
        <v>1048</v>
      </c>
      <c r="F58" s="11">
        <v>500</v>
      </c>
    </row>
    <row r="59" spans="1:6" x14ac:dyDescent="0.3">
      <c r="A59" s="5" t="s">
        <v>1027</v>
      </c>
      <c r="B59" t="s">
        <v>1050</v>
      </c>
      <c r="D59">
        <v>0.3</v>
      </c>
      <c r="E59" t="s">
        <v>1048</v>
      </c>
      <c r="F59" s="11">
        <v>500</v>
      </c>
    </row>
    <row r="60" spans="1:6" x14ac:dyDescent="0.3">
      <c r="A60" s="5" t="s">
        <v>1027</v>
      </c>
      <c r="B60" t="s">
        <v>1050</v>
      </c>
      <c r="D60">
        <v>0.5</v>
      </c>
      <c r="E60" t="s">
        <v>1029</v>
      </c>
      <c r="F60" s="11">
        <v>100</v>
      </c>
    </row>
    <row r="61" spans="1:6" x14ac:dyDescent="0.3">
      <c r="A61" s="5" t="s">
        <v>1027</v>
      </c>
      <c r="B61" t="s">
        <v>1051</v>
      </c>
      <c r="D61">
        <v>0.3</v>
      </c>
      <c r="E61" t="s">
        <v>1029</v>
      </c>
      <c r="F61" s="11">
        <v>100</v>
      </c>
    </row>
    <row r="62" spans="1:6" x14ac:dyDescent="0.3">
      <c r="A62" s="5" t="s">
        <v>1027</v>
      </c>
      <c r="B62" t="s">
        <v>1051</v>
      </c>
      <c r="D62">
        <v>0.5</v>
      </c>
      <c r="E62" t="s">
        <v>1048</v>
      </c>
      <c r="F62" s="11">
        <v>500</v>
      </c>
    </row>
    <row r="63" spans="1:6" x14ac:dyDescent="0.3">
      <c r="A63" s="5" t="s">
        <v>1027</v>
      </c>
      <c r="B63" t="s">
        <v>1052</v>
      </c>
      <c r="D63">
        <v>0.5</v>
      </c>
      <c r="E63" t="s">
        <v>1048</v>
      </c>
      <c r="F63" s="11">
        <v>500</v>
      </c>
    </row>
    <row r="64" spans="1:6" x14ac:dyDescent="0.3">
      <c r="A64" s="5" t="s">
        <v>1027</v>
      </c>
      <c r="B64" t="s">
        <v>1052</v>
      </c>
      <c r="D64">
        <v>0.3</v>
      </c>
      <c r="E64" t="s">
        <v>1029</v>
      </c>
      <c r="F64" s="11">
        <v>100</v>
      </c>
    </row>
    <row r="65" spans="1:6" x14ac:dyDescent="0.3">
      <c r="A65" s="5" t="s">
        <v>1027</v>
      </c>
      <c r="B65" t="s">
        <v>1053</v>
      </c>
      <c r="D65">
        <v>0.2</v>
      </c>
      <c r="E65" t="s">
        <v>1029</v>
      </c>
      <c r="F65" s="11">
        <v>100</v>
      </c>
    </row>
    <row r="66" spans="1:6" x14ac:dyDescent="0.3">
      <c r="A66" s="5" t="s">
        <v>1027</v>
      </c>
      <c r="B66" t="s">
        <v>1053</v>
      </c>
      <c r="D66">
        <v>0.3</v>
      </c>
      <c r="E66" t="s">
        <v>1048</v>
      </c>
      <c r="F66" s="11">
        <v>500</v>
      </c>
    </row>
    <row r="67" spans="1:6" x14ac:dyDescent="0.3">
      <c r="A67" s="5" t="s">
        <v>1027</v>
      </c>
      <c r="B67" t="s">
        <v>1054</v>
      </c>
      <c r="D67">
        <v>0.2</v>
      </c>
      <c r="E67" t="s">
        <v>1048</v>
      </c>
      <c r="F67" s="11">
        <v>500</v>
      </c>
    </row>
    <row r="68" spans="1:6" x14ac:dyDescent="0.3">
      <c r="A68" s="5" t="s">
        <v>1027</v>
      </c>
      <c r="B68" t="s">
        <v>1054</v>
      </c>
      <c r="D68">
        <v>0.3</v>
      </c>
      <c r="E68" t="s">
        <v>1029</v>
      </c>
      <c r="F68" s="11">
        <v>100</v>
      </c>
    </row>
    <row r="69" spans="1:6" x14ac:dyDescent="0.3">
      <c r="A69" s="5" t="s">
        <v>1027</v>
      </c>
      <c r="B69" t="s">
        <v>1055</v>
      </c>
      <c r="D69">
        <v>0.2</v>
      </c>
      <c r="E69" t="s">
        <v>1029</v>
      </c>
      <c r="F69" s="11">
        <v>100</v>
      </c>
    </row>
    <row r="70" spans="1:6" x14ac:dyDescent="0.3">
      <c r="A70" s="5" t="s">
        <v>1027</v>
      </c>
      <c r="B70" t="s">
        <v>1055</v>
      </c>
      <c r="D70">
        <v>0.3</v>
      </c>
      <c r="E70" t="s">
        <v>1048</v>
      </c>
      <c r="F70" s="11">
        <v>500</v>
      </c>
    </row>
    <row r="71" spans="1:6" x14ac:dyDescent="0.3">
      <c r="A71" s="5" t="s">
        <v>1027</v>
      </c>
      <c r="B71" t="s">
        <v>1056</v>
      </c>
      <c r="D71">
        <v>0.2</v>
      </c>
      <c r="E71" t="s">
        <v>1029</v>
      </c>
      <c r="F71" s="11">
        <v>100</v>
      </c>
    </row>
    <row r="72" spans="1:6" x14ac:dyDescent="0.3">
      <c r="A72" s="5" t="s">
        <v>1027</v>
      </c>
      <c r="B72" t="s">
        <v>1057</v>
      </c>
      <c r="D72">
        <v>0.2</v>
      </c>
      <c r="E72" t="s">
        <v>1029</v>
      </c>
      <c r="F72" s="11">
        <v>100</v>
      </c>
    </row>
    <row r="73" spans="1:6" x14ac:dyDescent="0.3">
      <c r="A73" s="5" t="s">
        <v>1027</v>
      </c>
      <c r="B73" t="s">
        <v>1058</v>
      </c>
      <c r="D73">
        <v>0.2</v>
      </c>
      <c r="E73" t="s">
        <v>1029</v>
      </c>
      <c r="F73" s="11">
        <v>100</v>
      </c>
    </row>
    <row r="74" spans="1:6" x14ac:dyDescent="0.3">
      <c r="A74" s="5" t="s">
        <v>1027</v>
      </c>
      <c r="B74" t="s">
        <v>1059</v>
      </c>
      <c r="D74">
        <v>0.2</v>
      </c>
      <c r="E74" t="s">
        <v>1029</v>
      </c>
      <c r="F74" s="11">
        <v>100</v>
      </c>
    </row>
    <row r="75" spans="1:6" x14ac:dyDescent="0.3">
      <c r="A75" s="5" t="s">
        <v>1027</v>
      </c>
      <c r="B75" t="s">
        <v>1060</v>
      </c>
      <c r="D75">
        <v>0.2</v>
      </c>
      <c r="E75" t="s">
        <v>1029</v>
      </c>
      <c r="F75" s="11">
        <v>100</v>
      </c>
    </row>
    <row r="76" spans="1:6" x14ac:dyDescent="0.3">
      <c r="A76" s="5" t="s">
        <v>1027</v>
      </c>
      <c r="B76" t="s">
        <v>1056</v>
      </c>
      <c r="D76">
        <v>0.3</v>
      </c>
      <c r="E76" t="s">
        <v>1048</v>
      </c>
      <c r="F76" s="11">
        <v>500</v>
      </c>
    </row>
    <row r="77" spans="1:6" x14ac:dyDescent="0.3">
      <c r="A77" s="5" t="s">
        <v>1027</v>
      </c>
      <c r="B77" t="s">
        <v>1057</v>
      </c>
      <c r="D77">
        <v>0.35</v>
      </c>
      <c r="E77" t="s">
        <v>1048</v>
      </c>
      <c r="F77" s="11">
        <v>500</v>
      </c>
    </row>
    <row r="78" spans="1:6" x14ac:dyDescent="0.3">
      <c r="A78" s="5" t="s">
        <v>1027</v>
      </c>
      <c r="B78" t="s">
        <v>1058</v>
      </c>
      <c r="D78">
        <v>0.35</v>
      </c>
      <c r="E78" t="s">
        <v>1048</v>
      </c>
      <c r="F78" s="11">
        <v>500</v>
      </c>
    </row>
    <row r="79" spans="1:6" x14ac:dyDescent="0.3">
      <c r="A79" s="5" t="s">
        <v>1027</v>
      </c>
      <c r="B79" t="s">
        <v>1059</v>
      </c>
      <c r="D79">
        <v>0.35</v>
      </c>
      <c r="E79" t="s">
        <v>1048</v>
      </c>
      <c r="F79" s="11">
        <v>500</v>
      </c>
    </row>
    <row r="80" spans="1:6" ht="15" customHeight="1" x14ac:dyDescent="0.3">
      <c r="A80" s="5" t="s">
        <v>1027</v>
      </c>
      <c r="B80" t="s">
        <v>1060</v>
      </c>
      <c r="D80">
        <v>0.35</v>
      </c>
      <c r="E80" t="s">
        <v>1048</v>
      </c>
      <c r="F80" s="11">
        <v>500</v>
      </c>
    </row>
    <row r="81" spans="1:6" x14ac:dyDescent="0.3">
      <c r="A81" s="5" t="s">
        <v>1027</v>
      </c>
      <c r="B81" t="s">
        <v>1061</v>
      </c>
      <c r="D81">
        <v>0.45</v>
      </c>
      <c r="E81" t="s">
        <v>1029</v>
      </c>
      <c r="F81" s="11">
        <v>100</v>
      </c>
    </row>
    <row r="82" spans="1:6" x14ac:dyDescent="0.3">
      <c r="A82" s="5" t="s">
        <v>1027</v>
      </c>
      <c r="B82" t="s">
        <v>1061</v>
      </c>
      <c r="D82">
        <v>0.45</v>
      </c>
      <c r="E82" t="s">
        <v>1048</v>
      </c>
      <c r="F82" s="11">
        <v>500</v>
      </c>
    </row>
    <row r="83" spans="1:6" x14ac:dyDescent="0.3">
      <c r="A83" s="5" t="s">
        <v>1062</v>
      </c>
      <c r="B83" t="s">
        <v>817</v>
      </c>
      <c r="D83">
        <v>0.5</v>
      </c>
      <c r="F83" s="11"/>
    </row>
    <row r="84" spans="1:6" x14ac:dyDescent="0.3">
      <c r="A84" s="5" t="s">
        <v>1062</v>
      </c>
      <c r="B84" t="s">
        <v>1015</v>
      </c>
      <c r="D84">
        <v>0.3</v>
      </c>
      <c r="F84" s="11"/>
    </row>
    <row r="85" spans="1:6" x14ac:dyDescent="0.3">
      <c r="A85" s="5" t="s">
        <v>1062</v>
      </c>
      <c r="B85" t="s">
        <v>1016</v>
      </c>
      <c r="D85">
        <v>0.7</v>
      </c>
      <c r="F85" s="11"/>
    </row>
    <row r="86" spans="1:6" x14ac:dyDescent="0.3">
      <c r="A86" s="5" t="s">
        <v>1062</v>
      </c>
      <c r="B86" t="s">
        <v>1018</v>
      </c>
      <c r="D86">
        <v>0.7</v>
      </c>
      <c r="F86" s="11"/>
    </row>
    <row r="87" spans="1:6" x14ac:dyDescent="0.3">
      <c r="A87" s="5" t="s">
        <v>1062</v>
      </c>
      <c r="B87" t="s">
        <v>1019</v>
      </c>
      <c r="D87">
        <v>0.3</v>
      </c>
      <c r="F87" s="11"/>
    </row>
    <row r="88" spans="1:6" x14ac:dyDescent="0.3">
      <c r="A88" s="5" t="s">
        <v>1062</v>
      </c>
      <c r="B88" t="s">
        <v>1020</v>
      </c>
      <c r="D88">
        <v>0.75</v>
      </c>
      <c r="F88" s="11"/>
    </row>
    <row r="89" spans="1:6" ht="15" customHeight="1" thickBot="1" x14ac:dyDescent="0.35">
      <c r="A89" s="6" t="s">
        <v>1062</v>
      </c>
      <c r="B89" s="12" t="s">
        <v>1017</v>
      </c>
      <c r="C89" s="12"/>
      <c r="D89" s="12">
        <v>0.15</v>
      </c>
      <c r="E89" s="12"/>
      <c r="F89" s="13"/>
    </row>
  </sheetData>
  <conditionalFormatting sqref="K27">
    <cfRule type="duplicateValues" dxfId="22" priority="22"/>
  </conditionalFormatting>
  <conditionalFormatting sqref="K28">
    <cfRule type="duplicateValues" dxfId="21" priority="21"/>
  </conditionalFormatting>
  <conditionalFormatting sqref="K29">
    <cfRule type="duplicateValues" dxfId="20" priority="20"/>
  </conditionalFormatting>
  <conditionalFormatting sqref="K30">
    <cfRule type="duplicateValues" dxfId="19" priority="19"/>
  </conditionalFormatting>
  <conditionalFormatting sqref="K31">
    <cfRule type="duplicateValues" dxfId="18" priority="18"/>
  </conditionalFormatting>
  <conditionalFormatting sqref="K32">
    <cfRule type="duplicateValues" dxfId="17" priority="17"/>
  </conditionalFormatting>
  <conditionalFormatting sqref="K33">
    <cfRule type="duplicateValues" dxfId="16" priority="16"/>
  </conditionalFormatting>
  <conditionalFormatting sqref="K34">
    <cfRule type="duplicateValues" dxfId="15" priority="15"/>
  </conditionalFormatting>
  <conditionalFormatting sqref="K38">
    <cfRule type="duplicateValues" dxfId="14" priority="14"/>
  </conditionalFormatting>
  <conditionalFormatting sqref="K37">
    <cfRule type="duplicateValues" dxfId="13" priority="13"/>
  </conditionalFormatting>
  <conditionalFormatting sqref="K39">
    <cfRule type="duplicateValues" dxfId="12" priority="12"/>
  </conditionalFormatting>
  <conditionalFormatting sqref="Q27">
    <cfRule type="duplicateValues" dxfId="11" priority="11"/>
  </conditionalFormatting>
  <conditionalFormatting sqref="Q28">
    <cfRule type="duplicateValues" dxfId="10" priority="10"/>
  </conditionalFormatting>
  <conditionalFormatting sqref="Q29">
    <cfRule type="duplicateValues" dxfId="9" priority="9"/>
  </conditionalFormatting>
  <conditionalFormatting sqref="Q30">
    <cfRule type="duplicateValues" dxfId="8" priority="8"/>
  </conditionalFormatting>
  <conditionalFormatting sqref="Q31">
    <cfRule type="duplicateValues" dxfId="7" priority="7"/>
  </conditionalFormatting>
  <conditionalFormatting sqref="Q32">
    <cfRule type="duplicateValues" dxfId="6" priority="6"/>
  </conditionalFormatting>
  <conditionalFormatting sqref="Q33">
    <cfRule type="duplicateValues" dxfId="5" priority="5"/>
  </conditionalFormatting>
  <conditionalFormatting sqref="Q34">
    <cfRule type="duplicateValues" dxfId="4" priority="4"/>
  </conditionalFormatting>
  <conditionalFormatting sqref="Q38">
    <cfRule type="duplicateValues" dxfId="3" priority="3"/>
  </conditionalFormatting>
  <conditionalFormatting sqref="Q37">
    <cfRule type="duplicateValues" dxfId="2" priority="2"/>
  </conditionalFormatting>
  <conditionalFormatting sqref="Q39">
    <cfRule type="duplicateValues" dxfId="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G92"/>
  <sheetViews>
    <sheetView topLeftCell="A49" workbookViewId="0">
      <selection activeCell="C17" sqref="C17"/>
    </sheetView>
  </sheetViews>
  <sheetFormatPr defaultColWidth="9.109375" defaultRowHeight="14.4" x14ac:dyDescent="0.3"/>
  <cols>
    <col min="1" max="1" width="22" bestFit="1" customWidth="1"/>
    <col min="2" max="2" width="35.88671875" bestFit="1" customWidth="1"/>
    <col min="3" max="3" width="14" bestFit="1" customWidth="1"/>
    <col min="5" max="5" width="25.88671875" bestFit="1" customWidth="1"/>
    <col min="6" max="6" width="25.88671875" customWidth="1"/>
    <col min="7" max="7" width="121.88671875" bestFit="1" customWidth="1"/>
  </cols>
  <sheetData>
    <row r="1" spans="1:7" ht="15" customHeight="1" thickBot="1" x14ac:dyDescent="0.35">
      <c r="A1" s="3" t="s">
        <v>1063</v>
      </c>
      <c r="B1" s="7" t="s">
        <v>1064</v>
      </c>
      <c r="C1" s="8" t="s">
        <v>1065</v>
      </c>
      <c r="D1" s="8" t="s">
        <v>1066</v>
      </c>
      <c r="E1" s="8" t="s">
        <v>1067</v>
      </c>
      <c r="F1" s="9" t="s">
        <v>1068</v>
      </c>
    </row>
    <row r="2" spans="1:7" x14ac:dyDescent="0.3">
      <c r="B2" s="5" t="s">
        <v>672</v>
      </c>
      <c r="C2" t="s">
        <v>1069</v>
      </c>
      <c r="D2">
        <v>255</v>
      </c>
      <c r="E2" t="s">
        <v>672</v>
      </c>
      <c r="F2" s="14">
        <v>1</v>
      </c>
    </row>
    <row r="3" spans="1:7" x14ac:dyDescent="0.3">
      <c r="B3" s="5" t="s">
        <v>673</v>
      </c>
      <c r="C3" t="s">
        <v>1069</v>
      </c>
      <c r="D3">
        <v>255</v>
      </c>
      <c r="E3" t="s">
        <v>673</v>
      </c>
      <c r="F3" s="14">
        <v>2</v>
      </c>
    </row>
    <row r="4" spans="1:7" x14ac:dyDescent="0.3">
      <c r="B4" s="5" t="s">
        <v>2</v>
      </c>
      <c r="C4" t="s">
        <v>1069</v>
      </c>
      <c r="D4">
        <v>255</v>
      </c>
      <c r="E4" t="s">
        <v>2</v>
      </c>
      <c r="F4" s="14">
        <v>3</v>
      </c>
      <c r="G4" s="72" t="s">
        <v>1070</v>
      </c>
    </row>
    <row r="5" spans="1:7" x14ac:dyDescent="0.3">
      <c r="B5" s="5" t="s">
        <v>674</v>
      </c>
      <c r="C5" t="s">
        <v>1071</v>
      </c>
      <c r="D5">
        <v>255</v>
      </c>
      <c r="E5" s="22" t="s">
        <v>674</v>
      </c>
      <c r="F5" s="14">
        <v>4</v>
      </c>
    </row>
    <row r="6" spans="1:7" x14ac:dyDescent="0.3">
      <c r="B6" s="5" t="s">
        <v>675</v>
      </c>
      <c r="C6" t="s">
        <v>1071</v>
      </c>
      <c r="D6">
        <v>255</v>
      </c>
      <c r="E6" s="22" t="s">
        <v>675</v>
      </c>
      <c r="F6" s="14">
        <v>5</v>
      </c>
    </row>
    <row r="7" spans="1:7" x14ac:dyDescent="0.3">
      <c r="B7" s="5" t="s">
        <v>676</v>
      </c>
      <c r="C7" t="s">
        <v>1071</v>
      </c>
      <c r="D7">
        <v>255</v>
      </c>
      <c r="E7" s="22" t="s">
        <v>676</v>
      </c>
      <c r="F7" s="14">
        <v>6</v>
      </c>
    </row>
    <row r="8" spans="1:7" x14ac:dyDescent="0.3">
      <c r="B8" s="5" t="s">
        <v>677</v>
      </c>
      <c r="C8" t="s">
        <v>1071</v>
      </c>
      <c r="D8">
        <v>255</v>
      </c>
      <c r="E8" s="22" t="s">
        <v>677</v>
      </c>
      <c r="F8" s="14">
        <v>7</v>
      </c>
    </row>
    <row r="9" spans="1:7" x14ac:dyDescent="0.3">
      <c r="B9" s="5" t="s">
        <v>1072</v>
      </c>
      <c r="C9" t="s">
        <v>1069</v>
      </c>
      <c r="D9">
        <v>255</v>
      </c>
      <c r="E9" s="22" t="s">
        <v>678</v>
      </c>
      <c r="F9" s="14">
        <v>8</v>
      </c>
      <c r="G9" t="s">
        <v>1073</v>
      </c>
    </row>
    <row r="10" spans="1:7" x14ac:dyDescent="0.3">
      <c r="B10" s="5" t="s">
        <v>679</v>
      </c>
      <c r="C10" t="s">
        <v>1069</v>
      </c>
      <c r="D10">
        <v>255</v>
      </c>
      <c r="E10" t="s">
        <v>679</v>
      </c>
      <c r="F10" s="14">
        <v>9</v>
      </c>
      <c r="G10" t="s">
        <v>1074</v>
      </c>
    </row>
    <row r="11" spans="1:7" x14ac:dyDescent="0.3">
      <c r="B11" s="5" t="s">
        <v>680</v>
      </c>
      <c r="C11" t="s">
        <v>1069</v>
      </c>
      <c r="D11">
        <v>255</v>
      </c>
      <c r="E11" t="s">
        <v>680</v>
      </c>
      <c r="F11" s="14">
        <v>10</v>
      </c>
      <c r="G11" t="s">
        <v>1075</v>
      </c>
    </row>
    <row r="12" spans="1:7" x14ac:dyDescent="0.3">
      <c r="B12" s="5" t="s">
        <v>681</v>
      </c>
      <c r="C12" t="s">
        <v>1071</v>
      </c>
      <c r="D12">
        <v>255</v>
      </c>
      <c r="E12" t="s">
        <v>681</v>
      </c>
      <c r="F12" s="14">
        <v>11</v>
      </c>
      <c r="G12" t="s">
        <v>1076</v>
      </c>
    </row>
    <row r="13" spans="1:7" x14ac:dyDescent="0.3">
      <c r="B13" s="5" t="s">
        <v>682</v>
      </c>
      <c r="C13" t="s">
        <v>1069</v>
      </c>
      <c r="E13" s="17" t="s">
        <v>682</v>
      </c>
      <c r="F13" s="14">
        <v>12</v>
      </c>
      <c r="G13" t="s">
        <v>1077</v>
      </c>
    </row>
    <row r="14" spans="1:7" x14ac:dyDescent="0.3">
      <c r="B14" s="5" t="s">
        <v>683</v>
      </c>
      <c r="C14" t="s">
        <v>1069</v>
      </c>
      <c r="E14" s="17" t="s">
        <v>683</v>
      </c>
      <c r="F14" s="14">
        <v>13</v>
      </c>
      <c r="G14" t="s">
        <v>1078</v>
      </c>
    </row>
    <row r="15" spans="1:7" x14ac:dyDescent="0.3">
      <c r="B15" s="5" t="s">
        <v>684</v>
      </c>
      <c r="C15" t="s">
        <v>1069</v>
      </c>
      <c r="D15">
        <v>255</v>
      </c>
      <c r="E15" t="s">
        <v>684</v>
      </c>
      <c r="F15" s="14">
        <v>14</v>
      </c>
    </row>
    <row r="16" spans="1:7" x14ac:dyDescent="0.3">
      <c r="B16" s="5" t="s">
        <v>685</v>
      </c>
      <c r="C16" t="s">
        <v>1069</v>
      </c>
      <c r="D16">
        <v>255</v>
      </c>
      <c r="E16" t="s">
        <v>685</v>
      </c>
      <c r="F16" s="14">
        <v>15</v>
      </c>
      <c r="G16" t="s">
        <v>1079</v>
      </c>
    </row>
    <row r="17" spans="2:7" x14ac:dyDescent="0.3">
      <c r="B17" s="5" t="s">
        <v>686</v>
      </c>
      <c r="C17" t="s">
        <v>1080</v>
      </c>
      <c r="E17" t="s">
        <v>686</v>
      </c>
      <c r="F17" s="14">
        <v>16</v>
      </c>
      <c r="G17" t="s">
        <v>1081</v>
      </c>
    </row>
    <row r="18" spans="2:7" x14ac:dyDescent="0.3">
      <c r="B18" s="5" t="s">
        <v>5</v>
      </c>
      <c r="C18" t="s">
        <v>1080</v>
      </c>
      <c r="E18" t="s">
        <v>5</v>
      </c>
      <c r="F18" s="14">
        <v>17</v>
      </c>
      <c r="G18" t="s">
        <v>1082</v>
      </c>
    </row>
    <row r="19" spans="2:7" x14ac:dyDescent="0.3">
      <c r="B19" s="5" t="s">
        <v>687</v>
      </c>
      <c r="C19" t="s">
        <v>1080</v>
      </c>
      <c r="E19" s="35" t="s">
        <v>687</v>
      </c>
      <c r="F19" s="14">
        <v>18</v>
      </c>
      <c r="G19" t="s">
        <v>1083</v>
      </c>
    </row>
    <row r="20" spans="2:7" x14ac:dyDescent="0.3">
      <c r="B20" s="5" t="s">
        <v>688</v>
      </c>
      <c r="C20" t="s">
        <v>1069</v>
      </c>
      <c r="D20">
        <v>10</v>
      </c>
      <c r="E20" t="s">
        <v>688</v>
      </c>
      <c r="F20" s="14">
        <v>19</v>
      </c>
      <c r="G20" t="s">
        <v>1084</v>
      </c>
    </row>
    <row r="21" spans="2:7" x14ac:dyDescent="0.3">
      <c r="B21" s="5" t="s">
        <v>689</v>
      </c>
      <c r="C21" t="s">
        <v>1080</v>
      </c>
      <c r="E21" s="34" t="s">
        <v>689</v>
      </c>
      <c r="F21" s="14">
        <v>20</v>
      </c>
      <c r="G21" t="s">
        <v>1085</v>
      </c>
    </row>
    <row r="22" spans="2:7" x14ac:dyDescent="0.3">
      <c r="B22" s="5" t="s">
        <v>1086</v>
      </c>
      <c r="C22" t="s">
        <v>1080</v>
      </c>
      <c r="E22" s="36" t="s">
        <v>690</v>
      </c>
      <c r="F22" s="14">
        <v>21</v>
      </c>
      <c r="G22" s="31"/>
    </row>
    <row r="23" spans="2:7" x14ac:dyDescent="0.3">
      <c r="B23" s="5" t="s">
        <v>1087</v>
      </c>
      <c r="C23" t="s">
        <v>1069</v>
      </c>
      <c r="D23">
        <v>255</v>
      </c>
      <c r="E23" s="36" t="s">
        <v>691</v>
      </c>
      <c r="F23" s="14">
        <v>22</v>
      </c>
    </row>
    <row r="24" spans="2:7" x14ac:dyDescent="0.3">
      <c r="B24" s="5" t="s">
        <v>1088</v>
      </c>
      <c r="C24" t="s">
        <v>1069</v>
      </c>
      <c r="E24" s="36" t="s">
        <v>692</v>
      </c>
      <c r="F24" s="14">
        <v>23</v>
      </c>
    </row>
    <row r="25" spans="2:7" x14ac:dyDescent="0.3">
      <c r="B25" s="5" t="s">
        <v>1089</v>
      </c>
      <c r="C25" t="s">
        <v>1080</v>
      </c>
      <c r="E25" s="36" t="s">
        <v>693</v>
      </c>
      <c r="F25" s="14">
        <v>24</v>
      </c>
    </row>
    <row r="26" spans="2:7" ht="15" customHeight="1" thickBot="1" x14ac:dyDescent="0.35">
      <c r="B26" s="5" t="s">
        <v>1090</v>
      </c>
      <c r="C26" t="s">
        <v>1069</v>
      </c>
      <c r="E26" s="35" t="s">
        <v>694</v>
      </c>
      <c r="F26" s="14">
        <v>25</v>
      </c>
    </row>
    <row r="27" spans="2:7" ht="15" customHeight="1" thickBot="1" x14ac:dyDescent="0.35">
      <c r="B27" s="32" t="s">
        <v>695</v>
      </c>
      <c r="C27" t="s">
        <v>1080</v>
      </c>
      <c r="E27" s="32" t="s">
        <v>695</v>
      </c>
      <c r="F27" s="14">
        <v>26</v>
      </c>
      <c r="G27" t="s">
        <v>1091</v>
      </c>
    </row>
    <row r="28" spans="2:7" x14ac:dyDescent="0.3">
      <c r="B28" s="5" t="s">
        <v>696</v>
      </c>
      <c r="C28" t="s">
        <v>1080</v>
      </c>
      <c r="E28" t="s">
        <v>696</v>
      </c>
      <c r="F28" s="14">
        <v>27</v>
      </c>
    </row>
    <row r="29" spans="2:7" x14ac:dyDescent="0.3">
      <c r="B29" s="5" t="s">
        <v>1092</v>
      </c>
      <c r="C29" t="s">
        <v>1080</v>
      </c>
      <c r="E29" t="s">
        <v>697</v>
      </c>
      <c r="F29" s="14">
        <v>28</v>
      </c>
    </row>
    <row r="30" spans="2:7" x14ac:dyDescent="0.3">
      <c r="B30" s="5" t="s">
        <v>698</v>
      </c>
      <c r="C30" t="s">
        <v>1080</v>
      </c>
      <c r="E30" t="s">
        <v>698</v>
      </c>
      <c r="F30" s="14">
        <v>29</v>
      </c>
    </row>
    <row r="31" spans="2:7" x14ac:dyDescent="0.3">
      <c r="B31" s="5" t="s">
        <v>699</v>
      </c>
      <c r="C31" t="s">
        <v>1080</v>
      </c>
      <c r="E31" s="22" t="s">
        <v>699</v>
      </c>
      <c r="F31" s="14">
        <v>30</v>
      </c>
    </row>
    <row r="32" spans="2:7" x14ac:dyDescent="0.3">
      <c r="B32" s="5" t="s">
        <v>700</v>
      </c>
      <c r="C32" t="s">
        <v>1069</v>
      </c>
      <c r="D32">
        <v>255</v>
      </c>
      <c r="E32" s="22" t="s">
        <v>700</v>
      </c>
      <c r="F32" s="14">
        <v>31</v>
      </c>
    </row>
    <row r="33" spans="2:7" x14ac:dyDescent="0.3">
      <c r="B33" s="5" t="s">
        <v>701</v>
      </c>
      <c r="C33" t="s">
        <v>1080</v>
      </c>
      <c r="E33" s="22" t="s">
        <v>701</v>
      </c>
      <c r="F33" s="14">
        <v>32</v>
      </c>
    </row>
    <row r="34" spans="2:7" x14ac:dyDescent="0.3">
      <c r="B34" s="5" t="s">
        <v>702</v>
      </c>
      <c r="C34" t="s">
        <v>1069</v>
      </c>
      <c r="D34">
        <v>2048</v>
      </c>
      <c r="E34" s="22" t="s">
        <v>702</v>
      </c>
      <c r="F34" s="14">
        <v>33</v>
      </c>
    </row>
    <row r="35" spans="2:7" x14ac:dyDescent="0.3">
      <c r="B35" s="5" t="s">
        <v>1093</v>
      </c>
      <c r="C35" t="s">
        <v>1094</v>
      </c>
      <c r="E35" s="22" t="s">
        <v>703</v>
      </c>
      <c r="F35" s="14">
        <v>34</v>
      </c>
    </row>
    <row r="36" spans="2:7" x14ac:dyDescent="0.3">
      <c r="B36" s="5" t="s">
        <v>704</v>
      </c>
      <c r="C36" t="s">
        <v>1069</v>
      </c>
      <c r="E36" s="22" t="s">
        <v>704</v>
      </c>
      <c r="F36" s="14">
        <v>35</v>
      </c>
    </row>
    <row r="37" spans="2:7" x14ac:dyDescent="0.3">
      <c r="B37" s="5" t="s">
        <v>1095</v>
      </c>
      <c r="C37" t="s">
        <v>1069</v>
      </c>
      <c r="E37" s="22" t="s">
        <v>705</v>
      </c>
      <c r="F37" s="14">
        <v>36</v>
      </c>
    </row>
    <row r="38" spans="2:7" x14ac:dyDescent="0.3">
      <c r="B38" s="5" t="s">
        <v>706</v>
      </c>
      <c r="C38" t="s">
        <v>1069</v>
      </c>
      <c r="E38" s="22" t="s">
        <v>706</v>
      </c>
      <c r="F38" s="14">
        <v>37</v>
      </c>
    </row>
    <row r="39" spans="2:7" x14ac:dyDescent="0.3">
      <c r="B39" s="5" t="s">
        <v>1096</v>
      </c>
      <c r="C39" t="s">
        <v>1069</v>
      </c>
      <c r="E39" s="22" t="s">
        <v>707</v>
      </c>
      <c r="F39" s="14">
        <v>38</v>
      </c>
    </row>
    <row r="40" spans="2:7" x14ac:dyDescent="0.3">
      <c r="B40" s="5" t="s">
        <v>708</v>
      </c>
      <c r="C40" t="s">
        <v>1069</v>
      </c>
      <c r="E40" s="22" t="s">
        <v>708</v>
      </c>
      <c r="F40" s="14">
        <v>39</v>
      </c>
    </row>
    <row r="41" spans="2:7" x14ac:dyDescent="0.3">
      <c r="B41" s="5" t="s">
        <v>709</v>
      </c>
      <c r="C41" t="s">
        <v>1071</v>
      </c>
      <c r="D41">
        <v>255</v>
      </c>
      <c r="E41" s="22" t="s">
        <v>709</v>
      </c>
      <c r="F41" s="14">
        <v>40</v>
      </c>
    </row>
    <row r="42" spans="2:7" x14ac:dyDescent="0.3">
      <c r="B42" s="5" t="s">
        <v>710</v>
      </c>
      <c r="C42" t="s">
        <v>1071</v>
      </c>
      <c r="D42">
        <v>255</v>
      </c>
      <c r="E42" s="22" t="s">
        <v>710</v>
      </c>
      <c r="F42" s="14">
        <v>41</v>
      </c>
    </row>
    <row r="43" spans="2:7" x14ac:dyDescent="0.3">
      <c r="B43" s="5" t="s">
        <v>1097</v>
      </c>
      <c r="C43" t="s">
        <v>1080</v>
      </c>
      <c r="E43" s="37" t="s">
        <v>711</v>
      </c>
      <c r="F43" s="14">
        <v>42</v>
      </c>
    </row>
    <row r="44" spans="2:7" x14ac:dyDescent="0.3">
      <c r="B44" s="5" t="s">
        <v>1098</v>
      </c>
      <c r="C44" t="s">
        <v>1080</v>
      </c>
      <c r="E44" s="37" t="s">
        <v>712</v>
      </c>
      <c r="F44" s="14">
        <v>43</v>
      </c>
    </row>
    <row r="45" spans="2:7" x14ac:dyDescent="0.3">
      <c r="B45" s="5" t="s">
        <v>713</v>
      </c>
      <c r="C45" t="s">
        <v>1069</v>
      </c>
      <c r="E45" s="37"/>
      <c r="F45" s="14">
        <v>44</v>
      </c>
    </row>
    <row r="46" spans="2:7" x14ac:dyDescent="0.3">
      <c r="B46" s="5" t="s">
        <v>714</v>
      </c>
      <c r="C46" t="s">
        <v>1080</v>
      </c>
      <c r="E46" t="s">
        <v>714</v>
      </c>
      <c r="F46" s="14">
        <v>45</v>
      </c>
    </row>
    <row r="47" spans="2:7" x14ac:dyDescent="0.3">
      <c r="B47" s="5" t="s">
        <v>769</v>
      </c>
      <c r="C47" t="s">
        <v>1094</v>
      </c>
      <c r="F47" s="11"/>
      <c r="G47" t="s">
        <v>1099</v>
      </c>
    </row>
    <row r="48" spans="2:7" ht="15" customHeight="1" thickBot="1" x14ac:dyDescent="0.35">
      <c r="B48" s="6" t="s">
        <v>1100</v>
      </c>
      <c r="C48" s="12" t="s">
        <v>1094</v>
      </c>
      <c r="D48" s="12"/>
      <c r="E48" s="12"/>
      <c r="F48" s="13"/>
      <c r="G48" t="s">
        <v>1101</v>
      </c>
    </row>
    <row r="49" spans="1:7" ht="15" customHeight="1" thickBot="1" x14ac:dyDescent="0.35"/>
    <row r="50" spans="1:7" ht="15" customHeight="1" thickBot="1" x14ac:dyDescent="0.35">
      <c r="A50" s="3" t="s">
        <v>1102</v>
      </c>
      <c r="B50" s="7" t="s">
        <v>1064</v>
      </c>
      <c r="C50" s="8" t="s">
        <v>1065</v>
      </c>
      <c r="D50" s="8" t="s">
        <v>1066</v>
      </c>
      <c r="E50" s="8" t="s">
        <v>1067</v>
      </c>
      <c r="F50" s="9" t="s">
        <v>1068</v>
      </c>
    </row>
    <row r="51" spans="1:7" x14ac:dyDescent="0.3">
      <c r="B51" s="10" t="s">
        <v>1103</v>
      </c>
      <c r="C51" t="s">
        <v>1080</v>
      </c>
      <c r="E51" s="2" t="str">
        <f>'Profit and Loss'!A$1</f>
        <v>Management Fee</v>
      </c>
      <c r="F51" s="11">
        <v>1</v>
      </c>
      <c r="G51" t="s">
        <v>1104</v>
      </c>
    </row>
    <row r="52" spans="1:7" x14ac:dyDescent="0.3">
      <c r="B52" s="10" t="s">
        <v>983</v>
      </c>
      <c r="C52" t="s">
        <v>1080</v>
      </c>
      <c r="E52" s="2" t="str">
        <f>'Profit and Loss'!B$1</f>
        <v>Carry</v>
      </c>
      <c r="F52" s="11">
        <v>2</v>
      </c>
    </row>
    <row r="53" spans="1:7" x14ac:dyDescent="0.3">
      <c r="B53" s="10" t="s">
        <v>990</v>
      </c>
      <c r="C53" t="s">
        <v>1069</v>
      </c>
      <c r="D53">
        <v>10</v>
      </c>
      <c r="E53" s="2"/>
      <c r="F53" s="11">
        <v>9</v>
      </c>
      <c r="G53" t="s">
        <v>1105</v>
      </c>
    </row>
    <row r="54" spans="1:7" x14ac:dyDescent="0.3">
      <c r="B54" s="10" t="s">
        <v>1106</v>
      </c>
      <c r="C54" t="s">
        <v>1080</v>
      </c>
      <c r="E54" s="2" t="str">
        <f>'Profit and Loss'!C$1</f>
        <v>Hurdle (Hard)</v>
      </c>
      <c r="F54" s="11">
        <v>3</v>
      </c>
      <c r="G54" t="s">
        <v>1107</v>
      </c>
    </row>
    <row r="55" spans="1:7" x14ac:dyDescent="0.3">
      <c r="B55" s="10" t="s">
        <v>1108</v>
      </c>
      <c r="C55" t="s">
        <v>1080</v>
      </c>
      <c r="E55" s="2" t="str">
        <f>'Profit and Loss'!D$1</f>
        <v>Fronting Fee</v>
      </c>
      <c r="F55" s="11">
        <v>4</v>
      </c>
      <c r="G55" t="s">
        <v>985</v>
      </c>
    </row>
    <row r="56" spans="1:7" x14ac:dyDescent="0.3">
      <c r="B56" s="10" t="s">
        <v>1109</v>
      </c>
      <c r="C56" t="s">
        <v>1080</v>
      </c>
      <c r="E56" s="2" t="str">
        <f>'Profit and Loss'!E$1</f>
        <v>Acquisition Expense</v>
      </c>
      <c r="F56" s="11">
        <v>5</v>
      </c>
    </row>
    <row r="57" spans="1:7" x14ac:dyDescent="0.3">
      <c r="B57" s="10" t="s">
        <v>987</v>
      </c>
      <c r="C57" t="s">
        <v>1080</v>
      </c>
      <c r="E57" s="2" t="str">
        <f>'Profit and Loss'!F$1</f>
        <v>FET</v>
      </c>
      <c r="F57" s="11">
        <v>6</v>
      </c>
    </row>
    <row r="58" spans="1:7" x14ac:dyDescent="0.3">
      <c r="B58" s="10" t="s">
        <v>1110</v>
      </c>
      <c r="C58" t="s">
        <v>1080</v>
      </c>
      <c r="E58" s="2" t="str">
        <f>'Profit and Loss'!H$1</f>
        <v>Op/Org Expenses</v>
      </c>
      <c r="F58" s="11">
        <v>8</v>
      </c>
      <c r="G58" t="s">
        <v>1111</v>
      </c>
    </row>
    <row r="59" spans="1:7" x14ac:dyDescent="0.3">
      <c r="B59" s="10" t="s">
        <v>1112</v>
      </c>
      <c r="C59" t="s">
        <v>1080</v>
      </c>
      <c r="E59" s="2" t="str">
        <f>'Profit and Loss'!G$1</f>
        <v>Investment Inc</v>
      </c>
      <c r="F59" s="11">
        <v>7</v>
      </c>
      <c r="G59" t="s">
        <v>1113</v>
      </c>
    </row>
    <row r="60" spans="1:7" x14ac:dyDescent="0.3">
      <c r="B60" s="10" t="s">
        <v>1114</v>
      </c>
      <c r="C60" t="s">
        <v>1080</v>
      </c>
      <c r="E60" s="2" t="s">
        <v>991</v>
      </c>
      <c r="F60" s="11">
        <v>10</v>
      </c>
    </row>
    <row r="61" spans="1:7" x14ac:dyDescent="0.3">
      <c r="B61" s="10" t="s">
        <v>1115</v>
      </c>
      <c r="C61" t="s">
        <v>1080</v>
      </c>
      <c r="E61" s="2" t="s">
        <v>992</v>
      </c>
      <c r="F61" s="11">
        <v>11</v>
      </c>
    </row>
    <row r="62" spans="1:7" x14ac:dyDescent="0.3">
      <c r="B62" s="10" t="s">
        <v>1116</v>
      </c>
      <c r="C62" t="s">
        <v>1080</v>
      </c>
      <c r="E62" s="2" t="s">
        <v>993</v>
      </c>
      <c r="F62" s="11">
        <v>12</v>
      </c>
    </row>
    <row r="63" spans="1:7" x14ac:dyDescent="0.3">
      <c r="B63" s="10" t="s">
        <v>1117</v>
      </c>
      <c r="C63" t="s">
        <v>1080</v>
      </c>
      <c r="E63" s="2" t="s">
        <v>994</v>
      </c>
      <c r="F63" s="11">
        <v>13</v>
      </c>
    </row>
    <row r="64" spans="1:7" x14ac:dyDescent="0.3">
      <c r="B64" s="5" t="s">
        <v>1118</v>
      </c>
      <c r="C64" t="s">
        <v>1094</v>
      </c>
      <c r="F64" s="11"/>
      <c r="G64" t="s">
        <v>1099</v>
      </c>
    </row>
    <row r="65" spans="1:7" ht="15" customHeight="1" thickBot="1" x14ac:dyDescent="0.35">
      <c r="B65" s="6" t="s">
        <v>1100</v>
      </c>
      <c r="C65" s="12" t="s">
        <v>1094</v>
      </c>
      <c r="D65" s="12"/>
      <c r="E65" s="12"/>
      <c r="F65" s="13"/>
      <c r="G65" t="s">
        <v>1101</v>
      </c>
    </row>
    <row r="66" spans="1:7" ht="15" customHeight="1" thickBot="1" x14ac:dyDescent="0.35"/>
    <row r="67" spans="1:7" ht="15" customHeight="1" thickBot="1" x14ac:dyDescent="0.35">
      <c r="A67" s="3" t="s">
        <v>1119</v>
      </c>
      <c r="B67" s="7" t="s">
        <v>1064</v>
      </c>
      <c r="C67" s="8" t="s">
        <v>1065</v>
      </c>
      <c r="D67" s="8" t="s">
        <v>1066</v>
      </c>
      <c r="E67" s="8" t="s">
        <v>1067</v>
      </c>
      <c r="F67" s="9" t="s">
        <v>1068</v>
      </c>
    </row>
    <row r="68" spans="1:7" x14ac:dyDescent="0.3">
      <c r="B68" s="5" t="s">
        <v>996</v>
      </c>
      <c r="C68" t="s">
        <v>1094</v>
      </c>
      <c r="E68" t="str">
        <f>'Historical Events Adjustment'!A1</f>
        <v>EventID</v>
      </c>
      <c r="F68" s="11">
        <v>1</v>
      </c>
    </row>
    <row r="69" spans="1:7" x14ac:dyDescent="0.3">
      <c r="B69" s="5" t="s">
        <v>1120</v>
      </c>
      <c r="C69" t="s">
        <v>1069</v>
      </c>
      <c r="D69">
        <v>100</v>
      </c>
      <c r="E69" t="str">
        <f>'Historical Events Adjustment'!B1</f>
        <v>Event Name</v>
      </c>
      <c r="F69" s="11">
        <v>2</v>
      </c>
      <c r="G69" t="s">
        <v>1121</v>
      </c>
    </row>
    <row r="70" spans="1:7" x14ac:dyDescent="0.3">
      <c r="B70" s="5" t="s">
        <v>2</v>
      </c>
      <c r="C70" t="s">
        <v>1069</v>
      </c>
      <c r="D70">
        <v>500</v>
      </c>
      <c r="E70" t="str">
        <f>'Historical Events Adjustment'!C1</f>
        <v>ILSName (has to be exactly same as ILS Name in Bound details)</v>
      </c>
      <c r="F70" s="11">
        <v>3</v>
      </c>
      <c r="G70" t="s">
        <v>1070</v>
      </c>
    </row>
    <row r="71" spans="1:7" x14ac:dyDescent="0.3">
      <c r="B71" s="5" t="s">
        <v>1122</v>
      </c>
      <c r="C71" t="s">
        <v>1080</v>
      </c>
      <c r="E71" t="str">
        <f>'Historical Events Adjustment'!D1</f>
        <v>Additional Adjustment</v>
      </c>
      <c r="F71" s="11">
        <v>4</v>
      </c>
    </row>
    <row r="72" spans="1:7" x14ac:dyDescent="0.3">
      <c r="B72" s="5" t="s">
        <v>1118</v>
      </c>
      <c r="C72" t="s">
        <v>1094</v>
      </c>
      <c r="F72" s="11"/>
      <c r="G72" t="s">
        <v>1099</v>
      </c>
    </row>
    <row r="73" spans="1:7" ht="15" customHeight="1" thickBot="1" x14ac:dyDescent="0.35">
      <c r="B73" s="6" t="s">
        <v>1100</v>
      </c>
      <c r="C73" s="12" t="s">
        <v>1094</v>
      </c>
      <c r="D73" s="12"/>
      <c r="E73" s="12"/>
      <c r="F73" s="13"/>
      <c r="G73" t="s">
        <v>1101</v>
      </c>
    </row>
    <row r="74" spans="1:7" ht="15" customHeight="1" thickBot="1" x14ac:dyDescent="0.35"/>
    <row r="75" spans="1:7" ht="15" customHeight="1" thickBot="1" x14ac:dyDescent="0.35">
      <c r="A75" s="3" t="s">
        <v>1123</v>
      </c>
      <c r="B75" s="7" t="s">
        <v>1064</v>
      </c>
      <c r="C75" s="8" t="s">
        <v>1065</v>
      </c>
      <c r="D75" s="8" t="s">
        <v>1066</v>
      </c>
      <c r="E75" s="8" t="s">
        <v>1067</v>
      </c>
      <c r="F75" s="9" t="s">
        <v>1068</v>
      </c>
    </row>
    <row r="76" spans="1:7" x14ac:dyDescent="0.3">
      <c r="B76" s="5" t="s">
        <v>1001</v>
      </c>
      <c r="C76" t="s">
        <v>1069</v>
      </c>
      <c r="D76">
        <v>255</v>
      </c>
      <c r="E76" t="str">
        <f>Guidelines!A$1</f>
        <v>ConstraintType</v>
      </c>
      <c r="F76" s="11">
        <v>1</v>
      </c>
    </row>
    <row r="77" spans="1:7" x14ac:dyDescent="0.3">
      <c r="B77" s="5" t="s">
        <v>1002</v>
      </c>
      <c r="C77" t="s">
        <v>1069</v>
      </c>
      <c r="D77">
        <v>255</v>
      </c>
      <c r="E77" t="str">
        <f>Guidelines!B$1</f>
        <v>ConstraintName</v>
      </c>
      <c r="F77" s="11">
        <v>2</v>
      </c>
    </row>
    <row r="78" spans="1:7" x14ac:dyDescent="0.3">
      <c r="B78" s="5" t="s">
        <v>1003</v>
      </c>
      <c r="C78" t="s">
        <v>1080</v>
      </c>
      <c r="E78" t="str">
        <f>Guidelines!C$1</f>
        <v>SingleLimit</v>
      </c>
      <c r="F78" s="11">
        <v>3</v>
      </c>
    </row>
    <row r="79" spans="1:7" x14ac:dyDescent="0.3">
      <c r="B79" s="15" t="s">
        <v>1004</v>
      </c>
      <c r="C79" t="s">
        <v>1080</v>
      </c>
      <c r="E79" t="str">
        <f>Guidelines!D$1</f>
        <v>MaxLimit</v>
      </c>
      <c r="F79" s="11">
        <v>4</v>
      </c>
    </row>
    <row r="80" spans="1:7" x14ac:dyDescent="0.3">
      <c r="B80" s="5" t="s">
        <v>1005</v>
      </c>
      <c r="C80" t="s">
        <v>1069</v>
      </c>
      <c r="D80">
        <v>100</v>
      </c>
      <c r="E80" t="str">
        <f>Guidelines!E$1</f>
        <v>LossType</v>
      </c>
      <c r="F80" s="11">
        <v>5</v>
      </c>
    </row>
    <row r="81" spans="1:7" x14ac:dyDescent="0.3">
      <c r="B81" s="5" t="s">
        <v>1006</v>
      </c>
      <c r="C81" t="s">
        <v>1094</v>
      </c>
      <c r="E81" t="str">
        <f>Guidelines!F$1</f>
        <v>ReturnPeriod</v>
      </c>
      <c r="F81" s="11">
        <v>6</v>
      </c>
    </row>
    <row r="82" spans="1:7" x14ac:dyDescent="0.3">
      <c r="B82" s="5" t="s">
        <v>769</v>
      </c>
      <c r="C82" t="s">
        <v>1094</v>
      </c>
      <c r="F82" s="11"/>
      <c r="G82" t="s">
        <v>1099</v>
      </c>
    </row>
    <row r="83" spans="1:7" ht="15" customHeight="1" thickBot="1" x14ac:dyDescent="0.35">
      <c r="B83" s="6" t="s">
        <v>1100</v>
      </c>
      <c r="C83" s="12" t="s">
        <v>1094</v>
      </c>
      <c r="D83" s="12"/>
      <c r="E83" s="12"/>
      <c r="F83" s="13"/>
      <c r="G83" t="s">
        <v>1101</v>
      </c>
    </row>
    <row r="84" spans="1:7" ht="15" customHeight="1" thickBot="1" x14ac:dyDescent="0.35"/>
    <row r="85" spans="1:7" ht="15" customHeight="1" thickBot="1" x14ac:dyDescent="0.35">
      <c r="A85" s="3" t="s">
        <v>1124</v>
      </c>
      <c r="B85" s="7" t="s">
        <v>1064</v>
      </c>
      <c r="C85" s="8" t="s">
        <v>1065</v>
      </c>
      <c r="D85" s="8" t="s">
        <v>1066</v>
      </c>
      <c r="E85" s="8" t="s">
        <v>1067</v>
      </c>
      <c r="F85" s="9" t="s">
        <v>1068</v>
      </c>
    </row>
    <row r="86" spans="1:7" x14ac:dyDescent="0.3">
      <c r="B86" s="5" t="s">
        <v>769</v>
      </c>
      <c r="C86" t="s">
        <v>1080</v>
      </c>
      <c r="F86" s="11"/>
    </row>
    <row r="87" spans="1:7" x14ac:dyDescent="0.3">
      <c r="B87" s="5" t="s">
        <v>771</v>
      </c>
      <c r="C87" t="s">
        <v>1069</v>
      </c>
      <c r="D87">
        <v>50</v>
      </c>
      <c r="F87" s="11"/>
    </row>
    <row r="88" spans="1:7" x14ac:dyDescent="0.3">
      <c r="B88" s="5" t="s">
        <v>979</v>
      </c>
      <c r="C88" t="s">
        <v>1080</v>
      </c>
      <c r="F88" s="11"/>
    </row>
    <row r="89" spans="1:7" x14ac:dyDescent="0.3">
      <c r="B89" s="5" t="s">
        <v>774</v>
      </c>
      <c r="C89" t="s">
        <v>1069</v>
      </c>
      <c r="D89">
        <v>510</v>
      </c>
      <c r="F89" s="11"/>
    </row>
    <row r="90" spans="1:7" x14ac:dyDescent="0.3">
      <c r="B90" s="5" t="s">
        <v>981</v>
      </c>
      <c r="C90" t="s">
        <v>1125</v>
      </c>
      <c r="F90" s="11"/>
    </row>
    <row r="91" spans="1:7" x14ac:dyDescent="0.3">
      <c r="B91" s="5" t="s">
        <v>775</v>
      </c>
      <c r="C91" t="s">
        <v>1069</v>
      </c>
      <c r="D91">
        <v>2048</v>
      </c>
      <c r="F91" s="11"/>
    </row>
    <row r="92" spans="1:7" ht="15" customHeight="1" thickBot="1" x14ac:dyDescent="0.35">
      <c r="B92" s="6" t="s">
        <v>1126</v>
      </c>
      <c r="C92" s="12" t="s">
        <v>1069</v>
      </c>
      <c r="D92" s="12">
        <v>255</v>
      </c>
      <c r="E92" s="12"/>
      <c r="F92" s="13"/>
    </row>
  </sheetData>
  <conditionalFormatting sqref="F3 F6 F9 F12 F15 F18 F21 F24 F27 F30 F33 F36 F39 F42">
    <cfRule type="duplicateValues" dxfId="0" priority="1"/>
  </conditionalFormatting>
  <pageMargins left="0.7" right="0.7" top="0.75" bottom="0.75" header="0.3" footer="0.3"/>
  <pageSetup orientation="portrait" horizontalDpi="90" verticalDpi="9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G76"/>
  <sheetViews>
    <sheetView workbookViewId="0">
      <selection activeCell="C25" sqref="C25"/>
    </sheetView>
  </sheetViews>
  <sheetFormatPr defaultColWidth="9.109375" defaultRowHeight="14.4" x14ac:dyDescent="0.3"/>
  <cols>
    <col min="1" max="1" width="33" customWidth="1"/>
    <col min="2" max="2" width="39.109375" bestFit="1" customWidth="1"/>
    <col min="3" max="3" width="29.6640625" bestFit="1" customWidth="1"/>
    <col min="4" max="4" width="25.88671875" bestFit="1" customWidth="1"/>
    <col min="5" max="5" width="29.33203125" bestFit="1" customWidth="1"/>
    <col min="6" max="6" width="8.88671875" customWidth="1"/>
    <col min="8" max="9" width="8.88671875" customWidth="1"/>
  </cols>
  <sheetData>
    <row r="1" spans="1:7" ht="15" customHeight="1" thickBot="1" x14ac:dyDescent="0.35">
      <c r="A1" s="3" t="s">
        <v>1127</v>
      </c>
      <c r="B1" s="7" t="s">
        <v>1128</v>
      </c>
      <c r="C1" s="8" t="s">
        <v>1129</v>
      </c>
      <c r="D1" s="9" t="s">
        <v>1130</v>
      </c>
      <c r="G1" s="8" t="s">
        <v>1065</v>
      </c>
    </row>
    <row r="2" spans="1:7" x14ac:dyDescent="0.3">
      <c r="B2" s="5" t="s">
        <v>1131</v>
      </c>
      <c r="C2" t="s">
        <v>1132</v>
      </c>
      <c r="D2" s="11">
        <v>2</v>
      </c>
      <c r="G2" t="s">
        <v>1069</v>
      </c>
    </row>
    <row r="3" spans="1:7" x14ac:dyDescent="0.3">
      <c r="B3" s="5" t="s">
        <v>1133</v>
      </c>
      <c r="C3" t="s">
        <v>1132</v>
      </c>
      <c r="D3" s="11">
        <v>3</v>
      </c>
      <c r="G3" t="s">
        <v>1069</v>
      </c>
    </row>
    <row r="4" spans="1:7" x14ac:dyDescent="0.3">
      <c r="B4" s="5" t="s">
        <v>1134</v>
      </c>
      <c r="C4" t="s">
        <v>1132</v>
      </c>
      <c r="D4" s="11">
        <v>4</v>
      </c>
      <c r="G4" t="s">
        <v>1069</v>
      </c>
    </row>
    <row r="5" spans="1:7" x14ac:dyDescent="0.3">
      <c r="B5" s="5" t="s">
        <v>1135</v>
      </c>
      <c r="C5" t="s">
        <v>1136</v>
      </c>
      <c r="D5" s="11" t="s">
        <v>1136</v>
      </c>
      <c r="G5" t="s">
        <v>1071</v>
      </c>
    </row>
    <row r="6" spans="1:7" x14ac:dyDescent="0.3">
      <c r="B6" s="5" t="s">
        <v>1137</v>
      </c>
      <c r="C6" t="s">
        <v>1132</v>
      </c>
      <c r="D6" s="11" t="s">
        <v>1132</v>
      </c>
      <c r="G6" t="s">
        <v>1071</v>
      </c>
    </row>
    <row r="7" spans="1:7" x14ac:dyDescent="0.3">
      <c r="B7" s="5" t="s">
        <v>1138</v>
      </c>
      <c r="D7" s="71" t="s">
        <v>1139</v>
      </c>
      <c r="G7" t="s">
        <v>1071</v>
      </c>
    </row>
    <row r="8" spans="1:7" x14ac:dyDescent="0.3">
      <c r="B8" s="5" t="s">
        <v>1140</v>
      </c>
      <c r="D8" s="71" t="s">
        <v>1141</v>
      </c>
      <c r="G8" t="s">
        <v>1071</v>
      </c>
    </row>
    <row r="9" spans="1:7" x14ac:dyDescent="0.3">
      <c r="B9" s="5" t="s">
        <v>1142</v>
      </c>
      <c r="D9" s="71"/>
      <c r="G9" t="s">
        <v>1069</v>
      </c>
    </row>
    <row r="10" spans="1:7" x14ac:dyDescent="0.3">
      <c r="B10" s="5" t="s">
        <v>1143</v>
      </c>
      <c r="D10" s="71"/>
      <c r="G10" t="s">
        <v>1069</v>
      </c>
    </row>
    <row r="11" spans="1:7" x14ac:dyDescent="0.3">
      <c r="B11" s="5" t="s">
        <v>1144</v>
      </c>
      <c r="C11" t="s">
        <v>1145</v>
      </c>
      <c r="D11" s="11">
        <v>15</v>
      </c>
      <c r="G11" t="s">
        <v>1069</v>
      </c>
    </row>
    <row r="12" spans="1:7" ht="15" customHeight="1" thickBot="1" x14ac:dyDescent="0.35">
      <c r="B12" s="6" t="s">
        <v>1146</v>
      </c>
      <c r="C12" s="12" t="s">
        <v>1145</v>
      </c>
      <c r="D12" s="13">
        <v>5</v>
      </c>
      <c r="G12" t="s">
        <v>1069</v>
      </c>
    </row>
    <row r="13" spans="1:7" ht="15" customHeight="1" thickBot="1" x14ac:dyDescent="0.35">
      <c r="G13" t="s">
        <v>1069</v>
      </c>
    </row>
    <row r="14" spans="1:7" ht="15" customHeight="1" thickBot="1" x14ac:dyDescent="0.35">
      <c r="A14" s="3" t="s">
        <v>1147</v>
      </c>
      <c r="B14" s="18" t="s">
        <v>1148</v>
      </c>
      <c r="C14" s="19" t="s">
        <v>1149</v>
      </c>
      <c r="D14" s="19" t="s">
        <v>1150</v>
      </c>
      <c r="E14" s="20" t="s">
        <v>1151</v>
      </c>
      <c r="G14" t="s">
        <v>1069</v>
      </c>
    </row>
    <row r="15" spans="1:7" x14ac:dyDescent="0.3">
      <c r="A15" s="1"/>
      <c r="B15" s="18" t="s">
        <v>1063</v>
      </c>
      <c r="C15" s="19">
        <f>ROW('Bound Portfolio Report'!A1)</f>
        <v>1</v>
      </c>
      <c r="D15" s="19">
        <f>$C15+1</f>
        <v>2</v>
      </c>
      <c r="E15" s="20">
        <f>MATCH(B15,BoundPortfolioDetails!A:A,0)+1</f>
        <v>2</v>
      </c>
      <c r="G15" t="s">
        <v>1069</v>
      </c>
    </row>
    <row r="16" spans="1:7" x14ac:dyDescent="0.3">
      <c r="B16" s="5" t="s">
        <v>1102</v>
      </c>
      <c r="C16">
        <f>ROW('Profit and Loss'!A1)</f>
        <v>1</v>
      </c>
      <c r="D16">
        <f>$C16+1</f>
        <v>2</v>
      </c>
      <c r="E16" s="11">
        <f>MATCH(B16,BoundPortfolioDetails!A:A,0)+1</f>
        <v>51</v>
      </c>
      <c r="G16" t="s">
        <v>1069</v>
      </c>
    </row>
    <row r="17" spans="2:7" x14ac:dyDescent="0.3">
      <c r="B17" s="5" t="s">
        <v>1119</v>
      </c>
      <c r="C17">
        <f>ROW('Historical Events Adjustment'!A1)</f>
        <v>1</v>
      </c>
      <c r="D17">
        <f>$C17+1</f>
        <v>2</v>
      </c>
      <c r="E17" s="11">
        <f>MATCH(B17,BoundPortfolioDetails!A:A,0)+1</f>
        <v>68</v>
      </c>
      <c r="G17" t="s">
        <v>1080</v>
      </c>
    </row>
    <row r="18" spans="2:7" x14ac:dyDescent="0.3">
      <c r="B18" s="5" t="s">
        <v>1123</v>
      </c>
      <c r="C18">
        <f>ROW(Guidelines!A1)</f>
        <v>1</v>
      </c>
      <c r="D18">
        <f>$C18+1</f>
        <v>2</v>
      </c>
      <c r="E18" s="11">
        <f>MATCH(B18,BoundPortfolioDetails!A:A,0)+1</f>
        <v>76</v>
      </c>
      <c r="G18" t="s">
        <v>1080</v>
      </c>
    </row>
    <row r="19" spans="2:7" ht="15" customHeight="1" thickBot="1" x14ac:dyDescent="0.35">
      <c r="B19" s="6" t="s">
        <v>1124</v>
      </c>
      <c r="C19" s="12">
        <f>ROW(BoundPortfolio!A1)</f>
        <v>1</v>
      </c>
      <c r="D19" s="12">
        <f>$C19+1</f>
        <v>2</v>
      </c>
      <c r="E19" s="13">
        <f>MATCH(B19,BoundPortfolioDetails!A:A,0)+1</f>
        <v>86</v>
      </c>
      <c r="G19" t="s">
        <v>1069</v>
      </c>
    </row>
    <row r="20" spans="2:7" x14ac:dyDescent="0.3">
      <c r="G20" t="s">
        <v>1080</v>
      </c>
    </row>
    <row r="21" spans="2:7" x14ac:dyDescent="0.3">
      <c r="G21" t="s">
        <v>1080</v>
      </c>
    </row>
    <row r="22" spans="2:7" x14ac:dyDescent="0.3">
      <c r="G22" t="s">
        <v>1080</v>
      </c>
    </row>
    <row r="23" spans="2:7" x14ac:dyDescent="0.3">
      <c r="G23" t="s">
        <v>1080</v>
      </c>
    </row>
    <row r="24" spans="2:7" x14ac:dyDescent="0.3">
      <c r="G24" t="s">
        <v>1069</v>
      </c>
    </row>
    <row r="25" spans="2:7" x14ac:dyDescent="0.3">
      <c r="G25" t="s">
        <v>1080</v>
      </c>
    </row>
    <row r="26" spans="2:7" x14ac:dyDescent="0.3">
      <c r="G26" t="s">
        <v>1069</v>
      </c>
    </row>
    <row r="27" spans="2:7" x14ac:dyDescent="0.3">
      <c r="G27" t="s">
        <v>1094</v>
      </c>
    </row>
    <row r="28" spans="2:7" x14ac:dyDescent="0.3">
      <c r="G28" t="s">
        <v>1071</v>
      </c>
    </row>
    <row r="29" spans="2:7" x14ac:dyDescent="0.3">
      <c r="G29" t="s">
        <v>1071</v>
      </c>
    </row>
    <row r="30" spans="2:7" x14ac:dyDescent="0.3">
      <c r="G30" t="s">
        <v>1069</v>
      </c>
    </row>
    <row r="31" spans="2:7" x14ac:dyDescent="0.3">
      <c r="G31" t="s">
        <v>1069</v>
      </c>
    </row>
    <row r="32" spans="2:7" x14ac:dyDescent="0.3">
      <c r="G32" t="s">
        <v>1069</v>
      </c>
    </row>
    <row r="33" spans="7:7" x14ac:dyDescent="0.3">
      <c r="G33" t="s">
        <v>1071</v>
      </c>
    </row>
    <row r="34" spans="7:7" x14ac:dyDescent="0.3">
      <c r="G34" t="s">
        <v>1080</v>
      </c>
    </row>
    <row r="35" spans="7:7" x14ac:dyDescent="0.3">
      <c r="G35" t="s">
        <v>1080</v>
      </c>
    </row>
    <row r="36" spans="7:7" x14ac:dyDescent="0.3">
      <c r="G36" t="s">
        <v>1094</v>
      </c>
    </row>
    <row r="37" spans="7:7" ht="15" customHeight="1" thickBot="1" x14ac:dyDescent="0.35">
      <c r="G37" s="12" t="s">
        <v>1094</v>
      </c>
    </row>
    <row r="38" spans="7:7" ht="15" customHeight="1" thickBot="1" x14ac:dyDescent="0.35"/>
    <row r="39" spans="7:7" ht="15" customHeight="1" thickBot="1" x14ac:dyDescent="0.35">
      <c r="G39" s="8" t="s">
        <v>1065</v>
      </c>
    </row>
    <row r="40" spans="7:7" x14ac:dyDescent="0.3">
      <c r="G40" t="s">
        <v>1080</v>
      </c>
    </row>
    <row r="41" spans="7:7" x14ac:dyDescent="0.3">
      <c r="G41" t="s">
        <v>1080</v>
      </c>
    </row>
    <row r="42" spans="7:7" x14ac:dyDescent="0.3">
      <c r="G42" t="s">
        <v>1069</v>
      </c>
    </row>
    <row r="43" spans="7:7" x14ac:dyDescent="0.3">
      <c r="G43" t="s">
        <v>1080</v>
      </c>
    </row>
    <row r="44" spans="7:7" x14ac:dyDescent="0.3">
      <c r="G44" t="s">
        <v>1080</v>
      </c>
    </row>
    <row r="45" spans="7:7" x14ac:dyDescent="0.3">
      <c r="G45" t="s">
        <v>1080</v>
      </c>
    </row>
    <row r="46" spans="7:7" x14ac:dyDescent="0.3">
      <c r="G46" t="s">
        <v>1080</v>
      </c>
    </row>
    <row r="47" spans="7:7" x14ac:dyDescent="0.3">
      <c r="G47" t="s">
        <v>1080</v>
      </c>
    </row>
    <row r="48" spans="7:7" x14ac:dyDescent="0.3">
      <c r="G48" t="s">
        <v>1080</v>
      </c>
    </row>
    <row r="49" spans="7:7" x14ac:dyDescent="0.3">
      <c r="G49" t="s">
        <v>1094</v>
      </c>
    </row>
    <row r="50" spans="7:7" ht="15" customHeight="1" thickBot="1" x14ac:dyDescent="0.35">
      <c r="G50" s="12" t="s">
        <v>1094</v>
      </c>
    </row>
    <row r="51" spans="7:7" ht="15" customHeight="1" thickBot="1" x14ac:dyDescent="0.35"/>
    <row r="52" spans="7:7" ht="15" customHeight="1" thickBot="1" x14ac:dyDescent="0.35">
      <c r="G52" s="8" t="s">
        <v>1065</v>
      </c>
    </row>
    <row r="53" spans="7:7" x14ac:dyDescent="0.3">
      <c r="G53" t="s">
        <v>1094</v>
      </c>
    </row>
    <row r="54" spans="7:7" x14ac:dyDescent="0.3">
      <c r="G54" t="s">
        <v>1069</v>
      </c>
    </row>
    <row r="55" spans="7:7" x14ac:dyDescent="0.3">
      <c r="G55" t="s">
        <v>1069</v>
      </c>
    </row>
    <row r="56" spans="7:7" x14ac:dyDescent="0.3">
      <c r="G56" t="s">
        <v>1080</v>
      </c>
    </row>
    <row r="57" spans="7:7" x14ac:dyDescent="0.3">
      <c r="G57" t="s">
        <v>1094</v>
      </c>
    </row>
    <row r="58" spans="7:7" ht="15" customHeight="1" thickBot="1" x14ac:dyDescent="0.35">
      <c r="G58" s="12" t="s">
        <v>1094</v>
      </c>
    </row>
    <row r="59" spans="7:7" ht="15" customHeight="1" thickBot="1" x14ac:dyDescent="0.35"/>
    <row r="60" spans="7:7" ht="15" customHeight="1" thickBot="1" x14ac:dyDescent="0.35">
      <c r="G60" s="8" t="s">
        <v>1065</v>
      </c>
    </row>
    <row r="61" spans="7:7" x14ac:dyDescent="0.3">
      <c r="G61" t="s">
        <v>1069</v>
      </c>
    </row>
    <row r="62" spans="7:7" x14ac:dyDescent="0.3">
      <c r="G62" t="s">
        <v>1069</v>
      </c>
    </row>
    <row r="63" spans="7:7" x14ac:dyDescent="0.3">
      <c r="G63" t="s">
        <v>1080</v>
      </c>
    </row>
    <row r="64" spans="7:7" x14ac:dyDescent="0.3">
      <c r="G64" t="s">
        <v>1080</v>
      </c>
    </row>
    <row r="65" spans="7:7" x14ac:dyDescent="0.3">
      <c r="G65" t="s">
        <v>1069</v>
      </c>
    </row>
    <row r="66" spans="7:7" x14ac:dyDescent="0.3">
      <c r="G66" t="s">
        <v>1094</v>
      </c>
    </row>
    <row r="67" spans="7:7" x14ac:dyDescent="0.3">
      <c r="G67" t="s">
        <v>1094</v>
      </c>
    </row>
    <row r="68" spans="7:7" ht="15" customHeight="1" thickBot="1" x14ac:dyDescent="0.35">
      <c r="G68" s="12" t="s">
        <v>1094</v>
      </c>
    </row>
    <row r="69" spans="7:7" ht="15" customHeight="1" thickBot="1" x14ac:dyDescent="0.35"/>
    <row r="70" spans="7:7" ht="15" customHeight="1" thickBot="1" x14ac:dyDescent="0.35">
      <c r="G70" s="8" t="s">
        <v>1065</v>
      </c>
    </row>
    <row r="71" spans="7:7" x14ac:dyDescent="0.3">
      <c r="G71" t="s">
        <v>1080</v>
      </c>
    </row>
    <row r="72" spans="7:7" x14ac:dyDescent="0.3">
      <c r="G72" t="s">
        <v>1069</v>
      </c>
    </row>
    <row r="73" spans="7:7" x14ac:dyDescent="0.3">
      <c r="G73" t="s">
        <v>1080</v>
      </c>
    </row>
    <row r="74" spans="7:7" x14ac:dyDescent="0.3">
      <c r="G74" t="s">
        <v>1069</v>
      </c>
    </row>
    <row r="75" spans="7:7" x14ac:dyDescent="0.3">
      <c r="G75" t="s">
        <v>1125</v>
      </c>
    </row>
    <row r="76" spans="7:7" ht="15" customHeight="1" thickBot="1" x14ac:dyDescent="0.35">
      <c r="G76" s="12" t="s">
        <v>1069</v>
      </c>
    </row>
  </sheetData>
  <pageMargins left="0.7" right="0.7" top="0.75" bottom="0.75" header="0.3" footer="0.3"/>
  <pageSetup orientation="portrait" horizontalDpi="90" verticalDpi="9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Control Checks</vt:lpstr>
      <vt:lpstr>Bound Portfolio Report</vt:lpstr>
      <vt:lpstr>BoundPortfolio</vt:lpstr>
      <vt:lpstr>ETF Portfolio</vt:lpstr>
      <vt:lpstr>ILS Data pull</vt:lpstr>
      <vt:lpstr>TestCasePositions</vt:lpstr>
      <vt:lpstr>TestCaseHeaders</vt:lpstr>
      <vt:lpstr>Profit and Loss</vt:lpstr>
      <vt:lpstr>Historical Events Adjustment</vt:lpstr>
      <vt:lpstr>Guidelines</vt:lpstr>
      <vt:lpstr>BoundPortfolioDetails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Mali, Akshaya</dc:creator>
  <cp:lastModifiedBy>sindhu raghavan</cp:lastModifiedBy>
  <cp:lastPrinted>2020-06-02T14:20:35Z</cp:lastPrinted>
  <dcterms:created xsi:type="dcterms:W3CDTF">2020-04-22T07:09:09Z</dcterms:created>
  <dcterms:modified xsi:type="dcterms:W3CDTF">2026-07-21T03:08:20Z</dcterms:modified>
</cp:coreProperties>
</file>