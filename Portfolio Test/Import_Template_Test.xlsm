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APL_USER\Desktop\UI Testing\Portfolio Test\PortfolioTestCasefiles\Automation\"/>
    </mc:Choice>
  </mc:AlternateContent>
  <xr:revisionPtr revIDLastSave="0" documentId="13_ncr:1_{D59D97A4-4137-4227-B4AE-802C40B85E63}" xr6:coauthVersionLast="47" xr6:coauthVersionMax="47" xr10:uidLastSave="{00000000-0000-0000-0000-000000000000}"/>
  <bookViews>
    <workbookView xWindow="-108" yWindow="-108" windowWidth="23256" windowHeight="12456" tabRatio="857" firstSheet="3" activeTab="5" xr2:uid="{00000000-000D-0000-FFFF-FFFF00000000}"/>
  </bookViews>
  <sheets>
    <sheet name="Control Checks" sheetId="1" state="hidden" r:id="rId1"/>
    <sheet name="Bound Portfolio Report" sheetId="2" state="hidden" r:id="rId2"/>
    <sheet name="BoundPortfolio" sheetId="3" state="hidden" r:id="rId3"/>
    <sheet name="ETF Portfolio" sheetId="12" r:id="rId4"/>
    <sheet name="ILS Data pull" sheetId="11" r:id="rId5"/>
    <sheet name="TestCasePositions" sheetId="10" r:id="rId6"/>
    <sheet name="TestCaseHeaders" sheetId="9" r:id="rId7"/>
    <sheet name="Profit and Loss" sheetId="4" r:id="rId8"/>
    <sheet name="Historical Events Adjustment" sheetId="5" state="hidden" r:id="rId9"/>
    <sheet name="Guidelines" sheetId="6" r:id="rId10"/>
    <sheet name="BoundPortfolioDetails" sheetId="7" r:id="rId11"/>
    <sheet name="Setup" sheetId="8" r:id="rId12"/>
  </sheets>
  <functionGroups builtInGroupCount="19"/>
  <externalReferences>
    <externalReference r:id="rId13"/>
  </externalReferences>
  <definedNames>
    <definedName name="_100__Premium">#REF!</definedName>
    <definedName name="_100_AEP">#REF!</definedName>
    <definedName name="_500_AEP">#REF!</definedName>
    <definedName name="_xlnm._FilterDatabase" localSheetId="3" hidden="1">'ETF Portfolio'!$A$7:$AK$56</definedName>
    <definedName name="_xlnm._FilterDatabase" localSheetId="4" hidden="1">'ILS Data pull'!$A$1:$H$327</definedName>
    <definedName name="_xlnm._FilterDatabase" localSheetId="5" hidden="1">TestCasePositions!$A$1:$AT$15</definedName>
    <definedName name="Actual___of_AUM">#REF!</definedName>
    <definedName name="Aggregate_Limit__100">#REF!</definedName>
    <definedName name="AIR_ARe_LayerID">[1]BoundLayerDB!$D$3:$D$1048576</definedName>
    <definedName name="Avg_Rate_Change_Projection">#REF!</definedName>
    <definedName name="Bond_Price__Binding">#REF!</definedName>
    <definedName name="Bound_Date">#REF!</definedName>
    <definedName name="CipherID">#REF!</definedName>
    <definedName name="CIQWBGuid" hidden="1">"f0b1c0f7-41d0-47c3-b294-5242a657cad6"</definedName>
    <definedName name="Co_TVAR_100">#REF!</definedName>
    <definedName name="Co_TVAR_1000">#REF!</definedName>
    <definedName name="Collateral__Fronted">#REF!</definedName>
    <definedName name="Collateral_Fee">#REF!</definedName>
    <definedName name="Collateral_Premium">#REF!</definedName>
    <definedName name="Comment">#REF!</definedName>
    <definedName name="dMillion">1000000</definedName>
    <definedName name="dNoSH">#REF!</definedName>
    <definedName name="dSharePrice">#REF!</definedName>
    <definedName name="Exception_Approval">#REF!</definedName>
    <definedName name="Exp._Loss">#REF!</definedName>
    <definedName name="Expiration_Date">#REF!</definedName>
    <definedName name="Fronted">#REF!</definedName>
    <definedName name="Fronting">#REF!</definedName>
    <definedName name="Fronting_Fee">#REF!</definedName>
    <definedName name="Guideline_Check">#REF!</definedName>
    <definedName name="Hedges">#REF!</definedName>
    <definedName name="Initial_Fees">#REF!</definedName>
    <definedName name="Invested_AUM">#REF!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EXPENSE_CODE_" hidden="1">"019802400"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42319.6118981481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Issuer">#REF!</definedName>
    <definedName name="Layer_with_Analysis_Profile">#REF!</definedName>
    <definedName name="Layer_with_participation">#REF!</definedName>
    <definedName name="Layer_with_updated_expiry">#REF!</definedName>
    <definedName name="Loss_Ratio">#REF!</definedName>
    <definedName name="Name">#REF!</definedName>
    <definedName name="Non_Modeled___PIMCO_View">#REF!</definedName>
    <definedName name="Occ_Limit__100">#REF!</definedName>
    <definedName name="Original_Layer_ID">#REF!</definedName>
    <definedName name="Original_Layer_with_Participation">#REF!</definedName>
    <definedName name="PIMCO_Agg_Limit">#REF!</definedName>
    <definedName name="PIMCO_ARe_LayerID">[1]BoundLayerDB!$B$3:$B$1048576</definedName>
    <definedName name="PIMCO_Occ_Limit">#REF!</definedName>
    <definedName name="PIMCO_Share">#REF!</definedName>
    <definedName name="Premium">#REF!</definedName>
    <definedName name="Profit">#REF!</definedName>
    <definedName name="Return">#REF!</definedName>
    <definedName name="Return_on_Co_TVAR_100">#REF!</definedName>
    <definedName name="ROL">#REF!</definedName>
    <definedName name="SD">#REF!</definedName>
    <definedName name="Security_Instrument">#REF!</definedName>
    <definedName name="Single_Risk_Guideline">#REF!</definedName>
    <definedName name="SpreadsheetBuilder_1" hidden="1">#REF!</definedName>
    <definedName name="SpreadsheetBuilder_15" hidden="1">#REF!</definedName>
    <definedName name="SpreadsheetBuilder_16" hidden="1">#REF!</definedName>
    <definedName name="SpreadsheetBuilder_2" hidden="1">#REF!</definedName>
    <definedName name="SpreadsheetBuilder_3" hidden="1">#REF!</definedName>
    <definedName name="SpreadsheetBuilder_4" hidden="1">#REF!</definedName>
    <definedName name="SpreadsheetBuilder_5" hidden="1">#REF!</definedName>
    <definedName name="SpreadsheetBuilder_6" hidden="1">#REF!</definedName>
    <definedName name="TTM">#REF!</definedName>
    <definedName name="UW_Expens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2" i="10" l="1"/>
  <c r="AO3" i="10"/>
  <c r="AO4" i="10"/>
  <c r="AO5" i="10"/>
  <c r="AO6" i="10"/>
  <c r="AO7" i="10"/>
  <c r="AO8" i="10"/>
  <c r="AO9" i="10"/>
  <c r="AO10" i="10"/>
  <c r="AO11" i="10"/>
  <c r="AO12" i="10"/>
  <c r="AO13" i="10"/>
  <c r="AO14" i="10"/>
  <c r="AO15" i="10"/>
  <c r="AN2" i="10"/>
  <c r="AN3" i="10"/>
  <c r="AN4" i="10"/>
  <c r="AN5" i="10"/>
  <c r="AN6" i="10"/>
  <c r="AN7" i="10"/>
  <c r="AN8" i="10"/>
  <c r="AN9" i="10"/>
  <c r="AN10" i="10"/>
  <c r="AN11" i="10"/>
  <c r="AN12" i="10"/>
  <c r="AN13" i="10"/>
  <c r="AN14" i="10"/>
  <c r="AN15" i="10"/>
  <c r="AC2" i="10"/>
  <c r="AC3" i="10"/>
  <c r="AC4" i="10"/>
  <c r="AC5" i="10"/>
  <c r="AC6" i="10"/>
  <c r="AC7" i="10"/>
  <c r="AC8" i="10"/>
  <c r="AC9" i="10"/>
  <c r="AC10" i="10"/>
  <c r="AC11" i="10"/>
  <c r="AC12" i="10"/>
  <c r="AC13" i="10"/>
  <c r="AC14" i="10"/>
  <c r="AC15" i="10"/>
  <c r="AA2" i="10"/>
  <c r="AA3" i="10"/>
  <c r="AA4" i="10"/>
  <c r="AA5" i="10"/>
  <c r="AA6" i="10"/>
  <c r="AA7" i="10"/>
  <c r="AA8" i="10"/>
  <c r="AA9" i="10"/>
  <c r="AA10" i="10"/>
  <c r="AA11" i="10"/>
  <c r="AA12" i="10"/>
  <c r="AA13" i="10"/>
  <c r="AA14" i="10"/>
  <c r="AA15" i="10"/>
  <c r="W2" i="10"/>
  <c r="AI2" i="10" s="1"/>
  <c r="AJ2" i="10" s="1"/>
  <c r="AK2" i="10" s="1"/>
  <c r="AL2" i="10" s="1"/>
  <c r="AM2" i="10" s="1"/>
  <c r="W3" i="10"/>
  <c r="AI3" i="10" s="1"/>
  <c r="AJ3" i="10" s="1"/>
  <c r="AK3" i="10" s="1"/>
  <c r="AL3" i="10" s="1"/>
  <c r="AM3" i="10" s="1"/>
  <c r="W4" i="10"/>
  <c r="AI4" i="10" s="1"/>
  <c r="AJ4" i="10" s="1"/>
  <c r="AK4" i="10" s="1"/>
  <c r="AL4" i="10" s="1"/>
  <c r="AM4" i="10" s="1"/>
  <c r="W5" i="10"/>
  <c r="AI5" i="10" s="1"/>
  <c r="AJ5" i="10" s="1"/>
  <c r="AK5" i="10" s="1"/>
  <c r="AL5" i="10" s="1"/>
  <c r="AM5" i="10" s="1"/>
  <c r="W6" i="10"/>
  <c r="AI6" i="10" s="1"/>
  <c r="AJ6" i="10" s="1"/>
  <c r="AK6" i="10" s="1"/>
  <c r="AL6" i="10" s="1"/>
  <c r="AM6" i="10" s="1"/>
  <c r="W7" i="10"/>
  <c r="AI7" i="10" s="1"/>
  <c r="AJ7" i="10" s="1"/>
  <c r="AK7" i="10" s="1"/>
  <c r="AL7" i="10" s="1"/>
  <c r="AM7" i="10" s="1"/>
  <c r="W8" i="10"/>
  <c r="AI8" i="10" s="1"/>
  <c r="AJ8" i="10" s="1"/>
  <c r="AK8" i="10" s="1"/>
  <c r="AL8" i="10" s="1"/>
  <c r="AM8" i="10" s="1"/>
  <c r="W9" i="10"/>
  <c r="AI9" i="10" s="1"/>
  <c r="AJ9" i="10" s="1"/>
  <c r="AK9" i="10" s="1"/>
  <c r="AL9" i="10" s="1"/>
  <c r="AM9" i="10" s="1"/>
  <c r="W10" i="10"/>
  <c r="AI10" i="10" s="1"/>
  <c r="AJ10" i="10" s="1"/>
  <c r="AK10" i="10" s="1"/>
  <c r="AL10" i="10" s="1"/>
  <c r="AM10" i="10" s="1"/>
  <c r="W11" i="10"/>
  <c r="AI11" i="10" s="1"/>
  <c r="AJ11" i="10" s="1"/>
  <c r="AK11" i="10" s="1"/>
  <c r="AL11" i="10" s="1"/>
  <c r="AM11" i="10" s="1"/>
  <c r="W12" i="10"/>
  <c r="AI12" i="10" s="1"/>
  <c r="AJ12" i="10" s="1"/>
  <c r="AK12" i="10" s="1"/>
  <c r="AL12" i="10" s="1"/>
  <c r="AM12" i="10" s="1"/>
  <c r="W13" i="10"/>
  <c r="AI13" i="10" s="1"/>
  <c r="AJ13" i="10" s="1"/>
  <c r="AK13" i="10" s="1"/>
  <c r="AL13" i="10" s="1"/>
  <c r="AM13" i="10" s="1"/>
  <c r="W14" i="10"/>
  <c r="AI14" i="10" s="1"/>
  <c r="AJ14" i="10" s="1"/>
  <c r="AK14" i="10" s="1"/>
  <c r="AL14" i="10" s="1"/>
  <c r="AM14" i="10" s="1"/>
  <c r="W15" i="10"/>
  <c r="AI15" i="10" s="1"/>
  <c r="AJ15" i="10" s="1"/>
  <c r="AK15" i="10" s="1"/>
  <c r="AL15" i="10" s="1"/>
  <c r="AM15" i="10" s="1"/>
  <c r="V2" i="10"/>
  <c r="V3" i="10"/>
  <c r="V4" i="10"/>
  <c r="V5" i="10"/>
  <c r="V6" i="10"/>
  <c r="V7" i="10"/>
  <c r="V8" i="10"/>
  <c r="V9" i="10"/>
  <c r="V10" i="10"/>
  <c r="V11" i="10"/>
  <c r="V12" i="10"/>
  <c r="V13" i="10"/>
  <c r="V14" i="10"/>
  <c r="V15" i="10"/>
  <c r="U2" i="10"/>
  <c r="U3" i="10"/>
  <c r="U4" i="10"/>
  <c r="U5" i="10"/>
  <c r="U6" i="10"/>
  <c r="U7" i="10"/>
  <c r="U8" i="10"/>
  <c r="U9" i="10"/>
  <c r="U10" i="10"/>
  <c r="U11" i="10"/>
  <c r="U12" i="10"/>
  <c r="U13" i="10"/>
  <c r="U14" i="10"/>
  <c r="U15" i="10"/>
  <c r="T2" i="10"/>
  <c r="T3" i="10"/>
  <c r="T4" i="10"/>
  <c r="T5" i="10"/>
  <c r="T6" i="10"/>
  <c r="T7" i="10"/>
  <c r="T8" i="10"/>
  <c r="T9" i="10"/>
  <c r="T10" i="10"/>
  <c r="T11" i="10"/>
  <c r="T12" i="10"/>
  <c r="T13" i="10"/>
  <c r="T14" i="10"/>
  <c r="T15" i="10"/>
  <c r="R2" i="10"/>
  <c r="Z2" i="10" s="1"/>
  <c r="R3" i="10"/>
  <c r="Z3" i="10" s="1"/>
  <c r="R4" i="10"/>
  <c r="Z4" i="10" s="1"/>
  <c r="R5" i="10"/>
  <c r="Z5" i="10" s="1"/>
  <c r="R6" i="10"/>
  <c r="Z6" i="10" s="1"/>
  <c r="R7" i="10"/>
  <c r="Z7" i="10" s="1"/>
  <c r="R8" i="10"/>
  <c r="Z8" i="10" s="1"/>
  <c r="R9" i="10"/>
  <c r="Z9" i="10" s="1"/>
  <c r="R10" i="10"/>
  <c r="Z10" i="10" s="1"/>
  <c r="R11" i="10"/>
  <c r="Z11" i="10" s="1"/>
  <c r="R12" i="10"/>
  <c r="Z12" i="10" s="1"/>
  <c r="R13" i="10"/>
  <c r="Z13" i="10" s="1"/>
  <c r="R14" i="10"/>
  <c r="Z14" i="10" s="1"/>
  <c r="R15" i="10"/>
  <c r="Z15" i="10" s="1"/>
  <c r="P2" i="10" a="1"/>
  <c r="P2" i="10" s="1"/>
  <c r="P3" i="10" a="1"/>
  <c r="P3" i="10" s="1"/>
  <c r="P4" i="10" a="1"/>
  <c r="P4" i="10" s="1"/>
  <c r="P5" i="10" a="1"/>
  <c r="P5" i="10" s="1"/>
  <c r="P6" i="10" a="1"/>
  <c r="P6" i="10" s="1"/>
  <c r="P7" i="10" a="1"/>
  <c r="P7" i="10" s="1"/>
  <c r="P8" i="10" a="1"/>
  <c r="P8" i="10" s="1"/>
  <c r="P9" i="10" a="1"/>
  <c r="P9" i="10" s="1"/>
  <c r="P10" i="10" a="1"/>
  <c r="P10" i="10" s="1"/>
  <c r="P11" i="10" a="1"/>
  <c r="P11" i="10" s="1"/>
  <c r="P12" i="10" a="1"/>
  <c r="P12" i="10" s="1"/>
  <c r="P13" i="10" a="1"/>
  <c r="P13" i="10" s="1"/>
  <c r="P14" i="10" a="1"/>
  <c r="P14" i="10" s="1"/>
  <c r="P15" i="10" a="1"/>
  <c r="P15" i="10" s="1"/>
  <c r="I2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C2" i="10"/>
  <c r="F2" i="10" s="1"/>
  <c r="C3" i="10"/>
  <c r="F3" i="10" s="1"/>
  <c r="C4" i="10"/>
  <c r="E4" i="10" s="1"/>
  <c r="C5" i="10"/>
  <c r="D5" i="10" s="1"/>
  <c r="C6" i="10"/>
  <c r="F6" i="10" s="1"/>
  <c r="C7" i="10"/>
  <c r="E7" i="10" s="1"/>
  <c r="C8" i="10"/>
  <c r="E8" i="10" s="1"/>
  <c r="C9" i="10"/>
  <c r="D9" i="10" s="1"/>
  <c r="C10" i="10"/>
  <c r="E10" i="10" s="1"/>
  <c r="C11" i="10"/>
  <c r="D11" i="10" s="1"/>
  <c r="C12" i="10"/>
  <c r="F12" i="10" s="1"/>
  <c r="C13" i="10"/>
  <c r="D13" i="10" s="1"/>
  <c r="C14" i="10"/>
  <c r="E14" i="10" s="1"/>
  <c r="C15" i="10"/>
  <c r="D15" i="10" s="1"/>
  <c r="AK56" i="12"/>
  <c r="AJ56" i="12"/>
  <c r="AH56" i="12"/>
  <c r="AI56" i="12" s="1"/>
  <c r="AG56" i="12"/>
  <c r="AA56" i="12"/>
  <c r="AB56" i="12" s="1"/>
  <c r="AK55" i="12"/>
  <c r="AJ55" i="12"/>
  <c r="AH55" i="12"/>
  <c r="AI55" i="12" s="1"/>
  <c r="AG55" i="12"/>
  <c r="AA55" i="12"/>
  <c r="AB55" i="12" s="1"/>
  <c r="AK54" i="12"/>
  <c r="AJ54" i="12"/>
  <c r="AH54" i="12"/>
  <c r="AI54" i="12" s="1"/>
  <c r="AG54" i="12"/>
  <c r="AA54" i="12"/>
  <c r="AB54" i="12" s="1"/>
  <c r="AK53" i="12"/>
  <c r="AJ53" i="12"/>
  <c r="AH53" i="12"/>
  <c r="AI53" i="12" s="1"/>
  <c r="AG53" i="12"/>
  <c r="AA53" i="12"/>
  <c r="AB53" i="12" s="1"/>
  <c r="AK52" i="12"/>
  <c r="AJ52" i="12"/>
  <c r="AH52" i="12"/>
  <c r="AI52" i="12" s="1"/>
  <c r="AG52" i="12"/>
  <c r="AA52" i="12"/>
  <c r="AB52" i="12" s="1"/>
  <c r="AK51" i="12"/>
  <c r="AJ51" i="12"/>
  <c r="AH51" i="12"/>
  <c r="AI51" i="12" s="1"/>
  <c r="AG51" i="12"/>
  <c r="AA51" i="12"/>
  <c r="AB51" i="12" s="1"/>
  <c r="AK50" i="12"/>
  <c r="AJ50" i="12"/>
  <c r="AH50" i="12"/>
  <c r="AI50" i="12" s="1"/>
  <c r="AG50" i="12"/>
  <c r="AA50" i="12"/>
  <c r="AB50" i="12" s="1"/>
  <c r="AK49" i="12"/>
  <c r="AJ49" i="12"/>
  <c r="AH49" i="12"/>
  <c r="AI49" i="12" s="1"/>
  <c r="AG49" i="12"/>
  <c r="AA49" i="12"/>
  <c r="AB49" i="12" s="1"/>
  <c r="AK48" i="12"/>
  <c r="AJ48" i="12"/>
  <c r="AH48" i="12"/>
  <c r="AI48" i="12" s="1"/>
  <c r="AG48" i="12"/>
  <c r="AA48" i="12"/>
  <c r="AB48" i="12" s="1"/>
  <c r="AK47" i="12"/>
  <c r="AJ47" i="12"/>
  <c r="AH47" i="12"/>
  <c r="AI47" i="12" s="1"/>
  <c r="AG47" i="12"/>
  <c r="AA47" i="12"/>
  <c r="AB47" i="12" s="1"/>
  <c r="AK46" i="12"/>
  <c r="AJ46" i="12"/>
  <c r="AH46" i="12"/>
  <c r="AI46" i="12" s="1"/>
  <c r="AG46" i="12"/>
  <c r="AA46" i="12"/>
  <c r="AB46" i="12" s="1"/>
  <c r="AK45" i="12"/>
  <c r="AJ45" i="12"/>
  <c r="AH45" i="12"/>
  <c r="AI45" i="12" s="1"/>
  <c r="AG45" i="12"/>
  <c r="AA45" i="12"/>
  <c r="AB45" i="12" s="1"/>
  <c r="AK44" i="12"/>
  <c r="AJ44" i="12"/>
  <c r="AH44" i="12"/>
  <c r="AI44" i="12" s="1"/>
  <c r="AG44" i="12"/>
  <c r="AA44" i="12"/>
  <c r="AB44" i="12" s="1"/>
  <c r="AK43" i="12"/>
  <c r="AJ43" i="12"/>
  <c r="AH43" i="12"/>
  <c r="AI43" i="12" s="1"/>
  <c r="AG43" i="12"/>
  <c r="AA43" i="12"/>
  <c r="AB43" i="12" s="1"/>
  <c r="AK42" i="12"/>
  <c r="AJ42" i="12"/>
  <c r="AH42" i="12"/>
  <c r="AI42" i="12" s="1"/>
  <c r="AG42" i="12"/>
  <c r="AA42" i="12"/>
  <c r="AB42" i="12" s="1"/>
  <c r="AK41" i="12"/>
  <c r="AJ41" i="12"/>
  <c r="AH41" i="12"/>
  <c r="AI41" i="12" s="1"/>
  <c r="AG41" i="12"/>
  <c r="AA41" i="12"/>
  <c r="AB41" i="12" s="1"/>
  <c r="AK40" i="12"/>
  <c r="AJ40" i="12"/>
  <c r="AH40" i="12"/>
  <c r="AI40" i="12" s="1"/>
  <c r="AG40" i="12"/>
  <c r="AA40" i="12"/>
  <c r="AB40" i="12" s="1"/>
  <c r="AK39" i="12"/>
  <c r="AJ39" i="12"/>
  <c r="AH39" i="12"/>
  <c r="AI39" i="12" s="1"/>
  <c r="AG39" i="12"/>
  <c r="AA39" i="12"/>
  <c r="AB39" i="12" s="1"/>
  <c r="AK38" i="12"/>
  <c r="AJ38" i="12"/>
  <c r="AH38" i="12"/>
  <c r="AI38" i="12" s="1"/>
  <c r="AG38" i="12"/>
  <c r="AA38" i="12"/>
  <c r="AB38" i="12" s="1"/>
  <c r="AK37" i="12"/>
  <c r="AJ37" i="12"/>
  <c r="AH37" i="12"/>
  <c r="AI37" i="12" s="1"/>
  <c r="AG37" i="12"/>
  <c r="AA37" i="12"/>
  <c r="AB37" i="12" s="1"/>
  <c r="AK36" i="12"/>
  <c r="AJ36" i="12"/>
  <c r="AH36" i="12"/>
  <c r="AI36" i="12" s="1"/>
  <c r="AG36" i="12"/>
  <c r="AA36" i="12"/>
  <c r="AB36" i="12" s="1"/>
  <c r="AK35" i="12"/>
  <c r="AJ35" i="12"/>
  <c r="AH35" i="12"/>
  <c r="AI35" i="12" s="1"/>
  <c r="AG35" i="12"/>
  <c r="AA35" i="12"/>
  <c r="AB35" i="12" s="1"/>
  <c r="AK34" i="12"/>
  <c r="AJ34" i="12"/>
  <c r="AH34" i="12"/>
  <c r="AI34" i="12" s="1"/>
  <c r="AG34" i="12"/>
  <c r="AA34" i="12"/>
  <c r="AB34" i="12" s="1"/>
  <c r="AK33" i="12"/>
  <c r="AJ33" i="12"/>
  <c r="AH33" i="12"/>
  <c r="AI33" i="12" s="1"/>
  <c r="AG33" i="12"/>
  <c r="AA33" i="12"/>
  <c r="AB33" i="12" s="1"/>
  <c r="AK32" i="12"/>
  <c r="AJ32" i="12"/>
  <c r="AH32" i="12"/>
  <c r="AI32" i="12" s="1"/>
  <c r="AG32" i="12"/>
  <c r="AA32" i="12"/>
  <c r="AB32" i="12" s="1"/>
  <c r="AK31" i="12"/>
  <c r="AJ31" i="12"/>
  <c r="AH31" i="12"/>
  <c r="AI31" i="12" s="1"/>
  <c r="AG31" i="12"/>
  <c r="AA31" i="12"/>
  <c r="AB31" i="12" s="1"/>
  <c r="AK30" i="12"/>
  <c r="AJ30" i="12"/>
  <c r="AH30" i="12"/>
  <c r="AI30" i="12" s="1"/>
  <c r="AG30" i="12"/>
  <c r="AA30" i="12"/>
  <c r="AB30" i="12" s="1"/>
  <c r="AK29" i="12"/>
  <c r="AJ29" i="12"/>
  <c r="AH29" i="12"/>
  <c r="AI29" i="12" s="1"/>
  <c r="AG29" i="12"/>
  <c r="AA29" i="12"/>
  <c r="AB29" i="12" s="1"/>
  <c r="AK28" i="12"/>
  <c r="AJ28" i="12"/>
  <c r="AH28" i="12"/>
  <c r="AI28" i="12" s="1"/>
  <c r="AG28" i="12"/>
  <c r="AA28" i="12"/>
  <c r="AB28" i="12" s="1"/>
  <c r="AK27" i="12"/>
  <c r="AJ27" i="12"/>
  <c r="AH27" i="12"/>
  <c r="AI27" i="12" s="1"/>
  <c r="AG27" i="12"/>
  <c r="AA27" i="12"/>
  <c r="AB27" i="12" s="1"/>
  <c r="AK26" i="12"/>
  <c r="AJ26" i="12"/>
  <c r="AH26" i="12"/>
  <c r="AI26" i="12" s="1"/>
  <c r="AG26" i="12"/>
  <c r="AA26" i="12"/>
  <c r="AB26" i="12" s="1"/>
  <c r="AK25" i="12"/>
  <c r="AJ25" i="12"/>
  <c r="AH25" i="12"/>
  <c r="AI25" i="12" s="1"/>
  <c r="AG25" i="12"/>
  <c r="AA25" i="12"/>
  <c r="AB25" i="12" s="1"/>
  <c r="AK24" i="12"/>
  <c r="AJ24" i="12"/>
  <c r="AH24" i="12"/>
  <c r="AI24" i="12" s="1"/>
  <c r="AG24" i="12"/>
  <c r="AA24" i="12"/>
  <c r="AB24" i="12" s="1"/>
  <c r="AK23" i="12"/>
  <c r="AJ23" i="12"/>
  <c r="AH23" i="12"/>
  <c r="AI23" i="12" s="1"/>
  <c r="AG23" i="12"/>
  <c r="AA23" i="12"/>
  <c r="AB23" i="12" s="1"/>
  <c r="AK22" i="12"/>
  <c r="AJ22" i="12"/>
  <c r="AH22" i="12"/>
  <c r="AI22" i="12" s="1"/>
  <c r="AG22" i="12"/>
  <c r="AA22" i="12"/>
  <c r="AB22" i="12" s="1"/>
  <c r="AK21" i="12"/>
  <c r="AJ21" i="12"/>
  <c r="AH21" i="12"/>
  <c r="AI21" i="12" s="1"/>
  <c r="AG21" i="12"/>
  <c r="AA21" i="12"/>
  <c r="AB21" i="12" s="1"/>
  <c r="AK20" i="12"/>
  <c r="AJ20" i="12"/>
  <c r="AH20" i="12"/>
  <c r="AI20" i="12" s="1"/>
  <c r="AG20" i="12"/>
  <c r="AA20" i="12"/>
  <c r="AB20" i="12" s="1"/>
  <c r="AK19" i="12"/>
  <c r="AJ19" i="12"/>
  <c r="AH19" i="12"/>
  <c r="AI19" i="12" s="1"/>
  <c r="AG19" i="12"/>
  <c r="AA19" i="12"/>
  <c r="AB19" i="12" s="1"/>
  <c r="AK18" i="12"/>
  <c r="AJ18" i="12"/>
  <c r="AH18" i="12"/>
  <c r="AI18" i="12" s="1"/>
  <c r="AG18" i="12"/>
  <c r="AA18" i="12"/>
  <c r="AB18" i="12" s="1"/>
  <c r="AK17" i="12"/>
  <c r="AJ17" i="12"/>
  <c r="AH17" i="12"/>
  <c r="AI17" i="12" s="1"/>
  <c r="AG17" i="12"/>
  <c r="AA17" i="12"/>
  <c r="AB17" i="12" s="1"/>
  <c r="AK16" i="12"/>
  <c r="AJ16" i="12"/>
  <c r="AH16" i="12"/>
  <c r="AI16" i="12" s="1"/>
  <c r="AG16" i="12"/>
  <c r="AA16" i="12"/>
  <c r="AB16" i="12" s="1"/>
  <c r="AK15" i="12"/>
  <c r="AJ15" i="12"/>
  <c r="AH15" i="12"/>
  <c r="AI15" i="12" s="1"/>
  <c r="AG15" i="12"/>
  <c r="AA15" i="12"/>
  <c r="AB15" i="12" s="1"/>
  <c r="AK14" i="12"/>
  <c r="AJ14" i="12"/>
  <c r="AH14" i="12"/>
  <c r="AI14" i="12" s="1"/>
  <c r="AG14" i="12"/>
  <c r="AA14" i="12"/>
  <c r="AB14" i="12" s="1"/>
  <c r="AK13" i="12"/>
  <c r="AJ13" i="12"/>
  <c r="AH13" i="12"/>
  <c r="AI13" i="12" s="1"/>
  <c r="AG13" i="12"/>
  <c r="AA13" i="12"/>
  <c r="AB13" i="12" s="1"/>
  <c r="AK12" i="12"/>
  <c r="AJ12" i="12"/>
  <c r="AH12" i="12"/>
  <c r="AI12" i="12" s="1"/>
  <c r="AG12" i="12"/>
  <c r="AA12" i="12"/>
  <c r="AB12" i="12" s="1"/>
  <c r="AK11" i="12"/>
  <c r="AJ11" i="12"/>
  <c r="AH11" i="12"/>
  <c r="AI11" i="12" s="1"/>
  <c r="AG11" i="12"/>
  <c r="AA11" i="12"/>
  <c r="AB11" i="12" s="1"/>
  <c r="AK10" i="12"/>
  <c r="AJ10" i="12"/>
  <c r="AH10" i="12"/>
  <c r="AI10" i="12" s="1"/>
  <c r="AG10" i="12"/>
  <c r="AA10" i="12"/>
  <c r="AB10" i="12" s="1"/>
  <c r="AK9" i="12"/>
  <c r="AJ9" i="12"/>
  <c r="AH9" i="12"/>
  <c r="AI9" i="12" s="1"/>
  <c r="AG9" i="12"/>
  <c r="AA9" i="12"/>
  <c r="AK8" i="12"/>
  <c r="AJ8" i="12"/>
  <c r="AH8" i="12"/>
  <c r="AI8" i="12" s="1"/>
  <c r="AG8" i="12"/>
  <c r="AA8" i="12"/>
  <c r="AB8" i="12" s="1"/>
  <c r="AC5" i="12"/>
  <c r="V5" i="12"/>
  <c r="AC4" i="12"/>
  <c r="V4" i="12"/>
  <c r="E12" i="10" l="1"/>
  <c r="E13" i="10"/>
  <c r="D12" i="10"/>
  <c r="E2" i="10"/>
  <c r="F13" i="10"/>
  <c r="D2" i="10"/>
  <c r="D14" i="10"/>
  <c r="D10" i="10"/>
  <c r="F5" i="10"/>
  <c r="E3" i="10"/>
  <c r="D3" i="10"/>
  <c r="D4" i="10"/>
  <c r="E5" i="10"/>
  <c r="F7" i="10"/>
  <c r="F15" i="10"/>
  <c r="D7" i="10"/>
  <c r="E15" i="10"/>
  <c r="E6" i="10"/>
  <c r="F14" i="10"/>
  <c r="D6" i="10"/>
  <c r="D8" i="10"/>
  <c r="F9" i="10"/>
  <c r="E9" i="10"/>
  <c r="F11" i="10"/>
  <c r="E11" i="10"/>
  <c r="F10" i="10"/>
  <c r="F8" i="10"/>
  <c r="F4" i="10"/>
  <c r="AK4" i="12"/>
  <c r="AA4" i="12"/>
  <c r="AJ4" i="12"/>
  <c r="AB9" i="12"/>
  <c r="AA5" i="12"/>
  <c r="AK5" i="12"/>
  <c r="AJ5" i="12"/>
  <c r="AB4" i="12" l="1"/>
  <c r="AB57" i="12"/>
  <c r="AB5" i="12"/>
  <c r="E19" i="8" l="1"/>
  <c r="C19" i="8"/>
  <c r="D19" i="8" s="1"/>
  <c r="E18" i="8"/>
  <c r="C18" i="8"/>
  <c r="D18" i="8" s="1"/>
  <c r="E17" i="8"/>
  <c r="C17" i="8"/>
  <c r="D17" i="8" s="1"/>
  <c r="E16" i="8"/>
  <c r="C16" i="8"/>
  <c r="D16" i="8" s="1"/>
  <c r="E15" i="8"/>
  <c r="C15" i="8"/>
  <c r="D15" i="8" s="1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3" i="6"/>
  <c r="D2" i="6"/>
  <c r="J19" i="1"/>
  <c r="J18" i="1"/>
  <c r="J17" i="1"/>
  <c r="J16" i="1"/>
  <c r="J15" i="1"/>
  <c r="J14" i="1"/>
  <c r="J13" i="1"/>
  <c r="I12" i="1"/>
  <c r="J12" i="1" s="1"/>
  <c r="J11" i="1"/>
  <c r="J9" i="1"/>
  <c r="J8" i="1"/>
  <c r="J7" i="1"/>
  <c r="J5" i="1"/>
  <c r="E81" i="7"/>
  <c r="E80" i="7"/>
  <c r="E79" i="7"/>
  <c r="E78" i="7"/>
  <c r="E77" i="7"/>
  <c r="E76" i="7"/>
  <c r="E71" i="7"/>
  <c r="E70" i="7"/>
  <c r="E69" i="7"/>
  <c r="E68" i="7"/>
  <c r="E59" i="7"/>
  <c r="E58" i="7"/>
  <c r="E57" i="7"/>
  <c r="E56" i="7"/>
  <c r="E55" i="7"/>
  <c r="E54" i="7"/>
  <c r="E52" i="7"/>
  <c r="E51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<sst xmlns="http://schemas.openxmlformats.org/spreadsheetml/2006/main" count="2378" uniqueCount="1174">
  <si>
    <t>Bound Portfolio Report</t>
  </si>
  <si>
    <t>Column Name in SQL</t>
  </si>
  <si>
    <t>VBA Data Type</t>
  </si>
  <si>
    <t>Length</t>
  </si>
  <si>
    <t>Column Name In Excel</t>
  </si>
  <si>
    <t>Column Number in Excel</t>
  </si>
  <si>
    <t>OptimizationLayerID</t>
  </si>
  <si>
    <t>String</t>
  </si>
  <si>
    <t>CipherID</t>
  </si>
  <si>
    <t>ILSName</t>
  </si>
  <si>
    <t>Name of the deal in which we have invested</t>
  </si>
  <si>
    <t>Series</t>
  </si>
  <si>
    <t>Variant</t>
  </si>
  <si>
    <t>Class</t>
  </si>
  <si>
    <t>Reset</t>
  </si>
  <si>
    <t>Renewal</t>
  </si>
  <si>
    <t>LossBasis</t>
  </si>
  <si>
    <t>Loss Basis</t>
  </si>
  <si>
    <t>Whether loss attched is Loss Occuring During (LOD) or Risk Attaching (RA)</t>
  </si>
  <si>
    <t>Issuer</t>
  </si>
  <si>
    <t>The sponsor who issues the insurance linked securities</t>
  </si>
  <si>
    <t>Hedges</t>
  </si>
  <si>
    <t xml:space="preserve">Whether we have hedged a deal or not. </t>
  </si>
  <si>
    <t>CUSIP</t>
  </si>
  <si>
    <t>The deal number once the deal is in capital markets</t>
  </si>
  <si>
    <t>BoundDate</t>
  </si>
  <si>
    <t>The date on which the deal is bound</t>
  </si>
  <si>
    <t>ExpirationDate</t>
  </si>
  <si>
    <t>The date on which the deal expires</t>
  </si>
  <si>
    <t>Fronting</t>
  </si>
  <si>
    <t>SecurityInstrument</t>
  </si>
  <si>
    <t>Type of insurance linked securities</t>
  </si>
  <si>
    <t>OccurenceLimit</t>
  </si>
  <si>
    <t>Double</t>
  </si>
  <si>
    <t>The maximum amount a particular layer is responsible for a particular occurrence if that event is covered</t>
  </si>
  <si>
    <t>AggregateLimit</t>
  </si>
  <si>
    <t>The maximum amount a particular layer is responsible for events occurred in entire year if those event are covered</t>
  </si>
  <si>
    <t>Quantity</t>
  </si>
  <si>
    <t>Is the event Fronted or not.</t>
  </si>
  <si>
    <t>Fronted</t>
  </si>
  <si>
    <t>Price of the bond</t>
  </si>
  <si>
    <t>BondPrice</t>
  </si>
  <si>
    <t>Percentage of the layer covered by pimco</t>
  </si>
  <si>
    <t>BondCoupon</t>
  </si>
  <si>
    <t>Bond Coupon</t>
  </si>
  <si>
    <t>BondTransactionType</t>
  </si>
  <si>
    <t>Bond Buy or Sell</t>
  </si>
  <si>
    <t>BondBuyDate</t>
  </si>
  <si>
    <t>Bonds Buy Date</t>
  </si>
  <si>
    <t>BondSellPrice</t>
  </si>
  <si>
    <t>Bond Sell Price</t>
  </si>
  <si>
    <t>BondSellDate</t>
  </si>
  <si>
    <t>Bond Sell Date</t>
  </si>
  <si>
    <t>CompanyShare</t>
  </si>
  <si>
    <t>The number of times the investor in that particular layer will cover after the exhaustion of that layer.</t>
  </si>
  <si>
    <t>BondInitialSpread</t>
  </si>
  <si>
    <t>BondRedemptionPrice</t>
  </si>
  <si>
    <t>BondRedemption</t>
  </si>
  <si>
    <t>ROL</t>
  </si>
  <si>
    <t>InitialFees</t>
  </si>
  <si>
    <t>ExceptionApproval</t>
  </si>
  <si>
    <t>AvgRateChangeProjection</t>
  </si>
  <si>
    <t>Comments</t>
  </si>
  <si>
    <t>Reinstatements</t>
  </si>
  <si>
    <t>Long</t>
  </si>
  <si>
    <t>No.ofReinstatement</t>
  </si>
  <si>
    <t>ContractWordingReceivedDate</t>
  </si>
  <si>
    <t>ContractWordingForwardedtoAONART</t>
  </si>
  <si>
    <t>ContractWordingforwardedtoAON/ART</t>
  </si>
  <si>
    <t>AuthorizationDate</t>
  </si>
  <si>
    <t>ConfirmationNoticeDate</t>
  </si>
  <si>
    <t xml:space="preserve"> ConfirmationNoticeDate</t>
  </si>
  <si>
    <t>ContractExecutedDate</t>
  </si>
  <si>
    <t>TreatyType</t>
  </si>
  <si>
    <t>CoverageType</t>
  </si>
  <si>
    <t>QuantityPledged</t>
  </si>
  <si>
    <t>Quantity Pledged</t>
  </si>
  <si>
    <t>RealizedGain</t>
  </si>
  <si>
    <t>Realized Gain</t>
  </si>
  <si>
    <t>NRE_ID</t>
  </si>
  <si>
    <t>CurrExchangeFactor</t>
  </si>
  <si>
    <t>PortfolioID</t>
  </si>
  <si>
    <t>For Fund 1, it will be 1 and for fund 2 it will be 2</t>
  </si>
  <si>
    <t>ReportID</t>
  </si>
  <si>
    <t>Max ID of field ID in SQL. This ID will be common for all tables and reference for us to know what data was imported for a particular ID</t>
  </si>
  <si>
    <t>Profit and Loss</t>
  </si>
  <si>
    <t>MgmtFees</t>
  </si>
  <si>
    <t>Management fees</t>
  </si>
  <si>
    <t>Carry</t>
  </si>
  <si>
    <t>HurdleType</t>
  </si>
  <si>
    <t>Type of hurdle rate</t>
  </si>
  <si>
    <t>Hurdle</t>
  </si>
  <si>
    <t>Rate of hurdle</t>
  </si>
  <si>
    <t>FrontingFee</t>
  </si>
  <si>
    <t>Fronting Fee</t>
  </si>
  <si>
    <t>AcquisitionExpense</t>
  </si>
  <si>
    <t>FET</t>
  </si>
  <si>
    <t>OpsExpenses</t>
  </si>
  <si>
    <t>Operational Expense</t>
  </si>
  <si>
    <t>InvestmentIncome</t>
  </si>
  <si>
    <t>Investment income</t>
  </si>
  <si>
    <t>RiskFreeRate</t>
  </si>
  <si>
    <t>Risk Free Rate</t>
  </si>
  <si>
    <t>QSAttritionalLRUSWind</t>
  </si>
  <si>
    <t>QS Attritional LR US Wind</t>
  </si>
  <si>
    <t>QSAttritionalLRWorldwide</t>
  </si>
  <si>
    <t>QS Attritional LR Worldwide</t>
  </si>
  <si>
    <t>ProFormaRateChange</t>
  </si>
  <si>
    <t>Pro Forma Rate Change</t>
  </si>
  <si>
    <t>BoundPortfolioID</t>
  </si>
  <si>
    <t>Historical Events Adjustment</t>
  </si>
  <si>
    <t>EventID</t>
  </si>
  <si>
    <t>EventName</t>
  </si>
  <si>
    <t>Name of the event</t>
  </si>
  <si>
    <t>AdditionalAdjustment</t>
  </si>
  <si>
    <t>Guidelines</t>
  </si>
  <si>
    <t>ConstraintType</t>
  </si>
  <si>
    <t>ConstraintName</t>
  </si>
  <si>
    <t>SingleLimit</t>
  </si>
  <si>
    <t>MaxLimit</t>
  </si>
  <si>
    <t>LossType</t>
  </si>
  <si>
    <t>ReturnPeriod</t>
  </si>
  <si>
    <t>BoundPortfolio</t>
  </si>
  <si>
    <t>Name</t>
  </si>
  <si>
    <t>NotionalAUM</t>
  </si>
  <si>
    <t>CurrencyCode</t>
  </si>
  <si>
    <t>ReportDate</t>
  </si>
  <si>
    <t>Date</t>
  </si>
  <si>
    <t>Remarks</t>
  </si>
  <si>
    <t>ReportType</t>
  </si>
  <si>
    <t>Report Date</t>
  </si>
  <si>
    <t>% chage</t>
  </si>
  <si>
    <t>Data Received Date</t>
  </si>
  <si>
    <t># Cat Bonds</t>
  </si>
  <si>
    <t># Holdings</t>
  </si>
  <si>
    <t>AUM</t>
  </si>
  <si>
    <t>Treasury Value</t>
  </si>
  <si>
    <t xml:space="preserve">Deployed AUM </t>
  </si>
  <si>
    <t>Current Mkt Value</t>
  </si>
  <si>
    <t>Risk free rate</t>
  </si>
  <si>
    <t>Investment Income</t>
  </si>
  <si>
    <t>Investment Premium</t>
  </si>
  <si>
    <t>Cash</t>
  </si>
  <si>
    <t xml:space="preserve">without Treasury </t>
  </si>
  <si>
    <t xml:space="preserve">with Treasury </t>
  </si>
  <si>
    <t>Premium CAT Bond</t>
  </si>
  <si>
    <t>Premium Incl Treasury</t>
  </si>
  <si>
    <t>AAL from Sheet</t>
  </si>
  <si>
    <t>CB-Nakama Re Pte. Ltd. Series 2024-1 Class 1 Reset 2025</t>
  </si>
  <si>
    <t>LOD</t>
  </si>
  <si>
    <t>Zenkyoren</t>
  </si>
  <si>
    <t>Cat Bond</t>
  </si>
  <si>
    <t>Buy</t>
  </si>
  <si>
    <t>Indemnity</t>
  </si>
  <si>
    <t>Aggregate</t>
  </si>
  <si>
    <t>CB-Montoya Re Ltd. Series 2025-1 Class B Reset 2025</t>
  </si>
  <si>
    <t>Inigo Insurance</t>
  </si>
  <si>
    <t>CB-Tomoni Re Pte. Ltd. Series 2022-1 Class B-1 Reset 2025</t>
  </si>
  <si>
    <t>Mitsui Sumitomo</t>
  </si>
  <si>
    <t>CB-Fish Pond Re Ltd. Series 2024-1 Class A Reset 2025</t>
  </si>
  <si>
    <t>Texaf Farm Bureau</t>
  </si>
  <si>
    <t>OPt10</t>
  </si>
  <si>
    <t>ci10</t>
  </si>
  <si>
    <t>CB-Sanders Re III Ltd. Series 2023-1 Class A Reset 2025</t>
  </si>
  <si>
    <t>AllState</t>
  </si>
  <si>
    <t>OPt11</t>
  </si>
  <si>
    <t>ci11</t>
  </si>
  <si>
    <t>CB-Maschpark Re Ltd. Series 2024-1 Class A</t>
  </si>
  <si>
    <t>Talanx AG (Via Hannover Re)</t>
  </si>
  <si>
    <t>Report Type</t>
  </si>
  <si>
    <t>Notional AUM</t>
  </si>
  <si>
    <t>Deployed AUM</t>
  </si>
  <si>
    <t>PIMCOVIEW</t>
  </si>
  <si>
    <t>AIR</t>
  </si>
  <si>
    <t>USD</t>
  </si>
  <si>
    <t>Management Fee</t>
  </si>
  <si>
    <t>Hurdle (Hard)</t>
  </si>
  <si>
    <t>Acquisition Expense</t>
  </si>
  <si>
    <t>Investment Inc</t>
  </si>
  <si>
    <t>Op/Org Expenses</t>
  </si>
  <si>
    <t>Hard</t>
  </si>
  <si>
    <t>Event Name</t>
  </si>
  <si>
    <t>ILSName (has to be exactly same as ILS Name in Bound details)</t>
  </si>
  <si>
    <t>Additional Adjustment</t>
  </si>
  <si>
    <t>2012 Sandy (Cat 1)</t>
  </si>
  <si>
    <t>CB-Blue Ridge Re Ltd. Series 2023-1 Class A Reset 2025</t>
  </si>
  <si>
    <t>CB-Ursa Re Ltd. Series 2023-3 Class AA Reset 2024</t>
  </si>
  <si>
    <t>CB-Veraison Re Ltd. Series 2025-1 Class A</t>
  </si>
  <si>
    <t>CB-Fuchsia 2 Series 2024-1 Class A Reset 2025</t>
  </si>
  <si>
    <t>FUND 1</t>
  </si>
  <si>
    <t>Single Limit</t>
  </si>
  <si>
    <t>Min</t>
  </si>
  <si>
    <t>Max</t>
  </si>
  <si>
    <t>FUND 2</t>
  </si>
  <si>
    <t>Security Instrument</t>
  </si>
  <si>
    <t>Cedant</t>
  </si>
  <si>
    <t xml:space="preserve">Single Cedent (including business fronted by Allianz Risk Transfer) </t>
  </si>
  <si>
    <t>CAT Bond</t>
  </si>
  <si>
    <t>Allianz as cedent</t>
  </si>
  <si>
    <t>ILW Short</t>
  </si>
  <si>
    <t>Side Car</t>
  </si>
  <si>
    <t>Retro QS</t>
  </si>
  <si>
    <t>NC Farm Bureau</t>
  </si>
  <si>
    <t>Retro XOL</t>
  </si>
  <si>
    <t>Reinsurance</t>
  </si>
  <si>
    <t>CEA</t>
  </si>
  <si>
    <t>ILW Long</t>
  </si>
  <si>
    <t>GeoVera</t>
  </si>
  <si>
    <t>Beazley</t>
  </si>
  <si>
    <t>Catastrophe Bond, ILW, and Retro issuances per cedent</t>
  </si>
  <si>
    <t>% of AUM</t>
  </si>
  <si>
    <t>Catastrophe Bond, ILW, and Retro XOL issuances per cedent</t>
  </si>
  <si>
    <t>Issuer/Sponsor Contraint</t>
  </si>
  <si>
    <t>Allianz</t>
  </si>
  <si>
    <t>Single</t>
  </si>
  <si>
    <t>Max occ prob</t>
  </si>
  <si>
    <t>Max Agg prob</t>
  </si>
  <si>
    <t>100 yr PML</t>
  </si>
  <si>
    <t>500 yr PML</t>
  </si>
  <si>
    <t>Region Peril</t>
  </si>
  <si>
    <t>US Hurricanes</t>
  </si>
  <si>
    <t>Florida Hurricane</t>
  </si>
  <si>
    <t>PerilRegion</t>
  </si>
  <si>
    <t>OEP</t>
  </si>
  <si>
    <t>Gulf of Mexico WS</t>
  </si>
  <si>
    <t>Japan Typhoon</t>
  </si>
  <si>
    <t>Europe Tropical Cyclone</t>
  </si>
  <si>
    <t>Texas Hurricane</t>
  </si>
  <si>
    <t>California Earthquake</t>
  </si>
  <si>
    <t>Japan Earthquake</t>
  </si>
  <si>
    <t>All other WS</t>
  </si>
  <si>
    <t>all other EQ</t>
  </si>
  <si>
    <t>WildFire</t>
  </si>
  <si>
    <t>InlandFlood</t>
  </si>
  <si>
    <t>SevereStorm</t>
  </si>
  <si>
    <t>Terrorism</t>
  </si>
  <si>
    <t>AEP</t>
  </si>
  <si>
    <t>Northeast Hurricane</t>
  </si>
  <si>
    <t>Southeast Hurricane</t>
  </si>
  <si>
    <t>Louisiana Hurricane</t>
  </si>
  <si>
    <t>Mexico Hurricane</t>
  </si>
  <si>
    <t>US Earthquake xl CA</t>
  </si>
  <si>
    <t>Mexico Earthquake</t>
  </si>
  <si>
    <t>South America Earthquake</t>
  </si>
  <si>
    <t>Europe Earthquake</t>
  </si>
  <si>
    <t>US Winter Storm</t>
  </si>
  <si>
    <t>US WildFire</t>
  </si>
  <si>
    <t>US Severe Storm</t>
  </si>
  <si>
    <t>US Inland Flood</t>
  </si>
  <si>
    <t>WWAP</t>
  </si>
  <si>
    <t>ReinsuranceType</t>
  </si>
  <si>
    <t>Reference Data</t>
  </si>
  <si>
    <t>References</t>
  </si>
  <si>
    <t>Sheet name</t>
  </si>
  <si>
    <t>VBA reference</t>
  </si>
  <si>
    <t>ColumnName</t>
  </si>
  <si>
    <t>BoundPortfolioDetails</t>
  </si>
  <si>
    <t>DataType</t>
  </si>
  <si>
    <t>DataLength</t>
  </si>
  <si>
    <t>ResultSheetName</t>
  </si>
  <si>
    <t>Input</t>
  </si>
  <si>
    <t>ColumnSheetName</t>
  </si>
  <si>
    <t>Server</t>
  </si>
  <si>
    <t>SINDHU-LAPTOP</t>
  </si>
  <si>
    <t>Database</t>
  </si>
  <si>
    <t>ARAPL_Configuration_v13</t>
  </si>
  <si>
    <t>UID</t>
  </si>
  <si>
    <t>Password</t>
  </si>
  <si>
    <t>Row Number of first Table to be Uploaded</t>
  </si>
  <si>
    <t>Setup</t>
  </si>
  <si>
    <t>Number of tables to be Uploaded</t>
  </si>
  <si>
    <t>Tables to be Uploaded in  DB</t>
  </si>
  <si>
    <t>Worksheet name in Excel</t>
  </si>
  <si>
    <t>Location of Table Name in Input</t>
  </si>
  <si>
    <t>InputRowStart</t>
  </si>
  <si>
    <t>BoundPortfolioDetailsRowStart</t>
  </si>
  <si>
    <t>Vendor</t>
  </si>
  <si>
    <t>DeployedAUM</t>
  </si>
  <si>
    <t>CaseID</t>
  </si>
  <si>
    <t>CB-Aquila Re I Ltd. Series 2023-1 Class A-1 Reset 2025</t>
  </si>
  <si>
    <t>CB-Aquila Re I Ltd. Series 2023-1 Class B-1 Reset 2025</t>
  </si>
  <si>
    <t>CB-Aquila Re I Ltd. Series 2023-1 Class C-1 Reset 2025</t>
  </si>
  <si>
    <t>CB-Aquila Re I Ltd. Series 2024-1 Class A-1 Reset 2025</t>
  </si>
  <si>
    <t>CB-Aquila Re I Ltd. Series 2024-1 Class B-1 Reset 2025</t>
  </si>
  <si>
    <t>CB-123 Lights Re Ltd. Series 2025-1 Class A</t>
  </si>
  <si>
    <t>CB-Sakura Re Ltd. Series 2022-1 Class A Reset 2024</t>
  </si>
  <si>
    <t>CB-Marlon Ltd. Series 2024-1 Class A Reset 2025</t>
  </si>
  <si>
    <t>OPt9</t>
  </si>
  <si>
    <t>ci9</t>
  </si>
  <si>
    <t>CB-Marlon Ltd. Series 2024-1 Class B Reset 2025</t>
  </si>
  <si>
    <t>CB-Lightning Re Ltd. Series 2023-1 Class A Reset 2025</t>
  </si>
  <si>
    <t>CB-Recoletos Re DAC Series 2024-1 Class A</t>
  </si>
  <si>
    <t>CB-Stabilitas Re Ltd. Series 2023-1 Class A Reset 2025</t>
  </si>
  <si>
    <t>OPt13</t>
  </si>
  <si>
    <t>ci13</t>
  </si>
  <si>
    <t>CB-Cape Lookout Re Ltd. Series 2023-1 Class A Reset 2025</t>
  </si>
  <si>
    <t>CB-Cape Lookout Re Ltd. Series 2024-1 Class A Reset 2025</t>
  </si>
  <si>
    <t>OPt15</t>
  </si>
  <si>
    <t>ci15</t>
  </si>
  <si>
    <t>CB-Ashera Re Ltd. Series 2024-1 Class A Reset 2025</t>
  </si>
  <si>
    <t>OPt16</t>
  </si>
  <si>
    <t>ci16</t>
  </si>
  <si>
    <t>CB-Ramble Re Ltd. Series 2024-1 Class A Reset 2025</t>
  </si>
  <si>
    <t>OPt17</t>
  </si>
  <si>
    <t>ci17</t>
  </si>
  <si>
    <t>CB-Galileo Re Ltd. Series 2023-1 Class A Reset 2025</t>
  </si>
  <si>
    <t>CB-Galileo Re Ltd. Series 2023-1 Class B Reset 2025</t>
  </si>
  <si>
    <t>CB-MMIFS Re Ltd. Series 2025-1 Class A</t>
  </si>
  <si>
    <t>OPt20</t>
  </si>
  <si>
    <t>ci20</t>
  </si>
  <si>
    <t>CB-Bonanza Re Ltd. Series 2024-1 Class A</t>
  </si>
  <si>
    <t>CB-Bonanza Re Ltd. Series 2024-1 Class B</t>
  </si>
  <si>
    <t>ILSInstrumentID</t>
  </si>
  <si>
    <t>CUSIP_ID</t>
  </si>
  <si>
    <t>OccurrenceLimit</t>
  </si>
  <si>
    <t>OccurrenceRetention</t>
  </si>
  <si>
    <t>AggregateRetention</t>
  </si>
  <si>
    <t>PrincipalAmount</t>
  </si>
  <si>
    <t>CB-Bonanza Re Ltd. Series 2024-1 Class C</t>
  </si>
  <si>
    <t>CB-Sanders Re II Ltd. Series 2024-3 Class B Reset 2025</t>
  </si>
  <si>
    <t>CB-Sanders Re II Ltd. Series 2024-3 Class A Reset 2025</t>
  </si>
  <si>
    <t>CB-Queen Street 2023 Re DAC Reset 2025</t>
  </si>
  <si>
    <t>CB-Res Re 2025 Ltd. Series 2025-I Class 13</t>
  </si>
  <si>
    <t>CB-Res Re 2025 Ltd. Series 2025-I Class 14</t>
  </si>
  <si>
    <t>CB-Res Re 2025 Ltd. Series 2025-I Class 15</t>
  </si>
  <si>
    <t>CB-Easton Re Ltd. Series 2024-1 Class A Reset 2025</t>
  </si>
  <si>
    <t>CB-Bridge Street Re Ltd. Series 2025-1 Class A</t>
  </si>
  <si>
    <t>CB-Res Re 2021 Ltd. Series 2021-II Class 2 Reset 2025</t>
  </si>
  <si>
    <t>CB-Res Re 2021 Ltd. Series 2021-II Class 3 Reset 2025</t>
  </si>
  <si>
    <t>CB-Res Re 2022 Ltd. Series 2022-II Class 3 Reset 2025</t>
  </si>
  <si>
    <t>CB-Res Re 2022 Ltd. Series 2022-II Class 5 Reset 2025</t>
  </si>
  <si>
    <t>CB-Res Re 2023 Ltd. Series 2023-II Class 3 Reset 2025</t>
  </si>
  <si>
    <t>CB-Res Re 2023 Ltd. Series 2023-II Class 5 Reset 2025</t>
  </si>
  <si>
    <t>CB-Res Re 2024 Ltd. Series 2024-II Class 2 Reset 2025</t>
  </si>
  <si>
    <t>CB-Res Re 2024 Ltd. Series 2024-II Class 3 Reset 2025</t>
  </si>
  <si>
    <t>CB-Res Re 2024 Ltd. Series 2024-II Class 4 Reset 2025</t>
  </si>
  <si>
    <t>CB-Baldwin Re Ltd. Series 2025-1 Class A</t>
  </si>
  <si>
    <t>CB-Baldwin Re Ltd. Series 2023-1 Class A Reset 2025</t>
  </si>
  <si>
    <t>CB-Mayflower Re Ltd. Series 2023-1 Class A Reset 2025</t>
  </si>
  <si>
    <t>CB-Mayflower Re Ltd. Series 2023-1 Class B Reset 2025</t>
  </si>
  <si>
    <t>CB-Mayflower Re Ltd. Series 2024-1 Class A Reset 2025</t>
  </si>
  <si>
    <t>CB-Mayflower Re Ltd. Series 2025-1 Class A</t>
  </si>
  <si>
    <t>CB-Res Re 2022 Ltd. Series 2022-I Class 11 Reset 2025</t>
  </si>
  <si>
    <t>CB-Res Re 2022 Ltd. Series 2022-I Class 12 Reset 2025</t>
  </si>
  <si>
    <t>CB-Res Re 2022 Ltd. Series 2022-I Class 13 Reset 2025</t>
  </si>
  <si>
    <t>CB-Res Re 2022 Ltd. Series 2022-I Class 14 Reset 2025</t>
  </si>
  <si>
    <t>CB-Res Re 2023 Ltd. Series 2023-I Class 13 Reset 2025</t>
  </si>
  <si>
    <t>CB-Res Re 2023 Ltd. Series 2023-I Class 14 Reset 2025</t>
  </si>
  <si>
    <t>CB-Res Re 2024 Ltd. Series 2024-I Class 13 Reset 2025</t>
  </si>
  <si>
    <t>CB-Res Re 2024 Ltd. Series 2024-I Class 14 Reset 2025</t>
  </si>
  <si>
    <t>CB-Gateway Re Ltd. Series 2025-1 Class AAA</t>
  </si>
  <si>
    <t>CB-Gateway Re Ltd. Series 2025-1 Class C1</t>
  </si>
  <si>
    <t>CB-Gateway Re Ltd. Series 2025-1 Class AA</t>
  </si>
  <si>
    <t>CB-Gateway Re Ltd. Series 2025-1 Class A</t>
  </si>
  <si>
    <t>CB-Gateway Re Ltd. Series 2025-1 Class C2</t>
  </si>
  <si>
    <t>CB-Gateway Re Ltd. Series 2025-2 Class A</t>
  </si>
  <si>
    <t>CB-MetroCat Re Ltd. Series 2023-1 Class A</t>
  </si>
  <si>
    <t>CB-IBRD CAR Jamaica 2024</t>
  </si>
  <si>
    <t>CB-IBRD CAR Chile 2023</t>
  </si>
  <si>
    <t>CB-Genesee Street Re Ltd. Series 2025-1 Class A</t>
  </si>
  <si>
    <t>CB-Sanders Re III Ltd. Series 2024-1 Class A Reset 2025</t>
  </si>
  <si>
    <t>CB-Sanders Re III Ltd. Series 2023-1 Class B Reset 2025</t>
  </si>
  <si>
    <t>CB-Sanders Re III Ltd. Series 2022-3 Class A Reset 2025</t>
  </si>
  <si>
    <t>CB-Sanders Re III Ltd. Series 2022-1 Class A Reset 2025</t>
  </si>
  <si>
    <t>CB-Sanders Re III Ltd. Series 2022-1 Class B Reset 2025</t>
  </si>
  <si>
    <t>CB-Sanders Re III Ltd. Series 2022-1 Class C Reset 2025</t>
  </si>
  <si>
    <t>CB-Sanders Re II Ltd. Series 2025-1 Class A-1</t>
  </si>
  <si>
    <t>CB-Sanders Re II Ltd. Series 2025-1 Class B-1</t>
  </si>
  <si>
    <t>CB-Sanders Re II Ltd. Series 2025-1 Class A-2</t>
  </si>
  <si>
    <t>CB-Sanders Re II Ltd. Series 2025-1 Class B-2</t>
  </si>
  <si>
    <t>CB-Matterhorn Re Ltd. Series 2025-3 Class A</t>
  </si>
  <si>
    <t>CB-Matterhorn Re Ltd. Series 2025-3 Class B</t>
  </si>
  <si>
    <t>CB-Atela Re Ltd. Series 2024-1 Class A Reset 2025</t>
  </si>
  <si>
    <t>CB-Atela Re Ltd. Series 2024-1 Class B Reset 2025</t>
  </si>
  <si>
    <t>CB-Solomon Re Ltd. Series 2023-1 Class A Reset 2025</t>
  </si>
  <si>
    <t>CB-Four Lakes Re Ltd. Series 2022-1 Class A Reset 2025</t>
  </si>
  <si>
    <t>CB-Four Lakes Re Ltd. Series 2023-1 Class A Reset 2025</t>
  </si>
  <si>
    <t>CB-Four Lakes Re Ltd. Series 2023-1 Class B Reset 2025</t>
  </si>
  <si>
    <t>CB-Four Lakes Re Ltd. Series 2024-1 Class A</t>
  </si>
  <si>
    <t>CB-Four Lakes Re Ltd. Series 2024-1 Class B</t>
  </si>
  <si>
    <t>CB-Kilimanjaro II Re Ltd. Series 2025-1 Class A-1</t>
  </si>
  <si>
    <t>CB-Kilimanjaro II Re Ltd. Series 2025-1 Class B-1</t>
  </si>
  <si>
    <t>CB-Kilimanjaro II Re Ltd. Series 2025-1 Class C-1</t>
  </si>
  <si>
    <t>CB-Kilimanjaro II Re Ltd. Series 2025-1 Class D-1</t>
  </si>
  <si>
    <t>CB-Kilimanjaro II Re Ltd. Series 2025-2 Class A-2</t>
  </si>
  <si>
    <t>CB-Kilimanjaro II Re Ltd. Series 2025-2 Class B-2</t>
  </si>
  <si>
    <t>CB-Kilimanjaro II Re Ltd. Series 2025-2 Class C-2</t>
  </si>
  <si>
    <t>CB-Kilimanjaro II Re Ltd. Series 2025-2 Class D-2</t>
  </si>
  <si>
    <t>CB-Kilimanjaro II Re Ltd. Series 2024-1 Class A Reset 2025</t>
  </si>
  <si>
    <t>CB-Kilimanjaro II Re Ltd. Series 2024-1 Class B Reset 2025</t>
  </si>
  <si>
    <t>CB-Kilimanjaro III Re Ltd. Series 2021-2 Class A-2 Reset 2025</t>
  </si>
  <si>
    <t>CB-Kilimanjaro III Re Ltd. Series 2021-2 Class B-2 Reset 2025</t>
  </si>
  <si>
    <t>CB-Kilimanjaro III Re Ltd. Series 2021-2 Class C-2 Reset 2025</t>
  </si>
  <si>
    <t>CB-Riverfront Re Ltd. Series 2025-1 Class B</t>
  </si>
  <si>
    <t>CB-Riverfront Re Ltd. Series 2025-1 Class A</t>
  </si>
  <si>
    <t>CB-Nature Coast Re Ltd. Series 2025-1 Class A Reset 2025</t>
  </si>
  <si>
    <t>CB-Lapis 2025-1 Series 2025-1</t>
  </si>
  <si>
    <t>CB-Gateway Re Ltd. Series 2023-3 Class A Reset 2025</t>
  </si>
  <si>
    <t>CB-1886 Re Ltd. Series 2025-1 Class A</t>
  </si>
  <si>
    <t>CB-Aragonite Re Ltd. Series 2024-1 Class A Reset 2025</t>
  </si>
  <si>
    <t>CB-Armor Re II Ltd. Series 2024-1 Class A Reset 2025</t>
  </si>
  <si>
    <t>CB-Torrey Pines Re Ltd. Series 2023-1 Class A Reset 2025</t>
  </si>
  <si>
    <t>CB-Torrey Pines Re Ltd. Series 2023-1 Class B Reset 2025</t>
  </si>
  <si>
    <t>CB-Torrey Pines Re Ltd. Series 2024-1 Class A Reset 2025</t>
  </si>
  <si>
    <t>CB-Torrey Pines Re Ltd. Series 2024-1 Class B Reset 2025</t>
  </si>
  <si>
    <t>CB-Torrey Pines Re Ltd. Series 2024-1 Class C Reset 2025</t>
  </si>
  <si>
    <t>CB-Torrey Pines Re Ltd. Series 2025-1 Class A</t>
  </si>
  <si>
    <t>CB-Torrey Pines Re Ltd. Series 2025-1 Class B</t>
  </si>
  <si>
    <t>CB-Torrey Pines Re Ltd. Series 2025-1 Class C</t>
  </si>
  <si>
    <t>CB-Finca Re Ltd. Series 2025-1 Class A</t>
  </si>
  <si>
    <t>CB-IBRD CAR Mexico 2024 Class A</t>
  </si>
  <si>
    <t>CB-IBRD CAR Mexico 2024 Class B</t>
  </si>
  <si>
    <t>CB-IBRD CAR Mexico 2024 Class C</t>
  </si>
  <si>
    <t>CB-IBRD CAR Mexico 2024 Class D</t>
  </si>
  <si>
    <t>CB-3264 Re Ltd. Series 2024-1 Class A Reset 2025</t>
  </si>
  <si>
    <t>CB-3264 Re Ltd. Series 2024-1 Class B Reset 2025</t>
  </si>
  <si>
    <t>CB-3264 Re Ltd. Series 2025-2 Class A</t>
  </si>
  <si>
    <t>CB-First Coast Re IV Ltd. Series 2023-1 Class A Reset 2025</t>
  </si>
  <si>
    <t>CB-Longleaf Pine Re Ltd. Series 2024-1 Class A Reset 2025</t>
  </si>
  <si>
    <t>CB-Veraison Re Ltd. Series 2023-1 Class A Reset 2025</t>
  </si>
  <si>
    <t>CB-Veraison Re Ltd. Series 2023-1 Class B Reset 2025</t>
  </si>
  <si>
    <t>CB-Veraison Re Ltd. Series 2024-1 Class A Reset 2025</t>
  </si>
  <si>
    <t>CB-Veraison Re Ltd. Series 2025-1 Class B</t>
  </si>
  <si>
    <t>CB-Vision 2039 Series 2025-1 Class A</t>
  </si>
  <si>
    <t>CB-Puerto Rico Parametric Re Ltd. Series 2024-1 Class A</t>
  </si>
  <si>
    <t>CB-Black Kite Re Ltd. Series 2025-1 Class A</t>
  </si>
  <si>
    <t>CB-Citrus Re Ltd. Series 2025-1 Class A</t>
  </si>
  <si>
    <t>CB-Citrus Re Ltd. Series 2025-1 Class B</t>
  </si>
  <si>
    <t>CB-Citrus Re Ltd. Series 2023-1 Class A Reset 2025</t>
  </si>
  <si>
    <t>CB-Citrus Re Ltd. Series 2023-1 Class B Reset 2025</t>
  </si>
  <si>
    <t>CB-Citrus Re Ltd. Series 2024-1 Class A Reset 2025</t>
  </si>
  <si>
    <t>CB-Citrus Re Ltd. Series 2024-1 Class B Reset 2025</t>
  </si>
  <si>
    <t>CB-Blue Ridge Re Ltd. Series 2023-1 Class B Reset 2025</t>
  </si>
  <si>
    <t>CB-Armor Re II Ltd. Series 2024-2 Class A</t>
  </si>
  <si>
    <t>CB-Cape Lookout Re Ltd. Series 2025-1 Class A</t>
  </si>
  <si>
    <t>CB-Bayou Re Ltd. Series 2023-1 Class A Reset 2025</t>
  </si>
  <si>
    <t>CB-Bayou Re Ltd. Series 2023-1 Class B Reset 2025</t>
  </si>
  <si>
    <t>CB-Purple Re Ltd. Series 2025-1 Class A</t>
  </si>
  <si>
    <t>CB-Purple Re Ltd. Series 2025-1 Class B</t>
  </si>
  <si>
    <t>CB-Purple Re Ltd. Series 2024-1 Class A Reset 2025</t>
  </si>
  <si>
    <t>CB-Purple Re Ltd. Series 2023-2 Class A Reset 2025</t>
  </si>
  <si>
    <t>CB-Purple Re Ltd. Series 2023-1 Class A Reset 2025</t>
  </si>
  <si>
    <t>CB-Nakama Re Ltd. Series 2023-1 Class 1 Reset 2025</t>
  </si>
  <si>
    <t>CB-Nakama Re Ltd. Series 2023-1 Class 2 Reset 2025</t>
  </si>
  <si>
    <t>CB-Nakama Re Pte. Ltd. Series 2025-1 Class 1</t>
  </si>
  <si>
    <t>CB-Nakama Re Pte. Ltd. Series 2021-1 Class 1 Reset 2023</t>
  </si>
  <si>
    <t>CB-Nakama Re Pte. Ltd. Series 2021-1 Class 2 Reset 2023</t>
  </si>
  <si>
    <t>CB-Atlas Capital DAC Series 2024-1 Class A Reset 2025</t>
  </si>
  <si>
    <t>CB-Hexagon III Re Pte. Ltd. Series 2021-1 Class A Reset 2025</t>
  </si>
  <si>
    <t>CB-Hexagon III Re Pte. Ltd. Series 2021-1 Class B Reset 2025</t>
  </si>
  <si>
    <t>CB-Hexagon IV Re Ltd. Series 2023-1 Class A Reset 2025</t>
  </si>
  <si>
    <t>CB-Hexagon IV Re Ltd. Series 2023-1 Class B Reset 2025</t>
  </si>
  <si>
    <t>CB-Bluebonnet Re Ltd. Series 2025-1 Class A</t>
  </si>
  <si>
    <t>CB-Bluebonnet Re Ltd. Series 2025-1 Class B</t>
  </si>
  <si>
    <t>CB-Bluebonnet Re Ltd. Series 2025-1 Class C</t>
  </si>
  <si>
    <t>CB-Bluebonnet Re Ltd. Series 2025-2 Class A</t>
  </si>
  <si>
    <t>CB-Hestia Re Ltd. Series 2025-1 Class A</t>
  </si>
  <si>
    <t>CB-Hestia Re Ltd. Series 2025-1 Class B</t>
  </si>
  <si>
    <t>CB-Hestia Re Ltd. Series 2023-1 Class A Reset 2025</t>
  </si>
  <si>
    <t>CB-Hypatia Ltd. Series 2025-1 Class A</t>
  </si>
  <si>
    <t>CB-Gateway Re Ltd. Series 2025-3 Class A</t>
  </si>
  <si>
    <t>CB-Integrity Re III Ltd. Series 2025-1 Class A-1 Reset 2025</t>
  </si>
  <si>
    <t>CB-Integrity Re III Ltd. Series 2025-1 Class B-1 Reset 2025</t>
  </si>
  <si>
    <t>CB-Integrity Re III Ltd. Series 2025-1 Class C Reset 2025</t>
  </si>
  <si>
    <t>CB-Integrity Re III Ltd. Series 2025-1 Class D Reset 2025</t>
  </si>
  <si>
    <t>CB-Integrity Re III Ltd. Series 2025-1 Class A-2 Reset 2025</t>
  </si>
  <si>
    <t>CB-Integrity Re III Ltd. Series 2025-1 Class B-2 Reset 2025</t>
  </si>
  <si>
    <t>CB-Integrity Re Ltd. Series 2024-1 Class A Reset 2025</t>
  </si>
  <si>
    <t>CB-Integrity Re Ltd. Series 2024-1 Class B Reset 2025</t>
  </si>
  <si>
    <t>CB-Integrity Re Ltd. Series 2024-1 Class C Reset 2025</t>
  </si>
  <si>
    <t>CB-Integrity Re Ltd. Series 2024-1 Class D Reset 2025</t>
  </si>
  <si>
    <t>CB-Ocelot Re Ltd. Series 2023-1 Class A Reset 2025</t>
  </si>
  <si>
    <t>CB-Ocelot Re Ltd. Series 2025-1 Class A</t>
  </si>
  <si>
    <t>CB-Ocelot Re Ltd. Series 2025-1 Class B</t>
  </si>
  <si>
    <t>CB-Bayou Re Ltd. Series 2024-1 Class A Reset 2025</t>
  </si>
  <si>
    <t>CB-Bayou Re Ltd. Series 2024-1 Class B Reset 2025</t>
  </si>
  <si>
    <t>CB-Bayou Re Ltd. Series 2025-1 Class A</t>
  </si>
  <si>
    <t>CB-Logistics Re Ltd. Series 2024-1 Class A</t>
  </si>
  <si>
    <t>CB-Lower Ferry Re Ltd. Series 2023-1 Class A Reset 2025</t>
  </si>
  <si>
    <t>CB-Lower Ferry Re Ltd. Series 2023-1 Class B Reset 2025</t>
  </si>
  <si>
    <t>CB-Luca Re Ltd. Series 2025-1 Class A</t>
  </si>
  <si>
    <t>CB-Matterhorn Re Ltd. Series 2021-1 Class A Reset 2025</t>
  </si>
  <si>
    <t>CB-Matterhorn Re Ltd. Series 2025-1 Class A</t>
  </si>
  <si>
    <t>CB-Matterhorn Re Ltd. Series 2025-1 Class B</t>
  </si>
  <si>
    <t>CB-Matterhorn Re Ltd. Series 2025-2 Class A</t>
  </si>
  <si>
    <t>CB-Kizuna Re III Pte. Ltd. Series 2024-1 Class A Reset 2025</t>
  </si>
  <si>
    <t>CB-Kizuna Re III Pte. Ltd. Series 2021-1 Class A Reset 2023</t>
  </si>
  <si>
    <t>CB-Tomoni Re Pte. Ltd. Series 2022-1 Class A-1 Reset 2025</t>
  </si>
  <si>
    <t>CB-Tomoni Re Pte. Ltd. Series 2024-1 Class A Reset 2025</t>
  </si>
  <si>
    <t>CB-Tomoni Re Pte. Ltd. Series 2024-1 Class B Reset 2025</t>
  </si>
  <si>
    <t>CB-Nature Coast Re Ltd. Series 2023-1 Class A Reset 2025</t>
  </si>
  <si>
    <t>CB-Nature Coast Re Ltd. Series 2023-1 Class B Reset 2025</t>
  </si>
  <si>
    <t>CB-Nature Coast Re Ltd. Series 2024-1 Class A Reset 2025</t>
  </si>
  <si>
    <t>CB-Nature Coast Re Ltd. Series 2025-2 Class A</t>
  </si>
  <si>
    <t>CB-Charles River Re Ltd. Series 2024-1 Class A Reset 2025</t>
  </si>
  <si>
    <t>CB-Gateway Re II Ltd. Series 2023-1 Class A Reset 2025</t>
  </si>
  <si>
    <t>CB-Gateway Re Ltd. Series 2023-1 Class A Reset 2025</t>
  </si>
  <si>
    <t>CB-Gateway Re Ltd. Series 2023-1 Class B Reset 2025</t>
  </si>
  <si>
    <t>CB-Gateway Re Ltd. Series 2024-1 Class AA Reset 2025</t>
  </si>
  <si>
    <t>CB-Mystic Re IV Ltd. Series 2023-1 Class A Reset 2025</t>
  </si>
  <si>
    <t>CB-Greengrove Re Ltd. Series 2025-1 Class A</t>
  </si>
  <si>
    <t>CB-Lion Re DAC Series 2025-1 Class A</t>
  </si>
  <si>
    <t>CB-Lion Re DAC Series 2025-1 Class B</t>
  </si>
  <si>
    <t>CB-Liongate Re DAC</t>
  </si>
  <si>
    <t>CB-Chartwell Re Ltd. Series 2025-1 Class C</t>
  </si>
  <si>
    <t>CB-Chartwell Re Ltd. Series 2025-1 Class B</t>
  </si>
  <si>
    <t>CB-Chartwell Re Ltd. Series 2025-1 Class A</t>
  </si>
  <si>
    <t>CB-Hypatia Ltd. Series 2023-1 Class A Reset 2025</t>
  </si>
  <si>
    <t>CB-Commonwealth Re Ltd. Series 2023-1 Class A Reset 2025</t>
  </si>
  <si>
    <t>CB-Everglades Re II Ltd. Series 2024-1 Class A Reset 2025</t>
  </si>
  <si>
    <t>CB-Everglades Re II Ltd. Series 2024-1 Class B Reset 2025</t>
  </si>
  <si>
    <t>CB-Everglades Re II Ltd. Series 2024-1 Class C Reset 2025</t>
  </si>
  <si>
    <t>CB-Everglades Re II Ltd. Series 2025-1 Class A</t>
  </si>
  <si>
    <t>CB-Everglades Re II Ltd. Series 2025-1 Class B</t>
  </si>
  <si>
    <t>CB-Everglades Re II Ltd. Series 2025-1 Class C</t>
  </si>
  <si>
    <t>CB-Everglades Re II Ltd. Series 2025-1 Class D</t>
  </si>
  <si>
    <t>CB-Mountain Re Ltd. Series 2023-1 Class A Reset 2025</t>
  </si>
  <si>
    <t>CB-Mystic Re IV Ltd. Series 2024-1 Class A Reset 2025</t>
  </si>
  <si>
    <t>CB-Northshore Re II Ltd. Series 2025-1 Class A</t>
  </si>
  <si>
    <t>CB-Oceanside Re Ltd. Series 2025-1 Class A</t>
  </si>
  <si>
    <t>CB-Palm Re Ltd. Series 2024-1 Class A Reset 2025</t>
  </si>
  <si>
    <t>CB-Winston Re Ltd. Series 2024-1 Class A Reset 2025</t>
  </si>
  <si>
    <t>CB-Winston Re Ltd. Series 2024-1 Class B Reset 2025</t>
  </si>
  <si>
    <t>CB-Winston Re Ltd. Series 2025-1 Class A</t>
  </si>
  <si>
    <t>CB-Palm Re Ltd. Series 2025-1 Class A</t>
  </si>
  <si>
    <t>CB-Acorn Re Ltd. Series 2023-1 Class A</t>
  </si>
  <si>
    <t>CB-Acorn Re Ltd. Series 2024-1 Class A</t>
  </si>
  <si>
    <t>CB-Acorn Re Ltd. Series 2024-1 Class B</t>
  </si>
  <si>
    <t>CB-Ursa Re II Ltd. Series 2022-2 Class AA Reset 2024</t>
  </si>
  <si>
    <t>CB-Ursa Re II Ltd. Series 2022-2 Class C Reset 2024</t>
  </si>
  <si>
    <t>CB-Ursa Re II Ltd. Series 2025-1 Class G</t>
  </si>
  <si>
    <t>CB-Ursa Re Ltd. Series 2023-2 Class E Reset 2024</t>
  </si>
  <si>
    <t>CB-Ursa Re Ltd. Series 2023-3 Class D Reset 2024</t>
  </si>
  <si>
    <t>CB-Ursa Re Ltd. Series 2023-1 Class AA Reset 2024</t>
  </si>
  <si>
    <t>CB-Ursa Re Ltd. Series 2023-1 Class C Reset 2024</t>
  </si>
  <si>
    <t>CB-Ursa Re Ltd. Series 2025-1 Class F</t>
  </si>
  <si>
    <t>CB-Montoya Re Ltd. Series 2022-2 Class A Reset 2025</t>
  </si>
  <si>
    <t>CB-Totara Re Pte. Ltd. Series 2023-1 Class A Reset 2025</t>
  </si>
  <si>
    <t>CB-FloodSmart Re Ltd. Series 2023-1 Class A Reset 2025</t>
  </si>
  <si>
    <t>CB-FloodSmart Re Ltd. Series 2023-1 Class B Reset 2025</t>
  </si>
  <si>
    <t>CB-FloodSmart Re Ltd. Series 2024-1 Class A Reset 2025</t>
  </si>
  <si>
    <t>CB-FloodSmart Re Ltd. Series 2024-1 Class B Reset 2025</t>
  </si>
  <si>
    <t>CB-Foundation Re IV Ltd. Series 2023-1 Class A Reset 2025</t>
  </si>
  <si>
    <t>CB-Quercus Re DAC Reset 2025</t>
  </si>
  <si>
    <t>CB-Sabine Re Ltd. Series 2024-1 Class A Reset 2025</t>
  </si>
  <si>
    <t>CB-Sakura Re Ltd. Series 2025-1 Class A</t>
  </si>
  <si>
    <t>CB-Solis Re Ltd. Series 2025-1 Class A</t>
  </si>
  <si>
    <t>CB-Taranis Re DAC Class A Reset 2025</t>
  </si>
  <si>
    <t>CB-Taranis Re DAC Class B Reset 2025</t>
  </si>
  <si>
    <t>CB-Wrigley Re Ltd. Series 2023-1 Class B Reset 2025</t>
  </si>
  <si>
    <t>CB-Wrigley Re Ltd. Series 2023-1 Class A Reset 2025</t>
  </si>
  <si>
    <t>CB-Yosemite Re Ltd. Series 2025-1 Class A</t>
  </si>
  <si>
    <t>CB-Montoya Re Ltd. Series 2024-1 Class A Reset 2025</t>
  </si>
  <si>
    <t>CB-Fuchsia Series 2023-1 Class A Reset 2025</t>
  </si>
  <si>
    <t>CB-Montoya Re Ltd. Series 2025-1 Class A Reset 2025</t>
  </si>
  <si>
    <t>CB-Mystic Re IV Ltd. Series 2025-1 Class A</t>
  </si>
  <si>
    <t>CB-Mystic Re IV Ltd. Series 2025-1 Class B</t>
  </si>
  <si>
    <t>CB-Mystic Re IV Ltd. Series 2025-1 Class C</t>
  </si>
  <si>
    <t>CB-Alamo Re Ltd. Series 2023-1 Class A Reset 2025</t>
  </si>
  <si>
    <t>CB-Alamo Re Ltd. Series 2024-1 Class A Reset 2025</t>
  </si>
  <si>
    <t>CB-Alamo Re Ltd. Series 2024-1 Class B Reset 2025</t>
  </si>
  <si>
    <t>CB-Alamo Re Ltd. Series 2024-1 Class C Reset 2025</t>
  </si>
  <si>
    <t>CB-Topanga Re Ltd. Series 2021-1 Class A Reset 2025</t>
  </si>
  <si>
    <t>CB-Sanders Re III Ltd. Series 2023-2 Class A Reset 2025</t>
  </si>
  <si>
    <t>CB-Mona Lisa Re Ltd. Series 2025-1 Class A</t>
  </si>
  <si>
    <t>CB-Mona Lisa Re Ltd. Series 2025-1 Class B</t>
  </si>
  <si>
    <t>CB-Mona Lisa Re Ltd. Series 2024-1 Class A Reset 2025</t>
  </si>
  <si>
    <t>CB-Mona Lisa Re Ltd. Series 2023-1 Class A Reset 2025</t>
  </si>
  <si>
    <t>CB-Mona Lisa Re Ltd. Series 2023-1 Class B Reset 2025</t>
  </si>
  <si>
    <t>CB-King Max Re DAC Reset 2025</t>
  </si>
  <si>
    <t>CB-Orange Capital Re DAC Series 2024-1 Class A</t>
  </si>
  <si>
    <t>CB-Orange Capital Re DAC Series 2023-1 Class A Reset 2025</t>
  </si>
  <si>
    <t>CB-Locke Tavern Re Ltd. Series 2023-1 Class A Reset 2025</t>
  </si>
  <si>
    <t>CB-Herbie Re Ltd. Series 2024-1 Class A Reset 2025</t>
  </si>
  <si>
    <t>CB-Herbie Re Ltd. Series 2024-1 Class B Reset 2025</t>
  </si>
  <si>
    <t>CB-Herbie Re Ltd. Series 2024-2 Class A</t>
  </si>
  <si>
    <t>CB-Herbie Re Ltd. Series 2024-2 Class B</t>
  </si>
  <si>
    <t>CB-Herbie Re Ltd. Series 2024-2 Class C</t>
  </si>
  <si>
    <t>CB-Herbie Re Ltd. Series 2022-1 Class A Reset 2025</t>
  </si>
  <si>
    <t>CB-Long Point Re IV Ltd. Series 2022-1 Class A Reset 2025</t>
  </si>
  <si>
    <t>CB-Sutter Re Ltd. Series 2023-1 Class B Reset 2025</t>
  </si>
  <si>
    <t>CB-Sutter Re Ltd. Series 2023-1 Class E Reset 2025</t>
  </si>
  <si>
    <t>CB-Windmill III Re DAC Series 2024-1 Class A Reset 2025</t>
  </si>
  <si>
    <t>CB-Titania Re Ltd. Series 2023-1 Class A Reset 2025</t>
  </si>
  <si>
    <t>CB-Titania Re Ltd. Series 2023-1 Class B Reset 2025</t>
  </si>
  <si>
    <t>CB-Titania Re Ltd. Series 2024-1 Class A</t>
  </si>
  <si>
    <t>CB-Titania Re Ltd. Series 2024-1 Class B</t>
  </si>
  <si>
    <t>CB-Titania Re Ltd. Series 2025-1 Class A</t>
  </si>
  <si>
    <t>CB-Titania Re Ltd. Series 2025-1 Class B</t>
  </si>
  <si>
    <t>CB-Kendall Re Ltd. Series 2024-1 Class A Reset 2025</t>
  </si>
  <si>
    <t>CB-Kendall Re Ltd. Series 2024-1 Class B Reset 2025</t>
  </si>
  <si>
    <t>CB-Sanders Re II Ltd. Series 2025-2 Class A</t>
  </si>
  <si>
    <t>CB-High Point Re Ltd. Series 2023-1 Class A Reset 2025</t>
  </si>
  <si>
    <t>CB-Azzurro Re II DAC Series 2024-1 Class A Reset 2025</t>
  </si>
  <si>
    <t>CB-Bonanza Re Ltd. Series 2023-1 Class A Reset 2025</t>
  </si>
  <si>
    <t>CB-Blue Sky Re DAC Series 2023-1 Reset 2025</t>
  </si>
  <si>
    <t>CB-Eiffel Re Ltd. Series 2023-1 Class A Reset 2025</t>
  </si>
  <si>
    <t>CB-Atlas Capital DAC Series 2023-1 Class A Reset 2025</t>
  </si>
  <si>
    <t>CB-Atlas Capital DAC Series 2025-1 Class A</t>
  </si>
  <si>
    <t>CB-Commonwealth Re Ltd. Series 2025-1 Class A</t>
  </si>
  <si>
    <t>CB-First Coast Re IV Ltd. Series 2025-1 Class B</t>
  </si>
  <si>
    <t>CB-First Coast Re IV Ltd. Series 2025-1 Class A</t>
  </si>
  <si>
    <t>CB-3264 Re Ltd. Series 2025-1 Class B</t>
  </si>
  <si>
    <t>CB-3264 Re Ltd. Series 2025-1 Class A</t>
  </si>
  <si>
    <t>CB-2001 CAT Re Ltd. Series 2023-1 Class A Reset 2025</t>
  </si>
  <si>
    <t>CB-Herbie Re Ltd. Series 2025-1 Class A</t>
  </si>
  <si>
    <t>CB-Res Re 2025 Ltd. Series 2025-II Class 2</t>
  </si>
  <si>
    <t>CB-Four Lakes Re Ltd. Series 2023-1 Class B Reset 2025_V12</t>
  </si>
  <si>
    <t>CB-Four Lakes Re Ltd. Series 2024-1 Class B_V12</t>
  </si>
  <si>
    <t>CB-Herbie Re Ltd. Series 2025-1 Class A LMF USSCS</t>
  </si>
  <si>
    <t>CB-FloodSmart Re Ltd. Series 2024-1 Class A Reset 2025_wLMF</t>
  </si>
  <si>
    <t>CB-Meadows Ltd. Series 2025-1 Class A</t>
  </si>
  <si>
    <t>CB-Meadows Ltd. Series 2025-1 Class C</t>
  </si>
  <si>
    <t>03843AAA0</t>
  </si>
  <si>
    <t>03843AAB8</t>
  </si>
  <si>
    <t>03843AAC6</t>
  </si>
  <si>
    <t>037987AA2</t>
  </si>
  <si>
    <t>037987AB0</t>
  </si>
  <si>
    <t>68302QAA2</t>
  </si>
  <si>
    <t>79381MAC8</t>
  </si>
  <si>
    <t>571253AA1</t>
  </si>
  <si>
    <t>571253AB9</t>
  </si>
  <si>
    <t>532242AA2</t>
  </si>
  <si>
    <t>755933AA6</t>
  </si>
  <si>
    <t>85237TAA0</t>
  </si>
  <si>
    <t>13947LAE2</t>
  </si>
  <si>
    <t>13947LAF9</t>
  </si>
  <si>
    <t>04401RAA5</t>
  </si>
  <si>
    <t>751443AA0</t>
  </si>
  <si>
    <t>36354TAN2</t>
  </si>
  <si>
    <t>36354TAP7</t>
  </si>
  <si>
    <t>XS2969300081</t>
  </si>
  <si>
    <t>09785EAN1</t>
  </si>
  <si>
    <t>09785EAP6</t>
  </si>
  <si>
    <t>09785EAQ4</t>
  </si>
  <si>
    <t>80001RAB7</t>
  </si>
  <si>
    <t>80001RAA9</t>
  </si>
  <si>
    <t>747977AA4</t>
  </si>
  <si>
    <t>76091DAA9</t>
  </si>
  <si>
    <t>76091DAB7</t>
  </si>
  <si>
    <t>76091DAC5</t>
  </si>
  <si>
    <t>27777AAA9</t>
  </si>
  <si>
    <t>10807LAA5</t>
  </si>
  <si>
    <t>76114NAE2</t>
  </si>
  <si>
    <t>76114NAF9</t>
  </si>
  <si>
    <t>76119YAF0</t>
  </si>
  <si>
    <t>76119YAG8</t>
  </si>
  <si>
    <t>76090WAB6</t>
  </si>
  <si>
    <t>76090WAC4</t>
  </si>
  <si>
    <t>76112AAC6</t>
  </si>
  <si>
    <t>76112AAD4</t>
  </si>
  <si>
    <t>76112AAE2</t>
  </si>
  <si>
    <t>05826BAC0</t>
  </si>
  <si>
    <t>05826BAB2</t>
  </si>
  <si>
    <t>57839MAA6</t>
  </si>
  <si>
    <t>57839MAB4</t>
  </si>
  <si>
    <t>57839MAC2</t>
  </si>
  <si>
    <t>57839MAD0</t>
  </si>
  <si>
    <t>76119YAB9</t>
  </si>
  <si>
    <t>76119YAC7</t>
  </si>
  <si>
    <t>76119YAD5</t>
  </si>
  <si>
    <t>76119YAE3</t>
  </si>
  <si>
    <t>76133XAA5</t>
  </si>
  <si>
    <t>76133XAB3</t>
  </si>
  <si>
    <t>76091BAB1</t>
  </si>
  <si>
    <t>76091BAC9</t>
  </si>
  <si>
    <t>36779CAM8</t>
  </si>
  <si>
    <t>36779CAR7</t>
  </si>
  <si>
    <t>36779CAP1</t>
  </si>
  <si>
    <t>36779CAQ9</t>
  </si>
  <si>
    <t>36779CAN6</t>
  </si>
  <si>
    <t>36779CAS5</t>
  </si>
  <si>
    <t>59165HAD1</t>
  </si>
  <si>
    <t>XS2806459314</t>
  </si>
  <si>
    <t>XS2599161192</t>
  </si>
  <si>
    <t>37173WAA0</t>
  </si>
  <si>
    <t>799927AA6</t>
  </si>
  <si>
    <t>80001QAA1</t>
  </si>
  <si>
    <t>80001QAB9</t>
  </si>
  <si>
    <t>80000YAA5</t>
  </si>
  <si>
    <t>80000XAA7</t>
  </si>
  <si>
    <t>80000XAC3</t>
  </si>
  <si>
    <t>80001TAA5</t>
  </si>
  <si>
    <t>80001TAC1</t>
  </si>
  <si>
    <t>80001TAB3</t>
  </si>
  <si>
    <t>80001TAD9</t>
  </si>
  <si>
    <t>577092AZ2</t>
  </si>
  <si>
    <t>577092BA6</t>
  </si>
  <si>
    <t>04681FAA2</t>
  </si>
  <si>
    <t>04681FAB0</t>
  </si>
  <si>
    <t>83427GAA3</t>
  </si>
  <si>
    <t>35087TAD0</t>
  </si>
  <si>
    <t>35087TAE8</t>
  </si>
  <si>
    <t>35087TAF5</t>
  </si>
  <si>
    <t>35087TAG3</t>
  </si>
  <si>
    <t>35087TAH1</t>
  </si>
  <si>
    <t>49407QAJ7</t>
  </si>
  <si>
    <t>49407QAK4</t>
  </si>
  <si>
    <t>49407QAL2</t>
  </si>
  <si>
    <t>49407QAM0</t>
  </si>
  <si>
    <t>49407QAN8</t>
  </si>
  <si>
    <t>49407QAP3</t>
  </si>
  <si>
    <t>49407QAQ1</t>
  </si>
  <si>
    <t>49407QAR9</t>
  </si>
  <si>
    <t>49407QAG3</t>
  </si>
  <si>
    <t>49407QAH1</t>
  </si>
  <si>
    <t>49407PAH3</t>
  </si>
  <si>
    <t>49407PAJ9</t>
  </si>
  <si>
    <t>49407PAK6</t>
  </si>
  <si>
    <t>76870YAG7</t>
  </si>
  <si>
    <t>76870YAF9</t>
  </si>
  <si>
    <t>63901CAD3</t>
  </si>
  <si>
    <t>54180CAA0</t>
  </si>
  <si>
    <t>36779CAF3</t>
  </si>
  <si>
    <t>68252UAA3</t>
  </si>
  <si>
    <t>03851YAA7</t>
  </si>
  <si>
    <t>04227FAE5</t>
  </si>
  <si>
    <t>89141WAF9</t>
  </si>
  <si>
    <t>89141WAG7</t>
  </si>
  <si>
    <t>89141WAH5</t>
  </si>
  <si>
    <t>89141WAJ1</t>
  </si>
  <si>
    <t>89141WAK8</t>
  </si>
  <si>
    <t>89141WAL6</t>
  </si>
  <si>
    <t>89141WAM4</t>
  </si>
  <si>
    <t>89141WAN2</t>
  </si>
  <si>
    <t>31771QAB0</t>
  </si>
  <si>
    <t>XS2799645515</t>
  </si>
  <si>
    <t>XS2799645606</t>
  </si>
  <si>
    <t>XS2799645788</t>
  </si>
  <si>
    <t>XS2809694198</t>
  </si>
  <si>
    <t>88577CAC5</t>
  </si>
  <si>
    <t>88577CAD3</t>
  </si>
  <si>
    <t>88577CAG6</t>
  </si>
  <si>
    <t>31969UAA5</t>
  </si>
  <si>
    <t>54307MAA6</t>
  </si>
  <si>
    <t>92335TAA7</t>
  </si>
  <si>
    <t>92335TAB5</t>
  </si>
  <si>
    <t>92335TAC3</t>
  </si>
  <si>
    <t>92335TAD1</t>
  </si>
  <si>
    <t>92335TAE9</t>
  </si>
  <si>
    <t>XS3019877813</t>
  </si>
  <si>
    <t>74528TAA2</t>
  </si>
  <si>
    <t>092168AB9</t>
  </si>
  <si>
    <t>177510AQ7</t>
  </si>
  <si>
    <t>177510AR5</t>
  </si>
  <si>
    <t>177510AL8</t>
  </si>
  <si>
    <t>177510AM6</t>
  </si>
  <si>
    <t>177510AN4</t>
  </si>
  <si>
    <t>177510AP9</t>
  </si>
  <si>
    <t>096003AA6</t>
  </si>
  <si>
    <t>096003AB4</t>
  </si>
  <si>
    <t>04227FAF2</t>
  </si>
  <si>
    <t>13947LAG7</t>
  </si>
  <si>
    <t>07304LAA9</t>
  </si>
  <si>
    <t>07304LAB7</t>
  </si>
  <si>
    <t>74639NAD5</t>
  </si>
  <si>
    <t>74639NAE3</t>
  </si>
  <si>
    <t>74639NAC7</t>
  </si>
  <si>
    <t>74639NAB9</t>
  </si>
  <si>
    <t>74639NAA1</t>
  </si>
  <si>
    <t>62983QAN3</t>
  </si>
  <si>
    <t>62983QAP8</t>
  </si>
  <si>
    <t>62984JAC2</t>
  </si>
  <si>
    <t>62984JAD0</t>
  </si>
  <si>
    <t>62984JAA6</t>
  </si>
  <si>
    <t>62984JAB4</t>
  </si>
  <si>
    <t>049207AB9</t>
  </si>
  <si>
    <t>XS2411652642</t>
  </si>
  <si>
    <t>XS2411653293</t>
  </si>
  <si>
    <t>428270AA0</t>
  </si>
  <si>
    <t>428270AB8</t>
  </si>
  <si>
    <t>09610NAA0</t>
  </si>
  <si>
    <t>09610NAB8</t>
  </si>
  <si>
    <t>09610NAC6</t>
  </si>
  <si>
    <t>09610NAD4</t>
  </si>
  <si>
    <t>42815KAC6</t>
  </si>
  <si>
    <t>42815KAD4</t>
  </si>
  <si>
    <t>42815KAB8</t>
  </si>
  <si>
    <t>44914CAD8</t>
  </si>
  <si>
    <t>36779CAT3</t>
  </si>
  <si>
    <t>45870GAA4</t>
  </si>
  <si>
    <t>45870GAC0</t>
  </si>
  <si>
    <t>45870GAE6</t>
  </si>
  <si>
    <t>45870GAF3</t>
  </si>
  <si>
    <t>45870GAB2</t>
  </si>
  <si>
    <t>45870GAD8</t>
  </si>
  <si>
    <t>45833UAJ0</t>
  </si>
  <si>
    <t>45833UAK7</t>
  </si>
  <si>
    <t>45833UAL5</t>
  </si>
  <si>
    <t>45833UAM3</t>
  </si>
  <si>
    <t>675951AA5</t>
  </si>
  <si>
    <t>675951AB3</t>
  </si>
  <si>
    <t>675951AC1</t>
  </si>
  <si>
    <t>07304LAC5</t>
  </si>
  <si>
    <t>07304LAD3</t>
  </si>
  <si>
    <t>07304LAE1</t>
  </si>
  <si>
    <t>54143LAB4</t>
  </si>
  <si>
    <t>547915AA6</t>
  </si>
  <si>
    <t>547915AB4</t>
  </si>
  <si>
    <t>54930CAA3</t>
  </si>
  <si>
    <t>577092AN9</t>
  </si>
  <si>
    <t>577092AW9</t>
  </si>
  <si>
    <t>577092AX7</t>
  </si>
  <si>
    <t>577092AY5</t>
  </si>
  <si>
    <t>49835JAB2</t>
  </si>
  <si>
    <t>49835JAA4</t>
  </si>
  <si>
    <t>89009PAA6</t>
  </si>
  <si>
    <t>89009PAB4</t>
  </si>
  <si>
    <t>89009PAE8</t>
  </si>
  <si>
    <t>89009PAF5</t>
  </si>
  <si>
    <t>63901CAA9</t>
  </si>
  <si>
    <t>63901CAB7</t>
  </si>
  <si>
    <t>63901CAC5</t>
  </si>
  <si>
    <t>63901CAE1</t>
  </si>
  <si>
    <t>159873AA6</t>
  </si>
  <si>
    <t>367927AA8</t>
  </si>
  <si>
    <t>36779CAC0</t>
  </si>
  <si>
    <t>36779CAD8</t>
  </si>
  <si>
    <t>36779CAG1</t>
  </si>
  <si>
    <t>574591AA1</t>
  </si>
  <si>
    <t>62865LAD9</t>
  </si>
  <si>
    <t>39526JAA9</t>
  </si>
  <si>
    <t>XS3075449036</t>
  </si>
  <si>
    <t>XS3075450471</t>
  </si>
  <si>
    <t>53625HAA4</t>
  </si>
  <si>
    <t>16140YAC6</t>
  </si>
  <si>
    <t>16140YAB8</t>
  </si>
  <si>
    <t>16140YAA0</t>
  </si>
  <si>
    <t>44914CAC0</t>
  </si>
  <si>
    <t>203235AB2</t>
  </si>
  <si>
    <t>30014LAM6</t>
  </si>
  <si>
    <t>30014LAN4</t>
  </si>
  <si>
    <t>30014LAP9</t>
  </si>
  <si>
    <t>30014LAT1</t>
  </si>
  <si>
    <t>30014LAU8</t>
  </si>
  <si>
    <t>30014LAV6</t>
  </si>
  <si>
    <t>30014LAW4</t>
  </si>
  <si>
    <t>33774EAA2</t>
  </si>
  <si>
    <t>62426LAA7</t>
  </si>
  <si>
    <t>62865LAE7</t>
  </si>
  <si>
    <t>666842AF6</t>
  </si>
  <si>
    <t>67550LAA4</t>
  </si>
  <si>
    <t>69664FAA6</t>
  </si>
  <si>
    <t>975660AA9</t>
  </si>
  <si>
    <t>975660AB7</t>
  </si>
  <si>
    <t>975660AC5</t>
  </si>
  <si>
    <t>69664FAB4</t>
  </si>
  <si>
    <t>00485YAD1</t>
  </si>
  <si>
    <t>00485YAE9</t>
  </si>
  <si>
    <t>00485YAF6</t>
  </si>
  <si>
    <t>91734PAF3</t>
  </si>
  <si>
    <t>91734PAG1</t>
  </si>
  <si>
    <t>91734PAH9</t>
  </si>
  <si>
    <t>90323WAN0</t>
  </si>
  <si>
    <t>90323WAP5</t>
  </si>
  <si>
    <t>90323WAQ3</t>
  </si>
  <si>
    <t>90323WAL4</t>
  </si>
  <si>
    <t>90323WAM2</t>
  </si>
  <si>
    <t>90323WAR1</t>
  </si>
  <si>
    <t>613752AB0</t>
  </si>
  <si>
    <t>XS2630523749</t>
  </si>
  <si>
    <t>33975CAM7</t>
  </si>
  <si>
    <t>33975CAN5</t>
  </si>
  <si>
    <t>33975CAP0</t>
  </si>
  <si>
    <t>33975CAQ8</t>
  </si>
  <si>
    <t>349939AA6</t>
  </si>
  <si>
    <t>XS2865536135</t>
  </si>
  <si>
    <t>785628AA6</t>
  </si>
  <si>
    <t>79381MAD6</t>
  </si>
  <si>
    <t>83423TAA9</t>
  </si>
  <si>
    <t>87609TAA6</t>
  </si>
  <si>
    <t>87609TAB4</t>
  </si>
  <si>
    <t>982533AC5</t>
  </si>
  <si>
    <t>982533AB7</t>
  </si>
  <si>
    <t>98740RAB5</t>
  </si>
  <si>
    <t>613752AC8</t>
  </si>
  <si>
    <t>54180TAA3</t>
  </si>
  <si>
    <t>541917AA8</t>
  </si>
  <si>
    <t>613752AD6</t>
  </si>
  <si>
    <t>613752AE4</t>
  </si>
  <si>
    <t>62865LAF4</t>
  </si>
  <si>
    <t>62865LAG2</t>
  </si>
  <si>
    <t>62865LAH0</t>
  </si>
  <si>
    <t>011395AJ9</t>
  </si>
  <si>
    <t>011395AN0</t>
  </si>
  <si>
    <t>011395AP5</t>
  </si>
  <si>
    <t>011395AQ3</t>
  </si>
  <si>
    <t>89055TAA1</t>
  </si>
  <si>
    <t>799925AA0</t>
  </si>
  <si>
    <t>608800AJ7</t>
  </si>
  <si>
    <t>608800AK4</t>
  </si>
  <si>
    <t>608800AH1</t>
  </si>
  <si>
    <t>608800AF5</t>
  </si>
  <si>
    <t>608800AG3</t>
  </si>
  <si>
    <t>XS2931270180</t>
  </si>
  <si>
    <t>XS2722275190</t>
  </si>
  <si>
    <t>539694AA7</t>
  </si>
  <si>
    <t>42703VAG8</t>
  </si>
  <si>
    <t>42703VAH6</t>
  </si>
  <si>
    <t>42703VAJ2</t>
  </si>
  <si>
    <t>42703VAK9</t>
  </si>
  <si>
    <t>42703VAL7</t>
  </si>
  <si>
    <t>42703VAF0</t>
  </si>
  <si>
    <t>54279PAA3</t>
  </si>
  <si>
    <t>86944RAE8</t>
  </si>
  <si>
    <t>86944RAF5</t>
  </si>
  <si>
    <t>XS2845137541</t>
  </si>
  <si>
    <t>888329AC3</t>
  </si>
  <si>
    <t>888329AD1</t>
  </si>
  <si>
    <t>888329AE9</t>
  </si>
  <si>
    <t>888329AF6</t>
  </si>
  <si>
    <t>888329AG4</t>
  </si>
  <si>
    <t>888329AH2</t>
  </si>
  <si>
    <t>48878QAD2</t>
  </si>
  <si>
    <t>48878QAE0</t>
  </si>
  <si>
    <t>80001AAA6</t>
  </si>
  <si>
    <t>429932AA4</t>
  </si>
  <si>
    <t>XS2788028178</t>
  </si>
  <si>
    <t>09785EAK7</t>
  </si>
  <si>
    <t>09605UAA1</t>
  </si>
  <si>
    <t>XS2641776773</t>
  </si>
  <si>
    <t>049207AA1</t>
  </si>
  <si>
    <t>049207AC7</t>
  </si>
  <si>
    <t>203235AC0</t>
  </si>
  <si>
    <t>31969UAC1</t>
  </si>
  <si>
    <t>31969UAB3</t>
  </si>
  <si>
    <t>88577CAF8</t>
  </si>
  <si>
    <t>88577CAE1</t>
  </si>
  <si>
    <t>90215BAB3</t>
  </si>
  <si>
    <t>42703VAM5</t>
  </si>
  <si>
    <t>76091JAA6</t>
  </si>
  <si>
    <t>58320RAA9</t>
  </si>
  <si>
    <t>58320RAC5</t>
  </si>
  <si>
    <t>ETF Bound Portfolio as of Nov 7, 2025</t>
  </si>
  <si>
    <t>without Treasury -------------&gt;</t>
  </si>
  <si>
    <t>with Treasury -------------&gt;</t>
  </si>
  <si>
    <t>Transaction Type</t>
  </si>
  <si>
    <t>Purchase Date</t>
  </si>
  <si>
    <t>Setltement Date</t>
  </si>
  <si>
    <t>Broker</t>
  </si>
  <si>
    <t>Security Description</t>
  </si>
  <si>
    <t>Cedent1</t>
  </si>
  <si>
    <t>Accumulation</t>
  </si>
  <si>
    <t>Trigger Type</t>
  </si>
  <si>
    <t>Issue Date</t>
  </si>
  <si>
    <t>Maturity Date</t>
  </si>
  <si>
    <t>Amount Outstanding</t>
  </si>
  <si>
    <t>Risk</t>
  </si>
  <si>
    <t>Swiss Re EL</t>
  </si>
  <si>
    <t>Original Spread</t>
  </si>
  <si>
    <t>Coupon</t>
  </si>
  <si>
    <t>ICE Price 9/2</t>
  </si>
  <si>
    <t>Price</t>
  </si>
  <si>
    <t>Unit</t>
  </si>
  <si>
    <t>Local Currency</t>
  </si>
  <si>
    <t>Local to USD Rate</t>
  </si>
  <si>
    <t>Acrrued Interest Paid (USD)</t>
  </si>
  <si>
    <t># Days of Interest Paid</t>
  </si>
  <si>
    <t>Invested AUM (USD)</t>
  </si>
  <si>
    <t>Total Paid (USD)</t>
  </si>
  <si>
    <t>Market Value as of 11/6</t>
  </si>
  <si>
    <t>Maturity (yrs)</t>
  </si>
  <si>
    <t>Yield to Maturity (YTM)</t>
  </si>
  <si>
    <t xml:space="preserve">Spread </t>
  </si>
  <si>
    <t>Net  Spread</t>
  </si>
  <si>
    <t>Loss Ratio</t>
  </si>
  <si>
    <t xml:space="preserve"> EL Multiple</t>
  </si>
  <si>
    <t>Premium (USD)</t>
  </si>
  <si>
    <t>AAL (USD)</t>
  </si>
  <si>
    <t>BH</t>
  </si>
  <si>
    <t>Nakama Re 2024-1 A</t>
  </si>
  <si>
    <t>4/23/2024</t>
  </si>
  <si>
    <t>4/4/2029</t>
  </si>
  <si>
    <t>JP EQ</t>
  </si>
  <si>
    <t>RBC</t>
  </si>
  <si>
    <t>Montoya Re 2025-1 B </t>
  </si>
  <si>
    <t>Occurrence</t>
  </si>
  <si>
    <t>Industry Loss Index</t>
  </si>
  <si>
    <t>1/29/2025</t>
  </si>
  <si>
    <t>4/7/2028</t>
  </si>
  <si>
    <t>US WD / US &amp; CAD QK</t>
  </si>
  <si>
    <t>Blue Ridge Re 2023-1 A</t>
  </si>
  <si>
    <t>11/22/2023</t>
  </si>
  <si>
    <t>1/8/2027</t>
  </si>
  <si>
    <t>NC WD</t>
  </si>
  <si>
    <t>Tomoni Re 2022-1 B </t>
  </si>
  <si>
    <t>3/30/2022</t>
  </si>
  <si>
    <t>4/7/2026</t>
  </si>
  <si>
    <t>JP WD &amp; FL</t>
  </si>
  <si>
    <t>Ursa Re 2023-3 AA</t>
  </si>
  <si>
    <t>12/7/2023</t>
  </si>
  <si>
    <t>12/7/2026</t>
  </si>
  <si>
    <t>CA EQ</t>
  </si>
  <si>
    <t>Veraison Re 2025-1 A</t>
  </si>
  <si>
    <t>2/5/2025</t>
  </si>
  <si>
    <t>3/8/2028</t>
  </si>
  <si>
    <t>US EQ</t>
  </si>
  <si>
    <t xml:space="preserve">Fuchsia 2 2024-1 </t>
  </si>
  <si>
    <t>12/23/2024</t>
  </si>
  <si>
    <t>4/6/2028</t>
  </si>
  <si>
    <t>US &amp; CAD WD &amp; QK</t>
  </si>
  <si>
    <t xml:space="preserve">Fish Pond Re 2024-1 A </t>
  </si>
  <si>
    <t>1/9/2024</t>
  </si>
  <si>
    <t>TX HU &amp; THD</t>
  </si>
  <si>
    <t xml:space="preserve">Baldwin Re 2023-1 A </t>
  </si>
  <si>
    <t>Vermont Mutual</t>
  </si>
  <si>
    <t>6/28/2023</t>
  </si>
  <si>
    <t>7/7/2027</t>
  </si>
  <si>
    <t>NE WD,QK,TH,WF</t>
  </si>
  <si>
    <t xml:space="preserve">Sanders Re III 2023-1 A </t>
  </si>
  <si>
    <t>3/31/2023</t>
  </si>
  <si>
    <t>4/7/2027</t>
  </si>
  <si>
    <t>US WD (not FL) / TH/ US QK/WF</t>
  </si>
  <si>
    <t>Parametric</t>
  </si>
  <si>
    <t>Gateway Re 2025-1 C2</t>
  </si>
  <si>
    <t>SageSure</t>
  </si>
  <si>
    <t>Occ (2nd event)</t>
  </si>
  <si>
    <t>2/27/2025</t>
  </si>
  <si>
    <t>US WD</t>
  </si>
  <si>
    <t>Purple Re 2024-1 A</t>
  </si>
  <si>
    <t>Slide</t>
  </si>
  <si>
    <t>4/9/2024</t>
  </si>
  <si>
    <t>6/7/2027</t>
  </si>
  <si>
    <t>FL &amp; SC HU</t>
  </si>
  <si>
    <t xml:space="preserve">Aragonite Re 2024-1 A </t>
  </si>
  <si>
    <t>Brookfield Property</t>
  </si>
  <si>
    <t>3/28/2024</t>
  </si>
  <si>
    <t>US&amp;CAD WD&amp;QK</t>
  </si>
  <si>
    <t>Acorn Re 2023-1 A</t>
  </si>
  <si>
    <t>Oak Tree Insurance</t>
  </si>
  <si>
    <t>6/27/2023</t>
  </si>
  <si>
    <t>11/6/2026</t>
  </si>
  <si>
    <t>US CA EQ</t>
  </si>
  <si>
    <t xml:space="preserve">Commonwealth Re 2023-1 A </t>
  </si>
  <si>
    <t>Hannover Insurance</t>
  </si>
  <si>
    <t>6/21/2023</t>
  </si>
  <si>
    <t>7/8/2026</t>
  </si>
  <si>
    <t>NE US WD</t>
  </si>
  <si>
    <t xml:space="preserve">Wrigley Re 2023-1 A </t>
  </si>
  <si>
    <t>Gryphon Mutual (Blackstone)</t>
  </si>
  <si>
    <t>7/19/2023</t>
  </si>
  <si>
    <t>8/7/2026</t>
  </si>
  <si>
    <t xml:space="preserve">Charles River Re 2024-1 A </t>
  </si>
  <si>
    <t xml:space="preserve">American European Insurance </t>
  </si>
  <si>
    <t>4/11/2024</t>
  </si>
  <si>
    <t>5/10/2027</t>
  </si>
  <si>
    <t>US WD (MA,NJ,NY,SC)</t>
  </si>
  <si>
    <t>Tower Hill Ins Exch</t>
  </si>
  <si>
    <t>US (FL) WD</t>
  </si>
  <si>
    <t xml:space="preserve">Torrey Pines Re 2023-1 A </t>
  </si>
  <si>
    <t>Palomar Specialty</t>
  </si>
  <si>
    <t>5/25/2023</t>
  </si>
  <si>
    <t>6/5/2026</t>
  </si>
  <si>
    <t>Lightning Re 2023-1 A</t>
  </si>
  <si>
    <t>FL Citizens</t>
  </si>
  <si>
    <t>3/24/2023</t>
  </si>
  <si>
    <t>3/31/2026</t>
  </si>
  <si>
    <t>FL HU</t>
  </si>
  <si>
    <t xml:space="preserve">Alamo Re 2023-1 A </t>
  </si>
  <si>
    <t>TWIA</t>
  </si>
  <si>
    <t>4/19/2023</t>
  </si>
  <si>
    <t>6/7/2026</t>
  </si>
  <si>
    <t>US HU (TX Storms) &amp; TH</t>
  </si>
  <si>
    <t xml:space="preserve">Bayou Re 2023-1 A </t>
  </si>
  <si>
    <t>LA Citizens</t>
  </si>
  <si>
    <t>5/18/2023</t>
  </si>
  <si>
    <t>5/26/2026</t>
  </si>
  <si>
    <t>LA HU</t>
  </si>
  <si>
    <t>Palm Re 2024-1 A</t>
  </si>
  <si>
    <t>FL Peninsula</t>
  </si>
  <si>
    <t>Titania Re 2023-1 A</t>
  </si>
  <si>
    <t>Ariel Re</t>
  </si>
  <si>
    <t>2/23/2023</t>
  </si>
  <si>
    <t>2/27/2026</t>
  </si>
  <si>
    <t>US CAD &amp; PR WD &amp; QK</t>
  </si>
  <si>
    <t>Logistics Re 2024-1 A</t>
  </si>
  <si>
    <t>Prologis</t>
  </si>
  <si>
    <t>10/28/2024</t>
  </si>
  <si>
    <t>12/21/2027</t>
  </si>
  <si>
    <t>Four Lakes Re 2023-1 B</t>
  </si>
  <si>
    <t>American Family</t>
  </si>
  <si>
    <t>12/14/2023</t>
  </si>
  <si>
    <t>1/7/2027</t>
  </si>
  <si>
    <t>US WD/QK/TH/WS/WF</t>
  </si>
  <si>
    <t xml:space="preserve">Floodsmart Re 2024-1 A </t>
  </si>
  <si>
    <t>NFIP</t>
  </si>
  <si>
    <t>3/7/2024</t>
  </si>
  <si>
    <t>3/12/2027</t>
  </si>
  <si>
    <t xml:space="preserve">US FLOOD </t>
  </si>
  <si>
    <t>Four Lakes Re 2024-1 B </t>
  </si>
  <si>
    <t>12/18/2024</t>
  </si>
  <si>
    <t>1/7/2028</t>
  </si>
  <si>
    <t xml:space="preserve">Mountain Re 2023-1 A </t>
  </si>
  <si>
    <t>Spinnaker Insurance</t>
  </si>
  <si>
    <t>5/31/2023</t>
  </si>
  <si>
    <t xml:space="preserve">US WD / US QK </t>
  </si>
  <si>
    <t>Tullet</t>
  </si>
  <si>
    <t>Veraison Re 2023-1 A</t>
  </si>
  <si>
    <t>12/20/2022</t>
  </si>
  <si>
    <t>3/9/2026</t>
  </si>
  <si>
    <t>Torrey Pines Re 2023-1 B</t>
  </si>
  <si>
    <t>Citrus Re 2023-1 B</t>
  </si>
  <si>
    <t>Heritage</t>
  </si>
  <si>
    <t>5/11/2023</t>
  </si>
  <si>
    <t>Purple Re 2023-2  A</t>
  </si>
  <si>
    <t>7/5/2023</t>
  </si>
  <si>
    <t>Swiss Re</t>
  </si>
  <si>
    <t>Matterhorn Re 2025-3 A</t>
  </si>
  <si>
    <t>US/CAN EQ</t>
  </si>
  <si>
    <t xml:space="preserve">Nakama Re 2023-1 2 </t>
  </si>
  <si>
    <t>4/24/2023</t>
  </si>
  <si>
    <t>5/9/2028</t>
  </si>
  <si>
    <t>Black Kite Re 2025-1 A</t>
  </si>
  <si>
    <t>Peak Re</t>
  </si>
  <si>
    <t>4/29/2025</t>
  </si>
  <si>
    <t>5/8/2028</t>
  </si>
  <si>
    <t>JP WS/EQ, CH EQ, IN EQ</t>
  </si>
  <si>
    <t>Alamo 2024-1 C</t>
  </si>
  <si>
    <t>Sanders 2024-1 A</t>
  </si>
  <si>
    <t>1/23/2024</t>
  </si>
  <si>
    <t>Winston 2024-1 A</t>
  </si>
  <si>
    <t>2/21/2024</t>
  </si>
  <si>
    <t>2/26/2027</t>
  </si>
  <si>
    <t xml:space="preserve">Winston Re 2024-1 B </t>
  </si>
  <si>
    <t>Everglades 2024-1 A</t>
  </si>
  <si>
    <t>5/22/2024</t>
  </si>
  <si>
    <t>5/13/2027</t>
  </si>
  <si>
    <t>Residential Re 2025-2 2</t>
  </si>
  <si>
    <t>USAA</t>
  </si>
  <si>
    <t>US All Natural Perils (incl Auto)</t>
  </si>
  <si>
    <t>Herbie Re 2025-1 A</t>
  </si>
  <si>
    <t>Fidelis</t>
  </si>
  <si>
    <t>5/30/2025</t>
  </si>
  <si>
    <t>Global-Multiperil</t>
  </si>
  <si>
    <t>Veraison 2025-1 B</t>
  </si>
  <si>
    <t xml:space="preserve">Wrigley Re 2023-1 B </t>
  </si>
  <si>
    <t xml:space="preserve">Sutter Re 2023-1 B </t>
  </si>
  <si>
    <t>6/13/2023</t>
  </si>
  <si>
    <t>6/19/2026</t>
  </si>
  <si>
    <t>Blue Bonnet 2025-1 A</t>
  </si>
  <si>
    <t>5/14/2025</t>
  </si>
  <si>
    <t>6/7/2028</t>
  </si>
  <si>
    <t>Torrey Pines Re 2025-1 B</t>
  </si>
  <si>
    <t>4/30/2025</t>
  </si>
  <si>
    <t>Bonanza 2024-1 C</t>
  </si>
  <si>
    <t>Progressive</t>
  </si>
  <si>
    <t>12/19/2024</t>
  </si>
  <si>
    <t>12/19/2027</t>
  </si>
  <si>
    <t>US WD,QK,TH,WS,&amp; WF</t>
  </si>
  <si>
    <t xml:space="preserve">Armor Re 2024-2 A </t>
  </si>
  <si>
    <t>American Coastal</t>
  </si>
  <si>
    <t>12/20/2024</t>
  </si>
  <si>
    <t>Cusip</t>
  </si>
  <si>
    <t>OPt23</t>
  </si>
  <si>
    <t>ci23</t>
  </si>
  <si>
    <t>OPt25</t>
  </si>
  <si>
    <t>ci25</t>
  </si>
  <si>
    <t>OPt26</t>
  </si>
  <si>
    <t>ci26</t>
  </si>
  <si>
    <t>OPt27</t>
  </si>
  <si>
    <t>ci27</t>
  </si>
  <si>
    <t>OPt28</t>
  </si>
  <si>
    <t>ci28</t>
  </si>
  <si>
    <t>OPt31</t>
  </si>
  <si>
    <t>ci31</t>
  </si>
  <si>
    <t>2024-1</t>
  </si>
  <si>
    <t>2025</t>
  </si>
  <si>
    <t>Class A</t>
  </si>
  <si>
    <t/>
  </si>
  <si>
    <t>2023-1</t>
  </si>
  <si>
    <t>Class B</t>
  </si>
  <si>
    <t>UI Testcase Portfolio 23</t>
  </si>
  <si>
    <t>UI Testcase Portfolio 24</t>
  </si>
  <si>
    <t>Insert into BoundPortfolioDetails ([OptimizationLayerID],[CipherID],[ILSName],[Series],[Class],[Reset],[Renewal],[LossBasis],[Issuer],[Hedges],[CUSIP],[BoundDate],[ExpirationDate],[Fronting],[SecurityInstrument],[OccurenceLimit],[AggregateLimit],[Quantity],[Fronted],[BondPrice],[BondCoupon],[BondTransactionType],[BondBuyDate],[BondSellPrice],[BondSellDate],[CompanyShare],[BondInitialSpread],[BondRedemptionPrice],[ROL],[InitialFees],[ExceptionApproval],[AvgRateChangeProjection],[Comments],[Reinstatements],[ContractWordingReceivedDate],[ContractWordingForwardedtoAONART],[AuthorizationDate],[ConfirmationNoticeDate],[ContractExecutedDate],[TreatyType],[CoverageType],[QuantityPledged],[RealizedGain],[NRE_ID],[CurrExchangeFactor],[PortfolioID],[ReportID], [CurrencyCode]) VALUES ('OPt31','ci31','CB-Citrus Re Ltd. Series 2023-1 Class B Reset 2025','2023-1','Class B','2025','','LOD','Heritage','','177510AM6','12/18/2024','1/7/2028','','Cat Bond',0,115000000,250000,'',103.85,0.125107199764252,'Buy','9/8/2025',0,'',2.17391304347826E-03,0.086685892764,0,0.06671515,0,'0',0,'0',0,'9/8/2025','9/8/2025',9/8/2025,9/8/2025,9/8/2025,'Indemnity','Occurrence',0,0,'0',1,24,137,'USD')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</si>
</sst>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_(* #,##0.0000000_);_(* \(#,##0.0000000\);_(* &quot;-&quot;??_);_(@_)"/>
    <numFmt numFmtId="167" formatCode="0.00000"/>
    <numFmt numFmtId="168" formatCode="yyyy\-mm\-dd\ h:mm:ss"/>
    <numFmt numFmtId="169" formatCode="d/m/yy;@"/>
    <numFmt numFmtId="170" formatCode="0.000%"/>
    <numFmt numFmtId="171" formatCode="_(* #,##0.00000_);_(* \(#,##0.00000\);_(* &quot;-&quot;??_);_(@_)"/>
    <numFmt numFmtId="172" formatCode="0.0000"/>
    <numFmt numFmtId="173" formatCode="mm/dd/yyyy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3.5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indexed="9"/>
      <name val="Calibri"/>
      <family val="2"/>
      <scheme val="minor"/>
    </font>
    <font>
      <b/>
      <sz val="9.5"/>
      <color indexed="9"/>
      <name val="Calibri"/>
      <family val="2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227ACB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</fills>
  <borders count="41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2">
    <xf numFmtId="0" fontId="0" fillId="0" borderId="0"/>
    <xf numFmtId="43" fontId="1" fillId="0" borderId="0"/>
    <xf numFmtId="9" fontId="1" fillId="0" borderId="0"/>
    <xf numFmtId="0" fontId="4" fillId="0" borderId="0"/>
    <xf numFmtId="0" fontId="5" fillId="0" borderId="0"/>
    <xf numFmtId="44" fontId="1" fillId="0" borderId="0"/>
    <xf numFmtId="43" fontId="1" fillId="0" borderId="0"/>
    <xf numFmtId="0" fontId="4" fillId="0" borderId="0"/>
    <xf numFmtId="0" fontId="1" fillId="0" borderId="0"/>
    <xf numFmtId="0" fontId="4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18">
    <xf numFmtId="0" fontId="0" fillId="0" borderId="0" xfId="0"/>
    <xf numFmtId="0" fontId="2" fillId="0" borderId="0" xfId="0" applyFont="1"/>
    <xf numFmtId="0" fontId="6" fillId="0" borderId="0" xfId="0" applyFont="1"/>
    <xf numFmtId="0" fontId="2" fillId="2" borderId="0" xfId="0" applyFont="1" applyFill="1"/>
    <xf numFmtId="0" fontId="0" fillId="0" borderId="0" xfId="0" applyAlignment="1">
      <alignment vertical="center"/>
    </xf>
    <xf numFmtId="0" fontId="0" fillId="0" borderId="2" xfId="0" applyBorder="1"/>
    <xf numFmtId="0" fontId="0" fillId="0" borderId="7" xfId="0" applyBorder="1"/>
    <xf numFmtId="0" fontId="2" fillId="0" borderId="10" xfId="0" applyFont="1" applyBorder="1"/>
    <xf numFmtId="0" fontId="2" fillId="0" borderId="9" xfId="0" applyFont="1" applyBorder="1"/>
    <xf numFmtId="0" fontId="2" fillId="0" borderId="11" xfId="0" applyFont="1" applyBorder="1"/>
    <xf numFmtId="0" fontId="6" fillId="0" borderId="2" xfId="0" applyFont="1" applyBorder="1"/>
    <xf numFmtId="0" fontId="0" fillId="0" borderId="1" xfId="0" applyBorder="1"/>
    <xf numFmtId="0" fontId="0" fillId="0" borderId="8" xfId="0" applyBorder="1"/>
    <xf numFmtId="0" fontId="0" fillId="0" borderId="4" xfId="0" applyBorder="1"/>
    <xf numFmtId="0" fontId="0" fillId="0" borderId="1" xfId="0" applyBorder="1" applyAlignment="1">
      <alignment horizontal="left"/>
    </xf>
    <xf numFmtId="164" fontId="1" fillId="0" borderId="2" xfId="2" applyNumberFormat="1" applyBorder="1"/>
    <xf numFmtId="14" fontId="0" fillId="0" borderId="8" xfId="0" applyNumberFormat="1" applyBorder="1"/>
    <xf numFmtId="14" fontId="0" fillId="0" borderId="0" xfId="0" applyNumberFormat="1"/>
    <xf numFmtId="0" fontId="0" fillId="0" borderId="5" xfId="0" applyBorder="1"/>
    <xf numFmtId="0" fontId="0" fillId="0" borderId="6" xfId="0" applyBorder="1"/>
    <xf numFmtId="0" fontId="0" fillId="0" borderId="3" xfId="0" applyBorder="1"/>
    <xf numFmtId="1" fontId="0" fillId="0" borderId="0" xfId="0" applyNumberFormat="1"/>
    <xf numFmtId="0" fontId="0" fillId="0" borderId="0" xfId="0" applyAlignment="1">
      <alignment horizontal="left"/>
    </xf>
    <xf numFmtId="9" fontId="6" fillId="0" borderId="8" xfId="0" applyNumberFormat="1" applyFont="1" applyBorder="1"/>
    <xf numFmtId="9" fontId="0" fillId="0" borderId="8" xfId="0" applyNumberFormat="1" applyBorder="1"/>
    <xf numFmtId="164" fontId="6" fillId="0" borderId="8" xfId="2" applyNumberFormat="1" applyFont="1" applyBorder="1"/>
    <xf numFmtId="10" fontId="6" fillId="0" borderId="8" xfId="0" applyNumberFormat="1" applyFont="1" applyBorder="1"/>
    <xf numFmtId="0" fontId="7" fillId="0" borderId="10" xfId="0" applyFont="1" applyBorder="1"/>
    <xf numFmtId="0" fontId="7" fillId="0" borderId="9" xfId="0" applyFont="1" applyBorder="1"/>
    <xf numFmtId="0" fontId="7" fillId="0" borderId="11" xfId="0" applyFont="1" applyBorder="1"/>
    <xf numFmtId="0" fontId="3" fillId="0" borderId="0" xfId="0" applyFont="1" applyAlignment="1">
      <alignment horizontal="left"/>
    </xf>
    <xf numFmtId="0" fontId="0" fillId="2" borderId="0" xfId="0" applyFill="1"/>
    <xf numFmtId="10" fontId="8" fillId="0" borderId="9" xfId="2" applyNumberFormat="1" applyFont="1" applyBorder="1" applyAlignment="1">
      <alignment horizontal="left"/>
    </xf>
    <xf numFmtId="0" fontId="2" fillId="0" borderId="6" xfId="0" applyFont="1" applyBorder="1"/>
    <xf numFmtId="43" fontId="0" fillId="0" borderId="0" xfId="0" applyNumberFormat="1"/>
    <xf numFmtId="0" fontId="0" fillId="3" borderId="0" xfId="0" applyFill="1"/>
    <xf numFmtId="43" fontId="0" fillId="3" borderId="0" xfId="0" applyNumberFormat="1" applyFill="1"/>
    <xf numFmtId="0" fontId="0" fillId="3" borderId="0" xfId="0" applyFill="1" applyAlignment="1">
      <alignment horizontal="left"/>
    </xf>
    <xf numFmtId="0" fontId="2" fillId="2" borderId="14" xfId="0" applyFont="1" applyFill="1" applyBorder="1"/>
    <xf numFmtId="0" fontId="2" fillId="0" borderId="5" xfId="0" applyFont="1" applyBorder="1"/>
    <xf numFmtId="164" fontId="2" fillId="0" borderId="0" xfId="2" applyNumberFormat="1" applyFont="1"/>
    <xf numFmtId="0" fontId="2" fillId="0" borderId="3" xfId="0" applyFont="1" applyBorder="1"/>
    <xf numFmtId="164" fontId="2" fillId="0" borderId="6" xfId="2" applyNumberFormat="1" applyFont="1" applyBorder="1"/>
    <xf numFmtId="164" fontId="2" fillId="0" borderId="3" xfId="2" applyNumberFormat="1" applyFont="1" applyBorder="1"/>
    <xf numFmtId="9" fontId="0" fillId="0" borderId="0" xfId="0" applyNumberFormat="1"/>
    <xf numFmtId="164" fontId="0" fillId="0" borderId="0" xfId="2" applyNumberFormat="1" applyFont="1"/>
    <xf numFmtId="9" fontId="0" fillId="0" borderId="1" xfId="2" applyFont="1" applyBorder="1"/>
    <xf numFmtId="164" fontId="0" fillId="0" borderId="1" xfId="2" applyNumberFormat="1" applyFont="1" applyBorder="1"/>
    <xf numFmtId="164" fontId="0" fillId="0" borderId="0" xfId="0" applyNumberFormat="1"/>
    <xf numFmtId="9" fontId="0" fillId="0" borderId="1" xfId="0" applyNumberFormat="1" applyBorder="1"/>
    <xf numFmtId="10" fontId="0" fillId="0" borderId="1" xfId="0" applyNumberFormat="1" applyBorder="1"/>
    <xf numFmtId="164" fontId="0" fillId="0" borderId="8" xfId="2" applyNumberFormat="1" applyFont="1" applyBorder="1"/>
    <xf numFmtId="164" fontId="0" fillId="0" borderId="4" xfId="2" applyNumberFormat="1" applyFont="1" applyBorder="1"/>
    <xf numFmtId="9" fontId="0" fillId="0" borderId="3" xfId="0" applyNumberFormat="1" applyBorder="1"/>
    <xf numFmtId="164" fontId="0" fillId="0" borderId="3" xfId="2" applyNumberFormat="1" applyFont="1" applyBorder="1"/>
    <xf numFmtId="9" fontId="0" fillId="0" borderId="4" xfId="0" applyNumberFormat="1" applyBorder="1"/>
    <xf numFmtId="9" fontId="0" fillId="0" borderId="4" xfId="2" applyFont="1" applyBorder="1"/>
    <xf numFmtId="164" fontId="2" fillId="0" borderId="1" xfId="2" applyNumberFormat="1" applyFont="1" applyBorder="1"/>
    <xf numFmtId="0" fontId="2" fillId="0" borderId="2" xfId="0" applyFont="1" applyBorder="1"/>
    <xf numFmtId="0" fontId="0" fillId="0" borderId="15" xfId="0" applyBorder="1"/>
    <xf numFmtId="9" fontId="0" fillId="0" borderId="16" xfId="2" applyFont="1" applyBorder="1"/>
    <xf numFmtId="9" fontId="0" fillId="0" borderId="17" xfId="2" applyFont="1" applyBorder="1"/>
    <xf numFmtId="9" fontId="0" fillId="0" borderId="0" xfId="2" applyFont="1"/>
    <xf numFmtId="0" fontId="0" fillId="0" borderId="18" xfId="0" applyBorder="1"/>
    <xf numFmtId="9" fontId="0" fillId="0" borderId="19" xfId="2" applyFont="1" applyBorder="1"/>
    <xf numFmtId="9" fontId="0" fillId="0" borderId="20" xfId="2" applyFont="1" applyBorder="1"/>
    <xf numFmtId="9" fontId="0" fillId="0" borderId="21" xfId="2" applyFont="1" applyBorder="1"/>
    <xf numFmtId="9" fontId="0" fillId="0" borderId="22" xfId="2" applyFont="1" applyBorder="1"/>
    <xf numFmtId="165" fontId="0" fillId="0" borderId="0" xfId="1" applyNumberFormat="1" applyFont="1"/>
    <xf numFmtId="165" fontId="0" fillId="0" borderId="20" xfId="1" applyNumberFormat="1" applyFont="1" applyBorder="1" applyAlignment="1">
      <alignment horizontal="left"/>
    </xf>
    <xf numFmtId="0" fontId="0" fillId="0" borderId="12" xfId="0" applyBorder="1"/>
    <xf numFmtId="0" fontId="0" fillId="2" borderId="1" xfId="0" applyFill="1" applyBorder="1"/>
    <xf numFmtId="0" fontId="0" fillId="0" borderId="0" xfId="0" applyAlignment="1">
      <alignment horizontal="center"/>
    </xf>
    <xf numFmtId="10" fontId="6" fillId="2" borderId="8" xfId="0" applyNumberFormat="1" applyFont="1" applyFill="1" applyBorder="1"/>
    <xf numFmtId="14" fontId="9" fillId="0" borderId="0" xfId="0" applyNumberFormat="1" applyFont="1"/>
    <xf numFmtId="10" fontId="6" fillId="0" borderId="8" xfId="2" applyNumberFormat="1" applyFont="1" applyBorder="1"/>
    <xf numFmtId="10" fontId="0" fillId="0" borderId="7" xfId="2" applyNumberFormat="1" applyFont="1" applyBorder="1"/>
    <xf numFmtId="10" fontId="6" fillId="0" borderId="4" xfId="0" applyNumberFormat="1" applyFont="1" applyBorder="1"/>
    <xf numFmtId="0" fontId="3" fillId="0" borderId="0" xfId="0" applyFont="1"/>
    <xf numFmtId="0" fontId="3" fillId="0" borderId="0" xfId="1" applyNumberFormat="1" applyFont="1"/>
    <xf numFmtId="10" fontId="3" fillId="0" borderId="0" xfId="2" applyNumberFormat="1" applyFont="1"/>
    <xf numFmtId="10" fontId="0" fillId="0" borderId="0" xfId="2" applyNumberFormat="1" applyFont="1"/>
    <xf numFmtId="165" fontId="2" fillId="0" borderId="0" xfId="0" applyNumberFormat="1" applyFont="1"/>
    <xf numFmtId="166" fontId="0" fillId="0" borderId="0" xfId="1" applyNumberFormat="1" applyFont="1"/>
    <xf numFmtId="167" fontId="3" fillId="0" borderId="0" xfId="1" applyNumberFormat="1" applyFont="1"/>
    <xf numFmtId="3" fontId="9" fillId="0" borderId="0" xfId="1" applyNumberFormat="1" applyFont="1"/>
    <xf numFmtId="167" fontId="0" fillId="0" borderId="0" xfId="0" applyNumberFormat="1"/>
    <xf numFmtId="0" fontId="8" fillId="4" borderId="9" xfId="0" applyFont="1" applyFill="1" applyBorder="1" applyAlignment="1">
      <alignment horizontal="left"/>
    </xf>
    <xf numFmtId="43" fontId="8" fillId="4" borderId="9" xfId="1" applyFont="1" applyFill="1" applyBorder="1"/>
    <xf numFmtId="0" fontId="8" fillId="4" borderId="10" xfId="0" applyFont="1" applyFill="1" applyBorder="1" applyAlignment="1">
      <alignment horizontal="left"/>
    </xf>
    <xf numFmtId="0" fontId="8" fillId="5" borderId="9" xfId="0" applyFont="1" applyFill="1" applyBorder="1" applyAlignment="1">
      <alignment horizontal="left"/>
    </xf>
    <xf numFmtId="14" fontId="8" fillId="5" borderId="9" xfId="1" applyNumberFormat="1" applyFont="1" applyFill="1" applyBorder="1"/>
    <xf numFmtId="0" fontId="8" fillId="5" borderId="9" xfId="1" applyNumberFormat="1" applyFont="1" applyFill="1" applyBorder="1" applyAlignment="1">
      <alignment horizontal="left"/>
    </xf>
    <xf numFmtId="43" fontId="8" fillId="5" borderId="9" xfId="1" applyFont="1" applyFill="1" applyBorder="1"/>
    <xf numFmtId="10" fontId="8" fillId="5" borderId="9" xfId="2" applyNumberFormat="1" applyFont="1" applyFill="1" applyBorder="1"/>
    <xf numFmtId="166" fontId="8" fillId="5" borderId="9" xfId="1" applyNumberFormat="1" applyFont="1" applyFill="1" applyBorder="1" applyAlignment="1">
      <alignment horizontal="left"/>
    </xf>
    <xf numFmtId="167" fontId="8" fillId="5" borderId="9" xfId="0" applyNumberFormat="1" applyFont="1" applyFill="1" applyBorder="1" applyAlignment="1">
      <alignment horizontal="left"/>
    </xf>
    <xf numFmtId="0" fontId="8" fillId="5" borderId="8" xfId="0" applyFont="1" applyFill="1" applyBorder="1" applyAlignment="1">
      <alignment horizontal="left"/>
    </xf>
    <xf numFmtId="0" fontId="8" fillId="5" borderId="13" xfId="0" applyFont="1" applyFill="1" applyBorder="1" applyAlignment="1">
      <alignment horizontal="left"/>
    </xf>
    <xf numFmtId="0" fontId="2" fillId="4" borderId="23" xfId="0" applyFont="1" applyFill="1" applyBorder="1"/>
    <xf numFmtId="0" fontId="2" fillId="4" borderId="24" xfId="0" applyFont="1" applyFill="1" applyBorder="1"/>
    <xf numFmtId="0" fontId="2" fillId="4" borderId="25" xfId="0" applyFont="1" applyFill="1" applyBorder="1"/>
    <xf numFmtId="0" fontId="2" fillId="0" borderId="26" xfId="0" applyFont="1" applyBorder="1"/>
    <xf numFmtId="165" fontId="0" fillId="0" borderId="19" xfId="1" applyNumberFormat="1" applyFont="1" applyBorder="1"/>
    <xf numFmtId="165" fontId="0" fillId="0" borderId="20" xfId="1" applyNumberFormat="1" applyFont="1" applyBorder="1"/>
    <xf numFmtId="165" fontId="0" fillId="0" borderId="27" xfId="1" applyNumberFormat="1" applyFont="1" applyBorder="1"/>
    <xf numFmtId="10" fontId="0" fillId="0" borderId="19" xfId="2" applyNumberFormat="1" applyFont="1" applyBorder="1"/>
    <xf numFmtId="10" fontId="0" fillId="0" borderId="20" xfId="2" applyNumberFormat="1" applyFont="1" applyBorder="1"/>
    <xf numFmtId="165" fontId="0" fillId="0" borderId="28" xfId="1" applyNumberFormat="1" applyFont="1" applyBorder="1"/>
    <xf numFmtId="165" fontId="0" fillId="0" borderId="4" xfId="1" applyNumberFormat="1" applyFont="1" applyBorder="1"/>
    <xf numFmtId="0" fontId="2" fillId="4" borderId="29" xfId="0" applyFont="1" applyFill="1" applyBorder="1"/>
    <xf numFmtId="0" fontId="2" fillId="4" borderId="30" xfId="0" applyFont="1" applyFill="1" applyBorder="1"/>
    <xf numFmtId="14" fontId="2" fillId="4" borderId="30" xfId="0" applyNumberFormat="1" applyFont="1" applyFill="1" applyBorder="1"/>
    <xf numFmtId="14" fontId="2" fillId="4" borderId="13" xfId="0" applyNumberFormat="1" applyFont="1" applyFill="1" applyBorder="1"/>
    <xf numFmtId="0" fontId="2" fillId="0" borderId="33" xfId="0" applyFont="1" applyBorder="1"/>
    <xf numFmtId="165" fontId="0" fillId="0" borderId="31" xfId="1" applyNumberFormat="1" applyFont="1" applyBorder="1"/>
    <xf numFmtId="165" fontId="0" fillId="0" borderId="32" xfId="1" applyNumberFormat="1" applyFont="1" applyBorder="1"/>
    <xf numFmtId="14" fontId="0" fillId="0" borderId="17" xfId="0" applyNumberFormat="1" applyBorder="1"/>
    <xf numFmtId="14" fontId="0" fillId="0" borderId="16" xfId="0" applyNumberFormat="1" applyBorder="1"/>
    <xf numFmtId="0" fontId="11" fillId="0" borderId="0" xfId="0" applyFont="1" applyAlignment="1">
      <alignment horizontal="left"/>
    </xf>
    <xf numFmtId="14" fontId="8" fillId="0" borderId="9" xfId="1" applyNumberFormat="1" applyFont="1" applyBorder="1" applyAlignment="1">
      <alignment horizontal="right"/>
    </xf>
    <xf numFmtId="14" fontId="0" fillId="0" borderId="34" xfId="0" applyNumberFormat="1" applyBorder="1"/>
    <xf numFmtId="165" fontId="0" fillId="0" borderId="35" xfId="1" applyNumberFormat="1" applyFont="1" applyBorder="1"/>
    <xf numFmtId="165" fontId="0" fillId="0" borderId="36" xfId="1" applyNumberFormat="1" applyFont="1" applyBorder="1"/>
    <xf numFmtId="10" fontId="0" fillId="0" borderId="36" xfId="2" applyNumberFormat="1" applyFont="1" applyBorder="1"/>
    <xf numFmtId="165" fontId="0" fillId="0" borderId="8" xfId="1" applyNumberFormat="1" applyFont="1" applyBorder="1"/>
    <xf numFmtId="164" fontId="0" fillId="0" borderId="23" xfId="2" applyNumberFormat="1" applyFont="1" applyBorder="1"/>
    <xf numFmtId="164" fontId="0" fillId="0" borderId="24" xfId="2" applyNumberFormat="1" applyFont="1" applyBorder="1"/>
    <xf numFmtId="0" fontId="10" fillId="0" borderId="0" xfId="0" applyFont="1"/>
    <xf numFmtId="14" fontId="10" fillId="0" borderId="0" xfId="0" applyNumberFormat="1" applyFont="1"/>
    <xf numFmtId="167" fontId="3" fillId="0" borderId="0" xfId="0" applyNumberFormat="1" applyFont="1"/>
    <xf numFmtId="0" fontId="12" fillId="0" borderId="0" xfId="0" applyFont="1" applyAlignment="1">
      <alignment vertical="center"/>
    </xf>
    <xf numFmtId="165" fontId="0" fillId="0" borderId="0" xfId="0" applyNumberFormat="1"/>
    <xf numFmtId="14" fontId="2" fillId="4" borderId="37" xfId="0" applyNumberFormat="1" applyFont="1" applyFill="1" applyBorder="1"/>
    <xf numFmtId="14" fontId="2" fillId="4" borderId="14" xfId="0" applyNumberFormat="1" applyFont="1" applyFill="1" applyBorder="1"/>
    <xf numFmtId="164" fontId="0" fillId="0" borderId="38" xfId="2" applyNumberFormat="1" applyFont="1" applyBorder="1"/>
    <xf numFmtId="14" fontId="0" fillId="0" borderId="0" xfId="0" applyNumberFormat="1" applyAlignment="1">
      <alignment horizontal="right"/>
    </xf>
    <xf numFmtId="43" fontId="0" fillId="0" borderId="0" xfId="1" applyFont="1"/>
    <xf numFmtId="14" fontId="2" fillId="4" borderId="9" xfId="0" applyNumberFormat="1" applyFont="1" applyFill="1" applyBorder="1"/>
    <xf numFmtId="14" fontId="0" fillId="0" borderId="33" xfId="0" applyNumberFormat="1" applyBorder="1"/>
    <xf numFmtId="165" fontId="0" fillId="0" borderId="39" xfId="1" applyNumberFormat="1" applyFont="1" applyBorder="1"/>
    <xf numFmtId="165" fontId="0" fillId="0" borderId="26" xfId="1" applyNumberFormat="1" applyFont="1" applyBorder="1"/>
    <xf numFmtId="10" fontId="0" fillId="0" borderId="26" xfId="2" applyNumberFormat="1" applyFont="1" applyBorder="1"/>
    <xf numFmtId="2" fontId="9" fillId="0" borderId="0" xfId="1" applyNumberFormat="1" applyFont="1"/>
    <xf numFmtId="167" fontId="10" fillId="0" borderId="0" xfId="0" applyNumberFormat="1" applyFont="1"/>
    <xf numFmtId="3" fontId="0" fillId="0" borderId="0" xfId="0" applyNumberFormat="1"/>
    <xf numFmtId="0" fontId="2" fillId="0" borderId="12" xfId="0" applyFont="1" applyBorder="1"/>
    <xf numFmtId="168" fontId="0" fillId="0" borderId="0" xfId="0" applyNumberFormat="1"/>
    <xf numFmtId="0" fontId="5" fillId="0" borderId="0" xfId="0" applyFont="1"/>
    <xf numFmtId="165" fontId="5" fillId="0" borderId="0" xfId="10" applyNumberFormat="1" applyFont="1"/>
    <xf numFmtId="0" fontId="5" fillId="2" borderId="0" xfId="0" applyFont="1" applyFill="1"/>
    <xf numFmtId="0" fontId="14" fillId="0" borderId="0" xfId="0" applyFont="1"/>
    <xf numFmtId="0" fontId="14" fillId="0" borderId="12" xfId="0" applyFont="1" applyBorder="1"/>
    <xf numFmtId="165" fontId="0" fillId="0" borderId="12" xfId="10" applyNumberFormat="1" applyFont="1" applyBorder="1"/>
    <xf numFmtId="165" fontId="14" fillId="0" borderId="12" xfId="10" applyNumberFormat="1" applyFont="1" applyBorder="1"/>
    <xf numFmtId="0" fontId="15" fillId="0" borderId="12" xfId="0" applyFont="1" applyBorder="1" applyAlignment="1">
      <alignment horizontal="center"/>
    </xf>
    <xf numFmtId="0" fontId="0" fillId="2" borderId="12" xfId="0" applyFill="1" applyBorder="1"/>
    <xf numFmtId="0" fontId="14" fillId="2" borderId="12" xfId="0" applyFont="1" applyFill="1" applyBorder="1"/>
    <xf numFmtId="165" fontId="0" fillId="2" borderId="12" xfId="10" applyNumberFormat="1" applyFont="1" applyFill="1" applyBorder="1"/>
    <xf numFmtId="165" fontId="14" fillId="2" borderId="12" xfId="10" applyNumberFormat="1" applyFont="1" applyFill="1" applyBorder="1"/>
    <xf numFmtId="0" fontId="15" fillId="0" borderId="12" xfId="0" applyFont="1" applyBorder="1" applyAlignment="1">
      <alignment horizontal="left" vertical="top"/>
    </xf>
    <xf numFmtId="0" fontId="15" fillId="0" borderId="12" xfId="0" applyFont="1" applyBorder="1" applyAlignment="1">
      <alignment horizontal="left"/>
    </xf>
    <xf numFmtId="0" fontId="0" fillId="0" borderId="40" xfId="0" applyBorder="1"/>
    <xf numFmtId="0" fontId="14" fillId="0" borderId="40" xfId="0" applyFont="1" applyBorder="1"/>
    <xf numFmtId="165" fontId="0" fillId="0" borderId="40" xfId="10" applyNumberFormat="1" applyFont="1" applyBorder="1"/>
    <xf numFmtId="165" fontId="14" fillId="0" borderId="40" xfId="10" applyNumberFormat="1" applyFont="1" applyBorder="1"/>
    <xf numFmtId="0" fontId="11" fillId="0" borderId="29" xfId="0" applyFont="1" applyBorder="1"/>
    <xf numFmtId="0" fontId="11" fillId="0" borderId="30" xfId="0" applyFont="1" applyBorder="1"/>
    <xf numFmtId="165" fontId="11" fillId="0" borderId="30" xfId="10" applyNumberFormat="1" applyFont="1" applyBorder="1"/>
    <xf numFmtId="165" fontId="11" fillId="0" borderId="13" xfId="10" applyNumberFormat="1" applyFont="1" applyBorder="1"/>
    <xf numFmtId="0" fontId="9" fillId="0" borderId="0" xfId="0" applyFont="1"/>
    <xf numFmtId="0" fontId="16" fillId="0" borderId="0" xfId="0" applyFont="1"/>
    <xf numFmtId="0" fontId="9" fillId="0" borderId="0" xfId="0" applyFont="1" applyAlignment="1">
      <alignment horizontal="center"/>
    </xf>
    <xf numFmtId="165" fontId="9" fillId="0" borderId="0" xfId="10" applyNumberFormat="1" applyFont="1"/>
    <xf numFmtId="10" fontId="9" fillId="0" borderId="0" xfId="11" applyNumberFormat="1" applyFont="1"/>
    <xf numFmtId="43" fontId="9" fillId="0" borderId="0" xfId="10" applyFont="1"/>
    <xf numFmtId="0" fontId="11" fillId="3" borderId="0" xfId="0" applyFont="1" applyFill="1"/>
    <xf numFmtId="165" fontId="11" fillId="3" borderId="0" xfId="10" applyNumberFormat="1" applyFont="1" applyFill="1" applyAlignment="1">
      <alignment horizontal="center"/>
    </xf>
    <xf numFmtId="169" fontId="9" fillId="0" borderId="0" xfId="0" applyNumberFormat="1" applyFont="1"/>
    <xf numFmtId="170" fontId="9" fillId="0" borderId="0" xfId="11" applyNumberFormat="1" applyFont="1"/>
    <xf numFmtId="165" fontId="17" fillId="0" borderId="0" xfId="10" applyNumberFormat="1" applyFont="1"/>
    <xf numFmtId="2" fontId="9" fillId="0" borderId="0" xfId="0" applyNumberFormat="1" applyFont="1"/>
    <xf numFmtId="0" fontId="17" fillId="0" borderId="0" xfId="3" applyFont="1" applyAlignment="1">
      <alignment horizontal="left" vertical="center"/>
    </xf>
    <xf numFmtId="0" fontId="17" fillId="0" borderId="0" xfId="3" applyFont="1" applyAlignment="1">
      <alignment horizontal="center" vertical="center" wrapText="1"/>
    </xf>
    <xf numFmtId="0" fontId="17" fillId="0" borderId="0" xfId="3" applyFont="1" applyAlignment="1">
      <alignment horizontal="left" vertical="center" wrapText="1"/>
    </xf>
    <xf numFmtId="165" fontId="17" fillId="0" borderId="0" xfId="10" applyNumberFormat="1" applyFont="1" applyAlignment="1">
      <alignment horizontal="left" vertical="center" wrapText="1"/>
    </xf>
    <xf numFmtId="165" fontId="9" fillId="0" borderId="0" xfId="10" applyNumberFormat="1" applyFont="1" applyBorder="1"/>
    <xf numFmtId="165" fontId="9" fillId="0" borderId="0" xfId="10" applyNumberFormat="1" applyFont="1" applyAlignment="1">
      <alignment horizontal="center"/>
    </xf>
    <xf numFmtId="43" fontId="9" fillId="0" borderId="0" xfId="10" applyFont="1" applyBorder="1"/>
    <xf numFmtId="0" fontId="18" fillId="6" borderId="0" xfId="3" applyFont="1" applyFill="1" applyAlignment="1">
      <alignment horizontal="left" vertical="center" wrapText="1"/>
    </xf>
    <xf numFmtId="0" fontId="18" fillId="6" borderId="0" xfId="3" applyFont="1" applyFill="1" applyAlignment="1">
      <alignment horizontal="center" vertical="center" wrapText="1"/>
    </xf>
    <xf numFmtId="165" fontId="19" fillId="6" borderId="0" xfId="10" applyNumberFormat="1" applyFont="1" applyFill="1" applyAlignment="1">
      <alignment horizontal="center" vertical="center" wrapText="1"/>
    </xf>
    <xf numFmtId="10" fontId="18" fillId="6" borderId="0" xfId="11" applyNumberFormat="1" applyFont="1" applyFill="1" applyBorder="1" applyAlignment="1">
      <alignment horizontal="center" vertical="center" wrapText="1"/>
    </xf>
    <xf numFmtId="165" fontId="17" fillId="7" borderId="0" xfId="10" applyNumberFormat="1" applyFont="1" applyFill="1" applyBorder="1" applyAlignment="1">
      <alignment horizontal="center" vertical="center" wrapText="1"/>
    </xf>
    <xf numFmtId="165" fontId="17" fillId="7" borderId="0" xfId="10" applyNumberFormat="1" applyFont="1" applyFill="1" applyAlignment="1">
      <alignment horizontal="center" vertical="center" wrapText="1"/>
    </xf>
    <xf numFmtId="165" fontId="17" fillId="8" borderId="0" xfId="10" applyNumberFormat="1" applyFont="1" applyFill="1" applyAlignment="1">
      <alignment horizontal="center" vertical="center" wrapText="1"/>
    </xf>
    <xf numFmtId="10" fontId="17" fillId="7" borderId="0" xfId="11" applyNumberFormat="1" applyFont="1" applyFill="1" applyAlignment="1">
      <alignment horizontal="center" vertical="center" wrapText="1"/>
    </xf>
    <xf numFmtId="14" fontId="14" fillId="0" borderId="0" xfId="0" applyNumberFormat="1" applyFont="1"/>
    <xf numFmtId="43" fontId="9" fillId="0" borderId="0" xfId="11" applyNumberFormat="1" applyFont="1"/>
    <xf numFmtId="10" fontId="9" fillId="9" borderId="0" xfId="11" applyNumberFormat="1" applyFont="1" applyFill="1"/>
    <xf numFmtId="14" fontId="9" fillId="0" borderId="0" xfId="0" applyNumberFormat="1" applyFont="1" applyAlignment="1">
      <alignment horizontal="left"/>
    </xf>
    <xf numFmtId="0" fontId="9" fillId="2" borderId="0" xfId="0" applyFont="1" applyFill="1"/>
    <xf numFmtId="165" fontId="9" fillId="0" borderId="0" xfId="10" applyNumberFormat="1" applyFont="1" applyFill="1"/>
    <xf numFmtId="10" fontId="9" fillId="0" borderId="0" xfId="11" applyNumberFormat="1" applyFont="1" applyFill="1"/>
    <xf numFmtId="43" fontId="9" fillId="0" borderId="0" xfId="11" applyNumberFormat="1" applyFont="1" applyFill="1"/>
    <xf numFmtId="43" fontId="9" fillId="0" borderId="0" xfId="10" applyFont="1" applyFill="1"/>
    <xf numFmtId="171" fontId="1" fillId="0" borderId="0" xfId="1" applyNumberFormat="1"/>
    <xf numFmtId="172" fontId="14" fillId="0" borderId="0" xfId="0" applyNumberFormat="1" applyFont="1"/>
    <xf numFmtId="14" fontId="11" fillId="3" borderId="0" xfId="0" applyNumberFormat="1" applyFont="1" applyFill="1"/>
    <xf numFmtId="165" fontId="1" fillId="0" borderId="0" xfId="1" applyNumberFormat="1"/>
    <xf numFmtId="14" fontId="9" fillId="10" borderId="0" xfId="0" applyNumberFormat="1" applyFont="1" applyFill="1"/>
    <xf numFmtId="14" fontId="0" fillId="10" borderId="0" xfId="0" applyNumberFormat="1" applyFill="1" applyAlignment="1">
      <alignment horizontal="right"/>
    </xf>
    <xf numFmtId="0" fontId="0" fillId="10" borderId="0" xfId="0" applyFill="1"/>
    <xf numFmtId="0" fontId="3" fillId="10" borderId="0" xfId="0" applyFont="1" applyFill="1"/>
    <xf numFmtId="173" fontId="9" fillId="0" borderId="0" xfId="0" applyNumberFormat="1" applyFont="1" applyAlignment="1">
      <alignment horizontal="right"/>
    </xf>
    <xf numFmtId="172" fontId="1" fillId="0" borderId="0" xfId="2" applyNumberFormat="1"/>
    <xf numFmtId="0" fontId="1" fillId="0" borderId="0" xfId="1" applyNumberFormat="1"/>
    <xf numFmtId="0" fontId="0" fillId="11" borderId="0" xfId="0" applyFill="1"/>
  </cellXfs>
  <cellStyles count="12">
    <cellStyle name="Comma" xfId="1" builtinId="3"/>
    <cellStyle name="Comma 2" xfId="10" xr:uid="{69E59EDC-6179-4193-8D27-728962D772B9}"/>
    <cellStyle name="Comma 2 27" xfId="6" xr:uid="{00000000-0005-0000-0000-000006000000}"/>
    <cellStyle name="Currency 3" xfId="5" xr:uid="{00000000-0005-0000-0000-000005000000}"/>
    <cellStyle name="Normal" xfId="0" builtinId="0"/>
    <cellStyle name="Normal - Style1" xfId="7" xr:uid="{00000000-0005-0000-0000-000007000000}"/>
    <cellStyle name="Normal 123" xfId="8" xr:uid="{00000000-0005-0000-0000-000008000000}"/>
    <cellStyle name="Normal 14" xfId="9" xr:uid="{00000000-0005-0000-0000-000009000000}"/>
    <cellStyle name="Normal 2 2" xfId="4" xr:uid="{00000000-0005-0000-0000-000004000000}"/>
    <cellStyle name="Normal 36" xfId="3" xr:uid="{00000000-0005-0000-0000-000003000000}"/>
    <cellStyle name="Percent" xfId="2" builtinId="5"/>
    <cellStyle name="Percent 2" xfId="11" xr:uid="{D3F4AE1A-1F49-4CBF-B3A7-D9587B801082}"/>
  </cellStyles>
  <dxfs count="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388620</xdr:colOff>
          <xdr:row>1</xdr:row>
          <xdr:rowOff>83820</xdr:rowOff>
        </xdr:from>
        <xdr:to>
          <xdr:col>10</xdr:col>
          <xdr:colOff>883920</xdr:colOff>
          <xdr:row>4</xdr:row>
          <xdr:rowOff>114300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Data to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Client%20Reports\Bound%20Portfolio%20Reports\July%202021\Bound%20Fund%20Are%205.0%20July%20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cess Checks"/>
      <sheetName val="Version Control"/>
      <sheetName val="Index"/>
      <sheetName val="Comparison V_8.0"/>
      <sheetName val="P&amp;L"/>
      <sheetName val="Limit by Guideline %"/>
      <sheetName val="BoundLayerDB"/>
      <sheetName val="BoundLayerTransaction"/>
      <sheetName val="Guidelines"/>
      <sheetName val="RegionPeril"/>
      <sheetName val="Bound Portfolio Report"/>
      <sheetName val="Region Peril By Deal"/>
      <sheetName val="Leverage Calc"/>
      <sheetName val="AALByMonth"/>
      <sheetName val="~AnalyzeReAddIn"/>
      <sheetName val="PH_EQ_TY"/>
      <sheetName val="HistoricalEvents"/>
      <sheetName val="ILS Report- DeployedCapital"/>
      <sheetName val="ILS Report- AvailableCapital"/>
      <sheetName val="ILS Report- Combined"/>
      <sheetName val="HistoricalEvents_AddAdj"/>
      <sheetName val="EPCurve"/>
      <sheetName val="Free Cash analysis"/>
      <sheetName val="May to June 2021 (Cat bd &amp; IOU)"/>
      <sheetName val="ART Collateral"/>
      <sheetName val="Settings"/>
      <sheetName val="Download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3">
          <cell r="B3" t="str">
            <v>f74b1185-2790-4456-97b4-c593bb2c4c54</v>
          </cell>
          <cell r="D3" t="str">
            <v>da2d16f3-da36-4797-a854-2c29a9cad374</v>
          </cell>
        </row>
        <row r="4">
          <cell r="B4" t="str">
            <v>f5a81352-f47e-4b9d-9e2c-d0d43e4323c3</v>
          </cell>
          <cell r="D4" t="str">
            <v>e55fb6ed-c1e9-423c-93b0-56454001fcc0</v>
          </cell>
        </row>
        <row r="5">
          <cell r="B5" t="str">
            <v>1db260a6-f8a2-473e-a9cc-602d49d928d4</v>
          </cell>
          <cell r="D5" t="str">
            <v>1db260a6-f8a2-473e-a9cc-602d49d928d4</v>
          </cell>
        </row>
        <row r="6">
          <cell r="B6" t="str">
            <v>ace90e6c-eea5-41eb-9688-f7aea0bb6127</v>
          </cell>
          <cell r="D6" t="str">
            <v>ace90e6c-eea5-41eb-9688-f7aea0bb6127</v>
          </cell>
        </row>
        <row r="7">
          <cell r="B7" t="str">
            <v>b57a2f08-fdd0-4920-b673-ca80fba7c4e2</v>
          </cell>
          <cell r="D7" t="str">
            <v>b57a2f08-fdd0-4920-b673-ca80fba7c4e2</v>
          </cell>
        </row>
        <row r="8">
          <cell r="B8" t="str">
            <v>0d60ddeb-f5e7-4cb3-8ce7-1b4ffff84708</v>
          </cell>
          <cell r="D8" t="str">
            <v>0d60ddeb-f5e7-4cb3-8ce7-1b4ffff84708</v>
          </cell>
        </row>
        <row r="9">
          <cell r="B9" t="str">
            <v>78b8baf2-d021-474a-88fe-8848157f307c</v>
          </cell>
          <cell r="D9" t="str">
            <v>78b8baf2-d021-474a-88fe-8848157f307c</v>
          </cell>
        </row>
        <row r="10">
          <cell r="B10" t="str">
            <v>0d037bdf-4c5b-440f-af45-40ab6bfa679a</v>
          </cell>
          <cell r="D10" t="str">
            <v>0d037bdf-4c5b-440f-af45-40ab6bfa679a</v>
          </cell>
        </row>
        <row r="11">
          <cell r="B11" t="str">
            <v>0e74071f-f24a-41e9-a546-92308322358b</v>
          </cell>
          <cell r="D11" t="str">
            <v>0e74071f-f24a-41e9-a546-92308322358b</v>
          </cell>
        </row>
        <row r="12">
          <cell r="B12" t="str">
            <v>a6d3dc3b-43d0-43f5-b383-efb3f802deb2</v>
          </cell>
          <cell r="D12" t="str">
            <v>5e8fabde-347b-439c-87cf-bcfb4f715eb1</v>
          </cell>
        </row>
        <row r="13">
          <cell r="B13" t="str">
            <v>8bf343b5-ed85-49ca-a579-b240dfac2e64</v>
          </cell>
          <cell r="D13" t="str">
            <v>8bf343b5-ed85-49ca-a579-b240dfac2e64</v>
          </cell>
        </row>
        <row r="14">
          <cell r="B14" t="str">
            <v>bb16ef32-b2f8-40f8-b42a-7f157e4a85e8</v>
          </cell>
          <cell r="D14" t="str">
            <v>bb16ef32-b2f8-40f8-b42a-7f157e4a85e8</v>
          </cell>
        </row>
        <row r="15">
          <cell r="B15" t="str">
            <v>cc894233-c238-4dbf-9343-a786880d26ba</v>
          </cell>
          <cell r="D15" t="str">
            <v>cc894233-c238-4dbf-9343-a786880d26ba</v>
          </cell>
        </row>
        <row r="16">
          <cell r="B16" t="str">
            <v>4f5cea76-4687-4e7c-8f51-92a5830e28f1</v>
          </cell>
          <cell r="D16" t="str">
            <v>4f5cea76-4687-4e7c-8f51-92a5830e28f1</v>
          </cell>
        </row>
        <row r="17">
          <cell r="B17" t="str">
            <v>1748e56d-6998-494f-81c5-a56945501558</v>
          </cell>
          <cell r="D17" t="str">
            <v>f4b9b7cc-d315-4941-a570-86a04f0d4cc3</v>
          </cell>
        </row>
        <row r="18">
          <cell r="B18" t="str">
            <v>1efdfd0a-4f9a-4f1f-8454-c96dd24cf18f</v>
          </cell>
          <cell r="D18" t="str">
            <v>01cf8f26-0234-4502-aa38-3cd8fed2e7fe</v>
          </cell>
        </row>
        <row r="19">
          <cell r="B19" t="str">
            <v>ac67c715-d8ca-48f2-a570-1c0ea6d75123</v>
          </cell>
          <cell r="D19" t="str">
            <v>ac67c715-d8ca-48f2-a570-1c0ea6d75123</v>
          </cell>
        </row>
        <row r="20">
          <cell r="B20" t="str">
            <v>8e8eef8e-3081-48e0-a182-c4d6e82f8910</v>
          </cell>
          <cell r="D20" t="str">
            <v>8e8eef8e-3081-48e0-a182-c4d6e82f8910</v>
          </cell>
        </row>
        <row r="21">
          <cell r="B21" t="str">
            <v>a1b763f3-f5fa-41d6-a198-a3dd657c2b0c</v>
          </cell>
          <cell r="D21" t="str">
            <v>a1b763f3-f5fa-41d6-a198-a3dd657c2b0c</v>
          </cell>
        </row>
        <row r="22">
          <cell r="B22" t="str">
            <v>cda60fa2-d7ba-4b04-8f47-b39dc06901f4</v>
          </cell>
          <cell r="D22" t="str">
            <v>a94abb8a-388b-4a22-95f2-804d80def75a</v>
          </cell>
        </row>
        <row r="23">
          <cell r="B23" t="str">
            <v>66e777b5-bf07-46bb-afec-b01e1e9450ca</v>
          </cell>
          <cell r="D23" t="str">
            <v>ee364d8a-54b2-48a6-a60e-2ee1b478371f</v>
          </cell>
        </row>
        <row r="24">
          <cell r="B24" t="str">
            <v>1cb19bab-0723-4e08-a35f-0c6eb72c7fec</v>
          </cell>
          <cell r="D24" t="str">
            <v>3ac41184-3e03-49dd-981c-47fb5e7feee1</v>
          </cell>
        </row>
        <row r="25">
          <cell r="B25" t="str">
            <v>02097af3-58dc-4cca-8d11-af02faf56d35</v>
          </cell>
          <cell r="D25" t="str">
            <v>02097af3-58dc-4cca-8d11-af02faf56d35</v>
          </cell>
        </row>
        <row r="26">
          <cell r="B26" t="str">
            <v>4a4da73f-cc61-4851-a3ab-4d04f9c58758</v>
          </cell>
          <cell r="D26" t="str">
            <v>4a4da73f-cc61-4851-a3ab-4d04f9c58758</v>
          </cell>
        </row>
        <row r="27">
          <cell r="B27" t="str">
            <v>be03cdda-17ec-4b23-973d-cd3da96f4c17</v>
          </cell>
          <cell r="D27" t="str">
            <v>be03cdda-17ec-4b23-973d-cd3da96f4c17</v>
          </cell>
        </row>
        <row r="28">
          <cell r="B28" t="str">
            <v>b1bd2d0e-aa09-4cfa-b0bc-0c9f5aa6a70f</v>
          </cell>
          <cell r="D28" t="str">
            <v>b1bd2d0e-aa09-4cfa-b0bc-0c9f5aa6a70f</v>
          </cell>
        </row>
        <row r="29">
          <cell r="B29" t="str">
            <v>030b277e-5cf5-4b7c-bba6-a157090b2e1d</v>
          </cell>
          <cell r="D29" t="str">
            <v>52f1f148-e949-4335-9bcb-b1627e2c6a46</v>
          </cell>
        </row>
        <row r="30">
          <cell r="B30" t="str">
            <v>945384eb-dd73-4124-95b5-daa1d0acebc5</v>
          </cell>
          <cell r="D30" t="str">
            <v>e0c3601e-5e44-42a9-ae7e-76dc123a77e8</v>
          </cell>
        </row>
        <row r="31">
          <cell r="B31" t="str">
            <v>3a254a51-dde6-4982-aea2-31f22d659045</v>
          </cell>
          <cell r="D31" t="str">
            <v>615f2dbf-6997-4f36-acd2-b3a85596c32f</v>
          </cell>
        </row>
        <row r="32">
          <cell r="B32" t="str">
            <v>e8038ce4-e39f-4e0a-92c2-456e090da305</v>
          </cell>
          <cell r="D32" t="str">
            <v>e8038ce4-e39f-4e0a-92c2-456e090da305</v>
          </cell>
        </row>
        <row r="33">
          <cell r="B33" t="str">
            <v>44e7085d-57b9-4402-80f8-9ff378a2618d</v>
          </cell>
          <cell r="D33" t="str">
            <v>44e7085d-57b9-4402-80f8-9ff378a2618d</v>
          </cell>
        </row>
        <row r="34">
          <cell r="B34" t="str">
            <v>af755125-9cce-40f3-8c65-6286fd072aed</v>
          </cell>
          <cell r="D34" t="str">
            <v>a8bfe41e-cb32-481c-ad69-e6f28ed49505</v>
          </cell>
        </row>
        <row r="35">
          <cell r="B35" t="str">
            <v>143b3cc6-fe04-4568-a08b-482e9f174a6b</v>
          </cell>
          <cell r="D35" t="str">
            <v>5f0a8d21-65bd-4a10-8205-292f26e4be89</v>
          </cell>
        </row>
        <row r="36">
          <cell r="B36" t="str">
            <v>faf86cf8-8ae9-4c2c-bd3f-bf0d6df3c9c0</v>
          </cell>
          <cell r="D36" t="str">
            <v>faf86cf8-8ae9-4c2c-bd3f-bf0d6df3c9c0</v>
          </cell>
        </row>
        <row r="37">
          <cell r="B37" t="str">
            <v>7458d7bf-ccb6-4053-b6f4-a5ad023a513b</v>
          </cell>
          <cell r="D37" t="str">
            <v>cfbd124d-6961-4aac-8a81-68757aa0282a</v>
          </cell>
        </row>
        <row r="38">
          <cell r="B38" t="str">
            <v>0bb71f89-3d3c-425a-afdc-2dd959e1541d</v>
          </cell>
          <cell r="D38" t="str">
            <v>0bb71f89-3d3c-425a-afdc-2dd959e1541d</v>
          </cell>
        </row>
        <row r="39">
          <cell r="B39" t="str">
            <v>1eb85d37-92bd-4dd1-bf68-37decd4b8520</v>
          </cell>
          <cell r="D39" t="str">
            <v>13179b22-932d-4f4f-9294-5593749beeaf</v>
          </cell>
        </row>
        <row r="40">
          <cell r="B40" t="str">
            <v>3de30a9c-4ee4-42ca-8ffa-c70029c71deb</v>
          </cell>
          <cell r="D40" t="str">
            <v>17e9592a-c6ad-469a-bd85-4b442e350332</v>
          </cell>
        </row>
        <row r="41">
          <cell r="B41" t="str">
            <v>d9dbfe40-a3f7-489b-a512-9ca0f428db86</v>
          </cell>
          <cell r="D41" t="str">
            <v>ec1e7ec3-27d7-4773-8bd0-3f958f51f767</v>
          </cell>
        </row>
        <row r="42">
          <cell r="B42" t="str">
            <v>613cbe86-488e-4695-a06b-e85852fda7cd</v>
          </cell>
          <cell r="D42" t="str">
            <v>528c1f61-2fe2-4017-8057-d11ce3e9a5e6</v>
          </cell>
        </row>
        <row r="43">
          <cell r="B43" t="str">
            <v>8913d62d-45a6-4320-818a-860c271a30da</v>
          </cell>
          <cell r="D43" t="str">
            <v>d88bd82c-7fd9-40a8-b545-27f9f6c59093</v>
          </cell>
        </row>
        <row r="44">
          <cell r="B44" t="str">
            <v>b4611905-5bef-44e6-a585-47c43509b61f</v>
          </cell>
          <cell r="D44" t="str">
            <v>bc370e72-5148-4f6e-a7b9-4c3c856a9204</v>
          </cell>
        </row>
        <row r="45">
          <cell r="B45" t="str">
            <v>99fc7615-ba25-40f5-9ccb-0c5196d7beff</v>
          </cell>
          <cell r="D45" t="str">
            <v>e2cead91-9dd3-45ae-b4b3-411502bfcf34</v>
          </cell>
        </row>
        <row r="46">
          <cell r="B46" t="str">
            <v>07d73fe4-876c-47e0-9f43-45149d08e530</v>
          </cell>
          <cell r="D46" t="str">
            <v>1bc2b2f3-50dc-4ad1-90b0-f78674db3b48</v>
          </cell>
        </row>
        <row r="47">
          <cell r="B47" t="str">
            <v>ed3d3706-3989-4567-9593-9bbd28af6f78</v>
          </cell>
          <cell r="D47" t="str">
            <v>e48e592c-4703-4e88-84fd-b82d9a13f658</v>
          </cell>
        </row>
        <row r="48">
          <cell r="B48" t="str">
            <v>def71915-8036-4f67-a892-985e2cf987e7</v>
          </cell>
          <cell r="D48" t="str">
            <v>1600722a-64b6-4ae6-8178-ab34658e9cda</v>
          </cell>
        </row>
        <row r="49">
          <cell r="B49" t="str">
            <v>b35ae2d8-0d34-4429-a010-dc87cb616c03</v>
          </cell>
          <cell r="D49" t="str">
            <v>6f5c87b2-7e4c-4667-b8ea-98187450d33b</v>
          </cell>
        </row>
        <row r="50">
          <cell r="B50" t="str">
            <v>85339c3a-1f29-46c4-abc0-92431fbe2a01</v>
          </cell>
          <cell r="D50" t="str">
            <v>d693c137-0e4d-4e64-8777-dcfc258fb834</v>
          </cell>
        </row>
        <row r="51">
          <cell r="B51" t="str">
            <v>c69ec3e5-d550-4674-a060-39b8ec5b9b81</v>
          </cell>
          <cell r="D51" t="str">
            <v>c69ec3e5-d550-4674-a060-39b8ec5b9b81</v>
          </cell>
        </row>
        <row r="52">
          <cell r="B52" t="str">
            <v>9ccdd151-185c-4e6c-afed-e97240f8f5f9</v>
          </cell>
          <cell r="D52" t="str">
            <v>302ca347-3579-4abc-bc39-21a78a157add</v>
          </cell>
        </row>
        <row r="53">
          <cell r="B53" t="str">
            <v>e436fd72-2a60-4447-8c3c-9d68749bc529</v>
          </cell>
          <cell r="D53" t="str">
            <v>e436fd72-2a60-4447-8c3c-9d68749bc529</v>
          </cell>
        </row>
        <row r="54">
          <cell r="B54" t="str">
            <v>27cbc047-5e22-43bd-bbdf-0701cc13dc29</v>
          </cell>
          <cell r="D54" t="str">
            <v>27cbc047-5e22-43bd-bbdf-0701cc13dc29</v>
          </cell>
        </row>
        <row r="55">
          <cell r="B55" t="str">
            <v>0ccf2def-c88f-4c01-b8d0-3da32c550b5b</v>
          </cell>
          <cell r="D55" t="str">
            <v>1443684f-35c9-4bde-a867-7d5363ef0366</v>
          </cell>
        </row>
        <row r="56">
          <cell r="B56" t="str">
            <v>1896da5b-179d-4d09-8367-08cac22f0c45</v>
          </cell>
          <cell r="D56" t="str">
            <v>d513a4cf-c3db-4d61-af9e-8398d200a70e</v>
          </cell>
        </row>
        <row r="57">
          <cell r="B57" t="str">
            <v>d0b0c099-5ee5-41d4-81c7-4a9ad9e60022</v>
          </cell>
          <cell r="D57" t="str">
            <v>b186b116-83d7-4517-971e-06097de9fe74</v>
          </cell>
        </row>
        <row r="58">
          <cell r="B58" t="str">
            <v>3c2ba04b-5f6a-43e4-9432-fc715b9d96be</v>
          </cell>
          <cell r="D58" t="str">
            <v>53a423fe-9d90-4ba0-9d75-f8db50eee2a7</v>
          </cell>
        </row>
        <row r="59">
          <cell r="B59" t="str">
            <v>40b520d9-c56d-429b-b27b-f5ff5231ce3d</v>
          </cell>
          <cell r="D59" t="str">
            <v>cbac4bd4-56ba-4377-805e-9d3460959c83</v>
          </cell>
        </row>
        <row r="60">
          <cell r="B60" t="str">
            <v>7c421aad-02b1-4283-9c7a-a14a3a65ba6d</v>
          </cell>
          <cell r="D60" t="str">
            <v>fcee0f47-bbf9-461c-97b6-0ddcf5929f6a</v>
          </cell>
        </row>
        <row r="61">
          <cell r="B61" t="str">
            <v>fbf50045-0015-4baf-9057-a8bfeaf27189</v>
          </cell>
          <cell r="D61" t="str">
            <v>1ceb183b-7010-4637-8415-0b19103be13a</v>
          </cell>
        </row>
        <row r="62">
          <cell r="B62" t="str">
            <v>1d5cdfea-a0d1-40bf-a8fc-559611ebb78e</v>
          </cell>
          <cell r="D62" t="str">
            <v>65802c86-239d-44a5-a250-5763b18bc35d</v>
          </cell>
        </row>
        <row r="63">
          <cell r="B63" t="str">
            <v>17d4720c-abc8-42da-a07e-749f33cc860a</v>
          </cell>
          <cell r="D63" t="str">
            <v>8b2bd62d-6420-45d3-ac26-5d83e2929e58</v>
          </cell>
        </row>
        <row r="64">
          <cell r="B64" t="str">
            <v>532f05cc-8fb0-40c0-b114-5024e3b33d7a</v>
          </cell>
          <cell r="D64" t="str">
            <v>56c94b29-b7bd-4c7b-bf23-d72f1ccf02dc</v>
          </cell>
        </row>
        <row r="65">
          <cell r="B65" t="str">
            <v>041c805a-6767-4509-99c2-bebc32e05102</v>
          </cell>
          <cell r="D65" t="str">
            <v>4a7510b4-e6cb-4e5c-a968-f2af67497372</v>
          </cell>
        </row>
        <row r="66">
          <cell r="B66" t="str">
            <v>0e6e076c-5ec3-4deb-b20e-5b85c22f8474</v>
          </cell>
          <cell r="D66" t="str">
            <v>d67526d1-9995-4c0c-9d4e-a3e00d406a14</v>
          </cell>
        </row>
        <row r="67">
          <cell r="B67" t="str">
            <v>84320566-c675-4405-80d4-534e18c9035e</v>
          </cell>
          <cell r="D67" t="str">
            <v>4f3daa03-f60e-4dbe-9ab3-4ca535271fd2</v>
          </cell>
        </row>
        <row r="68">
          <cell r="B68" t="str">
            <v>080aa06b-359d-4ea2-b127-7e67572ee742</v>
          </cell>
          <cell r="D68" t="str">
            <v>080aa06b-359d-4ea2-b127-7e67572ee742</v>
          </cell>
        </row>
        <row r="69">
          <cell r="B69" t="str">
            <v>0db13979-776a-40b4-952f-362355203ee6</v>
          </cell>
          <cell r="D69" t="str">
            <v>19dfbc5f-45e9-4152-b48c-2887c8509ac3</v>
          </cell>
        </row>
        <row r="70">
          <cell r="B70" t="str">
            <v>e4beed55-160e-4591-9e6c-28b6f2daee97</v>
          </cell>
          <cell r="D70" t="str">
            <v>bc44f699-0117-4279-adc6-eddc01a68f6c</v>
          </cell>
        </row>
        <row r="71">
          <cell r="B71" t="str">
            <v>6738a179-a722-4dfa-9836-c0f838278249</v>
          </cell>
          <cell r="D71" t="str">
            <v>407e6d65-3553-455f-929b-9ae20dc577b5</v>
          </cell>
        </row>
        <row r="72">
          <cell r="B72" t="str">
            <v>3679802f-8f29-43fa-baa5-98c52fedfa6b</v>
          </cell>
          <cell r="D72" t="str">
            <v>a1e5bcd9-a964-4327-847b-901c57be2fd7</v>
          </cell>
        </row>
        <row r="73">
          <cell r="B73" t="str">
            <v>6c9fc971-1bf6-491e-b986-40c8c8fbfd77</v>
          </cell>
          <cell r="D73" t="str">
            <v>dfc694c6-c0ca-460a-95e5-0d20edb8f80e</v>
          </cell>
        </row>
        <row r="74">
          <cell r="B74" t="str">
            <v>a0702302-2b6d-4a1e-97ef-f6a6c34722ae</v>
          </cell>
          <cell r="D74" t="str">
            <v>173604b8-9444-49bd-a0ef-6f5816764b4e</v>
          </cell>
        </row>
        <row r="75">
          <cell r="B75" t="str">
            <v>901a089c-3947-4d62-beee-1bb6468323ba</v>
          </cell>
          <cell r="D75" t="str">
            <v>ab05ff8d-7b06-4bb5-88ad-0f078ec996a7</v>
          </cell>
        </row>
        <row r="76">
          <cell r="B76" t="str">
            <v>a40307c6-c759-49a3-b102-458be0797fd5</v>
          </cell>
          <cell r="D76" t="str">
            <v>2ca3d394-754a-4525-a715-c6b15f5f1506</v>
          </cell>
        </row>
        <row r="77">
          <cell r="B77" t="str">
            <v>170868ea-1534-4563-83d5-30efd28bfe97</v>
          </cell>
          <cell r="D77" t="str">
            <v>4cdc6658-0b04-4056-b7f8-c94a21f05567</v>
          </cell>
        </row>
        <row r="78">
          <cell r="B78" t="str">
            <v>326a486e-1ddb-4e83-ac61-80ac2928a4d7</v>
          </cell>
          <cell r="D78" t="str">
            <v>6c7c31d7-1015-4292-b41f-4f9e93d496c4</v>
          </cell>
        </row>
        <row r="79">
          <cell r="B79" t="str">
            <v>3e62e249-0429-4f40-ae37-86d5bd4c7ba0</v>
          </cell>
          <cell r="D79" t="str">
            <v>b14f50c4-6625-431d-8158-cfef97f5997c</v>
          </cell>
        </row>
        <row r="80">
          <cell r="B80" t="str">
            <v>3561c634-221c-4810-96a2-c0017c88cac2</v>
          </cell>
          <cell r="D80" t="str">
            <v>5126294a-fbc3-4cfd-a44d-8fa0dc0120e4</v>
          </cell>
        </row>
        <row r="81">
          <cell r="B81" t="str">
            <v>522b90d9-a504-46b2-90c5-51ffa4a2e392</v>
          </cell>
          <cell r="D81" t="str">
            <v>b7766c36-6693-42aa-98cc-f73ff6cac609</v>
          </cell>
        </row>
        <row r="82">
          <cell r="B82" t="str">
            <v>cf8fbcfe-db8c-4c6a-aec4-d33809e805d9</v>
          </cell>
          <cell r="D82" t="str">
            <v>d1fb3ea6-0576-4fe3-b47b-c0e1b480c2d1</v>
          </cell>
        </row>
        <row r="83">
          <cell r="B83" t="str">
            <v>c269fb9f-464e-4351-9552-eab589a099e0</v>
          </cell>
          <cell r="D83" t="str">
            <v>3e97b3c9-c688-4067-bfcc-920244c152b4</v>
          </cell>
        </row>
        <row r="84">
          <cell r="B84" t="str">
            <v>ba8e3ab8-9182-45d3-9e30-44486c59e878</v>
          </cell>
          <cell r="D84" t="str">
            <v>0c32149b-9a1e-4d94-80c3-dfbc9705331a</v>
          </cell>
        </row>
        <row r="85">
          <cell r="B85" t="str">
            <v>171748ac-19e8-48b2-91db-8ccd81345449</v>
          </cell>
          <cell r="D85" t="str">
            <v>88323c2c-f716-4763-99de-3f50a47c9424</v>
          </cell>
        </row>
        <row r="86">
          <cell r="B86" t="str">
            <v>54f76fdc-33b9-4af1-9c5c-f377892bac0a</v>
          </cell>
          <cell r="D86" t="str">
            <v>4dddc222-e6fe-4833-b966-459eff6bb370</v>
          </cell>
        </row>
        <row r="87">
          <cell r="B87" t="str">
            <v>21dea044-de8f-4b11-a0e6-cf3eec9634aa</v>
          </cell>
          <cell r="D87" t="str">
            <v>b4bfa346-0f23-4840-b94f-5ff2da60de65</v>
          </cell>
        </row>
        <row r="88">
          <cell r="B88" t="str">
            <v>f8339d53-ee8c-4686-936e-7058c4f0f79d</v>
          </cell>
          <cell r="D88" t="str">
            <v>c4a298fe-662c-494d-a80c-4f79c8990f64</v>
          </cell>
        </row>
        <row r="89">
          <cell r="B89" t="str">
            <v>823a610f-b7a7-4e68-a23b-0a28beeea9d8</v>
          </cell>
          <cell r="D89" t="str">
            <v>addeda11-9f44-4a27-bb57-41dc392910c3</v>
          </cell>
        </row>
        <row r="90">
          <cell r="B90" t="str">
            <v>fb94af8f-d44b-406b-8599-3344c344ab0d</v>
          </cell>
          <cell r="D90" t="str">
            <v>f9743afe-6afe-406b-857e-858b9b04285b</v>
          </cell>
        </row>
        <row r="91">
          <cell r="B91" t="str">
            <v>29e95ad2-a2ff-4352-aee5-f3271aa92bd4</v>
          </cell>
          <cell r="D91" t="str">
            <v>b246af28-3446-4792-b4f8-6d6c87776af7</v>
          </cell>
        </row>
        <row r="92">
          <cell r="B92" t="str">
            <v>f6c5b9c5-b010-4c97-af45-2be77bf6606e</v>
          </cell>
          <cell r="D92" t="str">
            <v>7425169e-95c5-436c-8fc9-95a546235e14</v>
          </cell>
        </row>
        <row r="93">
          <cell r="B93" t="str">
            <v>ad716185-54f7-4352-98ff-e6836b6021d6</v>
          </cell>
          <cell r="D93" t="str">
            <v>0b0eb7d5-f2dc-42ce-bc26-6bcaf27a797d</v>
          </cell>
        </row>
        <row r="94">
          <cell r="B94" t="str">
            <v>3735a91c-029c-4a08-879c-ad53a8dd4ada</v>
          </cell>
          <cell r="D94" t="str">
            <v>234e52bd-f40c-4920-b414-d3d3b07db3eb</v>
          </cell>
        </row>
        <row r="95">
          <cell r="B95" t="str">
            <v>fef45136-91d4-4e9b-9476-c31deb56c80a</v>
          </cell>
          <cell r="D95" t="str">
            <v>1d0f1ae6-c733-4cbe-821c-8e848c4f136d</v>
          </cell>
        </row>
        <row r="96">
          <cell r="B96" t="str">
            <v>02ac7df9-9d9a-4f66-a124-bb9bf04fbfb4</v>
          </cell>
          <cell r="D96" t="str">
            <v>12aa5fc0-435a-42ac-a8a4-ee4f7c3d661d</v>
          </cell>
        </row>
        <row r="97">
          <cell r="B97" t="str">
            <v>9d6c44d2-8695-4592-bf7e-d882d4cb0e47</v>
          </cell>
          <cell r="D97" t="str">
            <v>42d26fff-2ccb-4908-b81c-0a3c9f5120c8</v>
          </cell>
        </row>
        <row r="98">
          <cell r="B98" t="str">
            <v>ed2eaa3a-90a6-4555-9e24-b8d71fac7b37</v>
          </cell>
          <cell r="D98" t="str">
            <v>57d7cea8-ca0a-4f09-991b-f0254fb056f8</v>
          </cell>
        </row>
        <row r="99">
          <cell r="B99" t="str">
            <v>13b2d866-b8f3-4ebc-a122-13b4cd3cb29b</v>
          </cell>
          <cell r="D99" t="str">
            <v>33c5a6b5-3299-48e9-81b4-0fb5262b43eb</v>
          </cell>
        </row>
        <row r="100">
          <cell r="B100" t="str">
            <v>ea5451fc-13e6-405c-831f-619483cc6958</v>
          </cell>
          <cell r="D100" t="str">
            <v>2da77c71-454d-4884-935b-d162552d11e3</v>
          </cell>
        </row>
        <row r="101">
          <cell r="B101" t="str">
            <v>1ef711bd-99bb-47b5-a0b3-9bbf16a7cecc</v>
          </cell>
          <cell r="D101" t="str">
            <v>fd2fdd4c-826e-4725-ad2e-bea67bb66c24</v>
          </cell>
        </row>
        <row r="102">
          <cell r="B102" t="str">
            <v>ec07276e-499f-45b6-a725-827c6f4c83ef</v>
          </cell>
          <cell r="D102" t="str">
            <v>ca81d465-f4e2-416c-b68e-9d1883d89671</v>
          </cell>
        </row>
        <row r="103">
          <cell r="B103" t="str">
            <v>003e3b8f-aa81-4b68-9266-8b4fccb66e2d</v>
          </cell>
          <cell r="D103" t="str">
            <v>003e3b8f-aa81-4b68-9266-8b4fccb66e2d</v>
          </cell>
        </row>
        <row r="104">
          <cell r="B104" t="str">
            <v>29ee7a57-611f-45e5-ae50-e783abd1f4d4</v>
          </cell>
          <cell r="D104" t="str">
            <v>e65ae86e-022f-40ef-9bdd-116fd56ee3f9</v>
          </cell>
        </row>
        <row r="105">
          <cell r="B105" t="str">
            <v>66f05453-b6bc-4314-b367-132f86703834</v>
          </cell>
          <cell r="D105" t="str">
            <v>c14b6f30-0d87-43e1-adce-92960163e89e</v>
          </cell>
        </row>
        <row r="106">
          <cell r="B106" t="str">
            <v>1f881ac9-83ce-4657-b801-22605053ff57</v>
          </cell>
          <cell r="D106" t="str">
            <v>8f8e4a64-6a00-4638-821b-ed1683fbe52a</v>
          </cell>
        </row>
        <row r="107">
          <cell r="B107" t="str">
            <v>c309c08a-c872-4cfb-8b07-03124b330efc</v>
          </cell>
          <cell r="D107" t="str">
            <v>c9308c6d-8ca9-4ba7-88ab-6781fb358d7d</v>
          </cell>
        </row>
        <row r="108">
          <cell r="B108" t="str">
            <v>36cabedb-da63-428c-956f-599eec2d7da7</v>
          </cell>
          <cell r="D108" t="str">
            <v>98893b46-aab6-43c2-93a2-0a1a68112705</v>
          </cell>
        </row>
        <row r="109">
          <cell r="B109" t="str">
            <v>31d4f295-3a32-4f96-a964-9acda88665bc</v>
          </cell>
          <cell r="D109" t="str">
            <v>a9679729-915a-4733-a324-e855c8b46866</v>
          </cell>
        </row>
        <row r="110">
          <cell r="B110" t="str">
            <v>5b2dc949-d130-4e88-bf26-5e52d113c904</v>
          </cell>
          <cell r="D110" t="str">
            <v>e9f4a02f-219d-4d72-990c-ce0c9d4f704d</v>
          </cell>
        </row>
        <row r="111">
          <cell r="B111" t="str">
            <v>2f3db371-c815-48ae-9e41-4480cf269923</v>
          </cell>
          <cell r="D111" t="str">
            <v>bd302e75-79e7-4be3-95f5-05d069d14c10</v>
          </cell>
        </row>
        <row r="112">
          <cell r="B112" t="str">
            <v>e88d63cd-993e-4979-bc9c-578a40debfd7</v>
          </cell>
          <cell r="D112" t="str">
            <v>28389ce3-9119-4a36-aaeb-0a86f080063c</v>
          </cell>
        </row>
        <row r="113">
          <cell r="B113" t="str">
            <v>c9258108-147f-491f-a42f-cb93485b742e</v>
          </cell>
          <cell r="D113" t="str">
            <v>cb4a4686-856d-46d9-a0ee-8dc3adab6caf</v>
          </cell>
        </row>
        <row r="114">
          <cell r="B114" t="str">
            <v>a799afdc-92f4-482d-82a8-22fce5a892dc</v>
          </cell>
          <cell r="D114" t="str">
            <v>39016563-b88a-48fe-8557-237c4643603c</v>
          </cell>
        </row>
        <row r="115">
          <cell r="B115" t="str">
            <v>3f736956-7b7b-46ab-8a7c-ee6fb4a4fd4e</v>
          </cell>
          <cell r="D115" t="str">
            <v>cd10b1ac-e962-4666-88c0-e7d09e48ffeb</v>
          </cell>
        </row>
        <row r="116">
          <cell r="B116" t="str">
            <v>3891f4d6-7d73-4bc5-82f5-894d3d5a8600</v>
          </cell>
          <cell r="D116" t="str">
            <v>fa79bdfa-0f71-4878-9dcd-a2a4543537d5</v>
          </cell>
        </row>
        <row r="117">
          <cell r="B117" t="str">
            <v>9336c4f3-7c1f-45f8-a247-be297eab26e5</v>
          </cell>
          <cell r="D117" t="str">
            <v>c14ebc53-e394-4bd5-a243-b8f4bf48bb36</v>
          </cell>
        </row>
        <row r="118">
          <cell r="B118" t="str">
            <v>bc694373-3052-4a88-9945-987dea5709b1</v>
          </cell>
          <cell r="D118" t="str">
            <v>1d30bd78-79c5-443d-a6b4-ebbece3e3161</v>
          </cell>
        </row>
        <row r="119">
          <cell r="B119" t="str">
            <v>7d41839e-7414-4973-844f-7b00df9b9869</v>
          </cell>
          <cell r="D119" t="str">
            <v>78e1e266-6441-403e-8f5a-ea7c11165dc7</v>
          </cell>
        </row>
        <row r="120">
          <cell r="B120" t="str">
            <v>f3698925-b15f-4889-8dcc-21eaa05a185b</v>
          </cell>
          <cell r="D120" t="str">
            <v>f13489d8-0c86-4235-8470-f9f8e5139595</v>
          </cell>
        </row>
        <row r="121">
          <cell r="B121" t="str">
            <v>2d5ddf4e-e7c8-4e62-8082-ce4ae5ac750a</v>
          </cell>
          <cell r="D121" t="str">
            <v>a5a352ab-6bc5-497e-be7e-ac057c5c099a</v>
          </cell>
        </row>
        <row r="122">
          <cell r="B122" t="str">
            <v>f5c13f14-4889-4bf4-817f-d4f51e84dd32</v>
          </cell>
          <cell r="D122" t="str">
            <v>f682f635-62f9-4951-a641-3e19ab1d801d</v>
          </cell>
        </row>
        <row r="123">
          <cell r="B123" t="str">
            <v>9270054d-4438-4fb3-8280-c0f746dc4165</v>
          </cell>
          <cell r="D123" t="str">
            <v>d9f50e1c-3d68-42b3-a628-d46a068f15a1</v>
          </cell>
        </row>
        <row r="124">
          <cell r="B124" t="str">
            <v>cb149365-8aea-4249-9951-cf8ab2cf9248</v>
          </cell>
          <cell r="D124" t="str">
            <v>96e72b98-d263-4bbf-aa65-7a0ccf823ab3</v>
          </cell>
        </row>
        <row r="125">
          <cell r="B125" t="str">
            <v>83ef2f28-5fcc-47b6-ac3f-0d0a4e0fd414</v>
          </cell>
          <cell r="D125" t="str">
            <v>57902380-6ce3-4348-bab0-ee84bed398e6</v>
          </cell>
        </row>
        <row r="126">
          <cell r="B126" t="str">
            <v>29ee7a57-611f-45e5-ae50-e783abd1f4d4</v>
          </cell>
          <cell r="D126" t="str">
            <v>e65ae86e-022f-40ef-9bdd-116fd56ee3f9</v>
          </cell>
        </row>
        <row r="127">
          <cell r="B127" t="str">
            <v>90fd1b50-2ae4-4009-abeb-de7f15308a12</v>
          </cell>
          <cell r="D127" t="str">
            <v>3e61ec15-0636-4821-a3de-8ceb780975df</v>
          </cell>
        </row>
        <row r="128">
          <cell r="B128" t="str">
            <v>0c4ad65a-3e68-4585-abbd-490b71e17745</v>
          </cell>
          <cell r="D128" t="str">
            <v>d7bbd710-9080-4c6c-a3bf-02423b37ea7a</v>
          </cell>
        </row>
        <row r="129">
          <cell r="B129" t="str">
            <v>31725355-c6fd-483d-9729-68646b3c18e2</v>
          </cell>
          <cell r="D129" t="str">
            <v>d37977b9-35dd-42ce-a1ea-cf27798bf294</v>
          </cell>
        </row>
        <row r="130">
          <cell r="B130" t="str">
            <v>86f766cc-853c-4724-8255-0e176252a6a8</v>
          </cell>
          <cell r="D130" t="str">
            <v>7750abd8-97f7-4a64-be99-9e451003d7b2</v>
          </cell>
        </row>
        <row r="131">
          <cell r="B131" t="str">
            <v>e9053593-2fc0-482d-8661-3dcb153bccd0</v>
          </cell>
          <cell r="D131" t="str">
            <v>c3ba3041-9993-4316-96de-daab6bebd6dd</v>
          </cell>
        </row>
        <row r="132">
          <cell r="B132" t="str">
            <v>13f4fa2b-ae1f-4f0a-9fab-46ba86587608</v>
          </cell>
          <cell r="D132" t="str">
            <v>ff9fbd5a-ae2a-4870-801a-2495ec6a5066</v>
          </cell>
        </row>
        <row r="133">
          <cell r="B133" t="str">
            <v>9555d632-79ed-4670-85e3-38127fe90da3</v>
          </cell>
          <cell r="D133" t="str">
            <v>e49f94da-62d7-479a-8ffc-e29d07f2a2a6</v>
          </cell>
        </row>
        <row r="134">
          <cell r="B134" t="str">
            <v>cc6843d1-1d94-4d38-8dd6-629d7f56d69d</v>
          </cell>
          <cell r="D134" t="str">
            <v>3be33e9d-15aa-46d4-a105-0a3340b7e6c8</v>
          </cell>
        </row>
        <row r="135">
          <cell r="B135" t="str">
            <v>029b1fbb-f9b7-43f7-8b54-5e9c34ac6d60</v>
          </cell>
          <cell r="D135" t="str">
            <v>6a72dcd7-9e7b-4d1d-8625-70285f5ec878</v>
          </cell>
        </row>
        <row r="136">
          <cell r="B136" t="str">
            <v>f974d7a0-880a-45fd-b85c-16621e3ee985</v>
          </cell>
          <cell r="D136" t="str">
            <v>a1b96073-8f65-4d12-ac1e-524282fa3167</v>
          </cell>
        </row>
        <row r="137">
          <cell r="B137" t="str">
            <v>21948631-c786-44c6-ac99-dee3cf752cbe</v>
          </cell>
          <cell r="D137" t="str">
            <v>9e09f1c1-910f-43ac-b5fd-fe5c80284c62</v>
          </cell>
        </row>
        <row r="138">
          <cell r="B138" t="str">
            <v>b6f24632-44fc-43c8-a42f-5ee53b35fa51</v>
          </cell>
          <cell r="D138" t="str">
            <v>589cf086-c435-4632-850b-37863c554640</v>
          </cell>
        </row>
        <row r="139">
          <cell r="B139" t="str">
            <v>99411fbd-545c-41da-84ea-9471fe17e461</v>
          </cell>
          <cell r="D139" t="str">
            <v>8b4c9b85-e850-45db-83e9-81e8bc66a4cc</v>
          </cell>
        </row>
        <row r="140">
          <cell r="B140" t="str">
            <v>7a4261cf-fe83-48c0-a960-5fc3369251e2</v>
          </cell>
          <cell r="D140" t="str">
            <v>b0a1f27e-203f-4e28-86a7-e32197f9f59d</v>
          </cell>
        </row>
        <row r="141">
          <cell r="B141" t="str">
            <v>c295f3fa-fd99-4840-8c0a-728a509ff132</v>
          </cell>
          <cell r="D141" t="str">
            <v>49a1e798-f159-48ff-9389-4a7158c51332</v>
          </cell>
        </row>
        <row r="142">
          <cell r="B142" t="str">
            <v>c67f0071-649c-4ed2-9baa-21a2209c0534</v>
          </cell>
          <cell r="D142" t="str">
            <v>6b3f1491-7b85-4854-9978-5f52dbb8f5f3</v>
          </cell>
        </row>
        <row r="143">
          <cell r="B143" t="str">
            <v>02fdd367-66b5-45ac-b78e-ff44c45a4905</v>
          </cell>
          <cell r="D143" t="str">
            <v>cbb1f97a-caea-4464-84c5-d7a714830e61</v>
          </cell>
        </row>
        <row r="144">
          <cell r="B144" t="str">
            <v>17620956-6da2-44e2-8b53-3d6dad52172c</v>
          </cell>
          <cell r="D144" t="str">
            <v>f809bfef-9782-4267-8e96-2925ff3914d7</v>
          </cell>
        </row>
        <row r="145">
          <cell r="B145" t="str">
            <v>eaeb6b75-08d4-4521-a4d0-fe7f27d63e71</v>
          </cell>
          <cell r="D145" t="str">
            <v>b9f723a7-c78c-4061-b8a7-bf57ac3d1103</v>
          </cell>
        </row>
        <row r="146">
          <cell r="B146" t="str">
            <v>f1a9c6c5-172e-4f0c-be8a-13bb6118ce63</v>
          </cell>
          <cell r="D146" t="str">
            <v>98e5f283-00e6-49c0-965b-f7d734f2fa49</v>
          </cell>
        </row>
        <row r="147">
          <cell r="B147" t="str">
            <v>d9113846-e366-4026-9d57-0116751f3dc8</v>
          </cell>
          <cell r="D147" t="str">
            <v>526e9298-ad8d-4647-984c-d83912ced51c</v>
          </cell>
        </row>
        <row r="148">
          <cell r="B148" t="str">
            <v>fc0c3bd9-dcc7-47e0-a00e-abb90fdaad2b</v>
          </cell>
          <cell r="D148" t="str">
            <v>5865ab13-0177-4dbf-b4a2-0a2f2e7ea0bc</v>
          </cell>
        </row>
        <row r="149">
          <cell r="B149" t="str">
            <v>9ed27ee0-7447-4324-bb0d-15fe7f804bd4</v>
          </cell>
          <cell r="D149" t="str">
            <v>e2b4f05f-bbf4-4360-b0a6-b3f9afce07ab</v>
          </cell>
        </row>
        <row r="150">
          <cell r="B150" t="str">
            <v>1f3df9d6-8a66-4036-9eda-799e69fb1285</v>
          </cell>
          <cell r="D150" t="str">
            <v>c56f1f76-e1a4-44a6-98ea-51c3e31970d9</v>
          </cell>
        </row>
        <row r="151">
          <cell r="B151" t="str">
            <v>02551529-ad11-4b13-afa8-0852fa9e6fb8</v>
          </cell>
          <cell r="D151" t="str">
            <v>e65c3cbf-42aa-43c5-a373-8555b1b43a31</v>
          </cell>
        </row>
        <row r="152">
          <cell r="B152" t="str">
            <v>2637fd7f-23dc-42df-8ad4-bb5d918f1ed7</v>
          </cell>
          <cell r="D152" t="str">
            <v>2b6f49ed-1a02-4ea5-a595-6b5208e7a641</v>
          </cell>
        </row>
        <row r="153">
          <cell r="B153" t="str">
            <v>3b98f333-5fda-4212-afe5-95c6e6ec8a8a</v>
          </cell>
          <cell r="D153" t="str">
            <v>562368cf-f49f-4549-9e32-86a17572ce9f</v>
          </cell>
        </row>
        <row r="154">
          <cell r="B154" t="str">
            <v>83dd95cf-72b8-49f8-bab2-70299ce78f8f</v>
          </cell>
          <cell r="D154" t="str">
            <v>a6bfff7f-e175-404a-a38f-6df3651af63d</v>
          </cell>
        </row>
        <row r="155">
          <cell r="B155" t="str">
            <v>719c8d7f-d646-482a-8aba-9fb36be64aba</v>
          </cell>
          <cell r="D155" t="str">
            <v>c09ce764-80a2-4742-ae2c-a97605d59e4b</v>
          </cell>
        </row>
        <row r="156">
          <cell r="B156" t="str">
            <v>936658fc-23f2-407d-b46a-0c587a2db36b</v>
          </cell>
          <cell r="D156" t="str">
            <v>bb2d5667-c7b8-4f52-9839-3a93bd6c9d3d</v>
          </cell>
        </row>
        <row r="157">
          <cell r="B157" t="str">
            <v>98cc30dc-2a3f-4407-a7ae-78b8adf0ca99</v>
          </cell>
          <cell r="D157" t="str">
            <v>0a7be90a-f9bd-4fd2-806e-2d6027e16c11</v>
          </cell>
        </row>
        <row r="158">
          <cell r="B158" t="str">
            <v>2740545c-e39e-4a47-ad18-106294619dde</v>
          </cell>
          <cell r="D158" t="str">
            <v>2a036671-a28c-4435-8c35-06607903632a</v>
          </cell>
        </row>
        <row r="159">
          <cell r="B159" t="str">
            <v>8fd455e3-6890-46f6-9453-4a0474e3be25</v>
          </cell>
          <cell r="D159" t="str">
            <v>c44ac23b-72f1-4bea-b760-41d842574d1f</v>
          </cell>
        </row>
        <row r="160">
          <cell r="B160" t="str">
            <v>a580ad02-88ce-458d-a518-e3f3728a7b3e</v>
          </cell>
          <cell r="D160" t="str">
            <v>80e286f2-bc66-4e4a-a973-6ae3caf05674</v>
          </cell>
        </row>
        <row r="161">
          <cell r="B161" t="str">
            <v>937227f8-676c-4b3a-8d78-b52588c637f3</v>
          </cell>
          <cell r="D161" t="str">
            <v>0baa0225-b31b-44da-9a28-c341876ae43e</v>
          </cell>
        </row>
        <row r="162">
          <cell r="B162" t="str">
            <v>0dfc2951-4bcf-4e30-a0eb-471254594111</v>
          </cell>
          <cell r="D162" t="str">
            <v>fd5e08aa-6957-4520-b847-80ed3d29a8de</v>
          </cell>
        </row>
        <row r="163">
          <cell r="B163" t="str">
            <v>57d16c06-44f1-414d-a87a-351a3e2958d6</v>
          </cell>
          <cell r="D163" t="str">
            <v>57d16c06-44f1-414d-a87a-351a3e2958d6</v>
          </cell>
        </row>
        <row r="164">
          <cell r="B164" t="str">
            <v>cc71450d-96a6-4833-9be7-a0ab347cf8a8</v>
          </cell>
          <cell r="D164" t="str">
            <v>86ebb7df-82c9-4408-8891-02e5fd922931</v>
          </cell>
        </row>
        <row r="165">
          <cell r="B165" t="str">
            <v>0c7ff3cf-9625-4b20-b349-133ef90aaf24</v>
          </cell>
          <cell r="D165" t="str">
            <v>b146bfec-4154-4436-a5ba-36d300fefc64</v>
          </cell>
        </row>
        <row r="166">
          <cell r="B166" t="str">
            <v>935b18b1-b9a8-43ea-947d-ac9b8e8396c7</v>
          </cell>
          <cell r="D166" t="str">
            <v>82775fe8-9c9a-476b-a678-6a1b6efaca25</v>
          </cell>
        </row>
        <row r="167">
          <cell r="B167" t="str">
            <v>4706e237-1f9f-47fa-87c3-0c81fcf23b8b</v>
          </cell>
          <cell r="D167" t="str">
            <v>33213e8a-921d-4ca6-a050-b09d9bb5bf8a</v>
          </cell>
        </row>
        <row r="168">
          <cell r="B168" t="str">
            <v>3047aad0-4e2f-49c8-8136-a5dfb32a394a</v>
          </cell>
          <cell r="D168" t="str">
            <v>c1b130e9-ed21-4e04-9e7e-9f6f779e36cc</v>
          </cell>
        </row>
        <row r="169">
          <cell r="B169" t="str">
            <v>e088d256-152e-478d-8ee1-ca460974a611</v>
          </cell>
          <cell r="D169" t="str">
            <v>05dbeff8-ef22-4db7-b87c-0deb394f65f1</v>
          </cell>
        </row>
        <row r="170">
          <cell r="B170" t="str">
            <v>d18e3541-cb85-4c3e-b7e1-4a12022f2c5d</v>
          </cell>
          <cell r="D170" t="str">
            <v>afc90605-2a0d-4ca0-94b8-b084f937aa97</v>
          </cell>
        </row>
        <row r="171">
          <cell r="B171" t="str">
            <v>f6118623-d928-4da8-9649-361f45d0a0af</v>
          </cell>
          <cell r="D171" t="str">
            <v>f31d55f8-8ba0-4ecc-ac7c-2176dbe27b07</v>
          </cell>
        </row>
        <row r="172">
          <cell r="B172" t="str">
            <v>1c1af1d5-6f8c-47d6-93d8-df00a85b8916</v>
          </cell>
          <cell r="D172" t="str">
            <v>cdb62608-6381-4d4e-975b-46b370c250be</v>
          </cell>
        </row>
        <row r="173">
          <cell r="B173" t="str">
            <v>76a74ad4-b2b9-4683-a6a1-5e54311d73c9</v>
          </cell>
          <cell r="D173" t="str">
            <v>76a74ad4-b2b9-4683-a6a1-5e54311d73c9</v>
          </cell>
        </row>
        <row r="174">
          <cell r="B174" t="str">
            <v>1ac8e940-8e0e-4ba1-aa2a-5e166e1b53cf</v>
          </cell>
          <cell r="D174" t="str">
            <v>1ac8e940-8e0e-4ba1-aa2a-5e166e1b53cf</v>
          </cell>
        </row>
        <row r="175">
          <cell r="B175" t="str">
            <v>01189daf-6c6f-4300-a8f9-9c5b5f3d21c0</v>
          </cell>
          <cell r="D175" t="str">
            <v>baba564a-5be6-4710-b149-89afe0b5a44a</v>
          </cell>
        </row>
        <row r="176">
          <cell r="B176" t="str">
            <v>32eded19-1f8a-47e5-8ac5-ecd91fd1a719</v>
          </cell>
          <cell r="D176" t="str">
            <v>32eded19-1f8a-47e5-8ac5-ecd91fd1a719</v>
          </cell>
        </row>
        <row r="177">
          <cell r="B177" t="str">
            <v>01f70625-2d69-4e4f-a0d3-b9ce9323bd5b</v>
          </cell>
          <cell r="D177" t="str">
            <v>d47f566f-281a-429b-a3d7-953f8e056f73</v>
          </cell>
        </row>
        <row r="178">
          <cell r="B178" t="str">
            <v>2ef3c4da-61d2-4ba3-a7d5-d86e319236be</v>
          </cell>
          <cell r="D178" t="str">
            <v>0a976c86-7b23-4fcc-90e0-216310e54d25</v>
          </cell>
        </row>
        <row r="179">
          <cell r="B179" t="str">
            <v>8e3b4d38-feea-41c6-819e-5f63407f7ca8</v>
          </cell>
          <cell r="D179" t="str">
            <v>dea0d657-508d-486c-8437-7f54c11cd575</v>
          </cell>
        </row>
        <row r="180">
          <cell r="B180" t="str">
            <v>e7631e06-aa76-4d99-b4f6-dbf12d9481a8</v>
          </cell>
          <cell r="D180" t="str">
            <v>c4dc94ca-bea4-4327-aa36-c9dc2dab1e21</v>
          </cell>
        </row>
        <row r="181">
          <cell r="B181" t="str">
            <v>e352d439-2b7d-418c-a375-d3d9aa9bea1e</v>
          </cell>
          <cell r="D181" t="str">
            <v>51ab4940-ce4c-4381-8906-e25ac1746781</v>
          </cell>
        </row>
        <row r="182">
          <cell r="B182" t="str">
            <v>d52df895-55ff-4337-bd9f-fa7207a1c38e</v>
          </cell>
          <cell r="D182" t="str">
            <v>c06fcd63-1501-4f1b-85c1-3cc7ec5a96cf</v>
          </cell>
        </row>
        <row r="183">
          <cell r="B183" t="str">
            <v>ba74dc8a-6a44-49d9-8687-e9050f8a5f60</v>
          </cell>
          <cell r="D183" t="str">
            <v>c3efa2be-7478-4850-8b50-27453ee982ff</v>
          </cell>
        </row>
        <row r="184">
          <cell r="B184" t="str">
            <v>ff4f2c6e-fb73-49d2-a8c1-f12e36fe8657</v>
          </cell>
          <cell r="D184" t="str">
            <v>68498cd4-87fc-4290-a051-49c2ffa0f3f0</v>
          </cell>
        </row>
        <row r="185">
          <cell r="B185" t="str">
            <v>2740545c-e39e-4a47-ad18-106294619dde</v>
          </cell>
          <cell r="D185" t="str">
            <v>2a036671-a28c-4435-8c35-06607903632a</v>
          </cell>
        </row>
        <row r="186">
          <cell r="B186" t="str">
            <v>b095587d-5561-4a3b-ae25-35e4cb1980e5</v>
          </cell>
          <cell r="D186" t="str">
            <v>e7ed0c43-e01c-499a-88ac-bcd56033ccba</v>
          </cell>
        </row>
        <row r="187">
          <cell r="B187" t="str">
            <v>723c463a-9ed7-43e9-98ce-7902e643fda2</v>
          </cell>
          <cell r="D187" t="str">
            <v>78786c30-828a-4cf5-9cf8-7b17e54dcc93</v>
          </cell>
        </row>
        <row r="188">
          <cell r="B188" t="str">
            <v>d767c7d5-d4c3-474c-b55e-680937bbc6ef</v>
          </cell>
          <cell r="D188" t="str">
            <v>80c1ee2b-7eeb-4ff2-bd3f-f8e82d634587</v>
          </cell>
        </row>
        <row r="189">
          <cell r="B189" t="str">
            <v>a7f85d66-872d-41ce-b8bc-c518690c751a</v>
          </cell>
          <cell r="D189" t="str">
            <v xml:space="preserve"> 4946b964-1468-435a-b87d-674768d75c2c</v>
          </cell>
        </row>
        <row r="190">
          <cell r="B190" t="str">
            <v>78df6019-6221-4fdb-a197-c24888642d44</v>
          </cell>
          <cell r="D190" t="str">
            <v>0e61e70f-0b6d-4e1d-aa16-b4ec7518074d</v>
          </cell>
        </row>
        <row r="191">
          <cell r="B191" t="str">
            <v>1a5b3c03-8784-45a8-9250-6b8de645b58e</v>
          </cell>
          <cell r="D191" t="str">
            <v>e0d0e22b-9664-467d-b887-f7ed55666d1f</v>
          </cell>
        </row>
        <row r="192">
          <cell r="B192" t="str">
            <v>be1158b5-c4df-48ea-b19a-3910d1464900</v>
          </cell>
        </row>
        <row r="193">
          <cell r="B193" t="str">
            <v>12f2186f-4fcb-4a00-8390-9dacf7ddfd87</v>
          </cell>
        </row>
        <row r="194">
          <cell r="B194" t="str">
            <v>bbf480c6-3ea8-4b6c-be0d-8ffd3fd3fe48</v>
          </cell>
        </row>
        <row r="195">
          <cell r="B195" t="str">
            <v>09c84861-5f93-4295-a103-046d3341cee9</v>
          </cell>
        </row>
        <row r="196">
          <cell r="B196" t="str">
            <v>747be69f-7b13-4a37-b155-ec505995767a</v>
          </cell>
        </row>
        <row r="197">
          <cell r="B197" t="str">
            <v>5c3b9f89-0e2f-407a-8da0-a3a191a4d4cf</v>
          </cell>
        </row>
        <row r="198">
          <cell r="B198" t="str">
            <v>1f814373-19aa-4f26-9277-9b4780b1e549</v>
          </cell>
        </row>
        <row r="199">
          <cell r="B199" t="str">
            <v>8cbd6f9c-7c49-480e-a4b2-f86b8f73f010</v>
          </cell>
        </row>
        <row r="200">
          <cell r="B200" t="str">
            <v>e75d1518-8bbb-47f6-8273-22ed681b1857</v>
          </cell>
        </row>
        <row r="201">
          <cell r="B201" t="str">
            <v>9bbd2eb0-2b86-4a39-8981-adc088e892a5</v>
          </cell>
        </row>
        <row r="202">
          <cell r="B202" t="str">
            <v>becf6572-6652-423f-9d6e-b3514bd90fa7</v>
          </cell>
        </row>
        <row r="203">
          <cell r="B203" t="str">
            <v>2bc8771f-a618-433d-ae3a-b22a831ad9cc</v>
          </cell>
        </row>
        <row r="204">
          <cell r="B204" t="str">
            <v>dc2c5e24-7861-4bde-8810-fe935fb8c1cd</v>
          </cell>
        </row>
        <row r="205">
          <cell r="B205" t="str">
            <v>1fa25ed5-6f6f-471d-874b-674d74f03cf0</v>
          </cell>
        </row>
        <row r="206">
          <cell r="B206" t="str">
            <v>5f938345-0fb7-41ae-8679-31f991f66d23</v>
          </cell>
        </row>
        <row r="207">
          <cell r="B207" t="str">
            <v>6dc40cea-792a-42af-8a87-62990676047d</v>
          </cell>
        </row>
        <row r="208">
          <cell r="B208" t="str">
            <v>52772669-ba7e-4451-b9f2-51a02147d660</v>
          </cell>
        </row>
        <row r="209">
          <cell r="B209" t="str">
            <v>0442c55f-8353-46fe-ab6b-0f752126c420</v>
          </cell>
        </row>
        <row r="210">
          <cell r="B210" t="str">
            <v>be6f2b80-4d96-45bf-a425-25431055ed38</v>
          </cell>
          <cell r="D210" t="str">
            <v>36eaffa4-37e9-4fa9-8734-644b50a18ed3</v>
          </cell>
        </row>
        <row r="211">
          <cell r="B211" t="str">
            <v>153eb09a-5a60-454d-ad1b-7f9060f601ac</v>
          </cell>
        </row>
        <row r="212">
          <cell r="B212" t="str">
            <v>03a5c8b8-76f4-46f2-b34b-10eaa65eee46</v>
          </cell>
        </row>
        <row r="213">
          <cell r="B213" t="str">
            <v>2366443f-ab2f-42b9-95c4-d8c5a34bcd9d</v>
          </cell>
        </row>
        <row r="214">
          <cell r="B214" t="str">
            <v>4e08f6ea-80d4-48f4-a544-9385b0a8a2a6</v>
          </cell>
        </row>
        <row r="215">
          <cell r="B215" t="str">
            <v>92634be8-3b74-45a6-b2a5-7cc74b745c8f</v>
          </cell>
          <cell r="D215" t="str">
            <v>310a279b-7d01-4825-bd79-7de3bc6310e3</v>
          </cell>
        </row>
      </sheetData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0"/>
  <sheetViews>
    <sheetView zoomScaleNormal="100" workbookViewId="0">
      <selection activeCell="L28" sqref="L28"/>
    </sheetView>
  </sheetViews>
  <sheetFormatPr defaultRowHeight="14.4" x14ac:dyDescent="0.3"/>
  <cols>
    <col min="1" max="1" width="24.21875" bestFit="1" customWidth="1"/>
    <col min="2" max="2" width="2.109375" customWidth="1"/>
    <col min="3" max="4" width="13.6640625" bestFit="1" customWidth="1"/>
    <col min="5" max="8" width="11.5546875" bestFit="1" customWidth="1"/>
    <col min="9" max="9" width="11.5546875" customWidth="1"/>
    <col min="10" max="10" width="11.5546875" bestFit="1" customWidth="1"/>
    <col min="11" max="11" width="20.33203125" style="68" bestFit="1" customWidth="1"/>
    <col min="13" max="13" width="13.6640625" bestFit="1" customWidth="1"/>
    <col min="14" max="14" width="13.5546875" bestFit="1" customWidth="1"/>
  </cols>
  <sheetData>
    <row r="1" spans="1:14" ht="15" customHeight="1" thickBot="1" x14ac:dyDescent="0.35"/>
    <row r="2" spans="1:14" ht="15" customHeight="1" thickBot="1" x14ac:dyDescent="0.35">
      <c r="A2" s="110" t="s">
        <v>130</v>
      </c>
      <c r="B2" s="111"/>
      <c r="C2" s="112">
        <v>45894</v>
      </c>
      <c r="D2" s="113">
        <v>45911</v>
      </c>
      <c r="E2" s="113">
        <v>45915</v>
      </c>
      <c r="F2" s="113">
        <v>45933</v>
      </c>
      <c r="G2" s="113">
        <v>45947</v>
      </c>
      <c r="H2" s="133">
        <v>45968</v>
      </c>
      <c r="I2" s="138">
        <v>45978</v>
      </c>
      <c r="J2" s="134" t="s">
        <v>131</v>
      </c>
    </row>
    <row r="3" spans="1:14" ht="15" customHeight="1" thickBot="1" x14ac:dyDescent="0.35">
      <c r="A3" s="1"/>
      <c r="B3" s="1"/>
      <c r="C3" s="17"/>
      <c r="D3" s="17"/>
      <c r="E3" s="17"/>
      <c r="F3" s="17"/>
      <c r="G3" s="17"/>
      <c r="H3" s="17"/>
      <c r="I3" s="17"/>
      <c r="J3" s="63"/>
      <c r="M3" s="137"/>
    </row>
    <row r="4" spans="1:14" x14ac:dyDescent="0.3">
      <c r="A4" s="99" t="s">
        <v>132</v>
      </c>
      <c r="B4" s="114"/>
      <c r="C4" s="118">
        <v>45891</v>
      </c>
      <c r="D4" s="117">
        <v>45912</v>
      </c>
      <c r="E4" s="121">
        <v>45919</v>
      </c>
      <c r="F4" s="121">
        <v>45933</v>
      </c>
      <c r="G4" s="121">
        <v>45946</v>
      </c>
      <c r="H4" s="121">
        <v>45968</v>
      </c>
      <c r="I4" s="139">
        <v>45978</v>
      </c>
      <c r="J4" s="126"/>
      <c r="M4" s="34"/>
    </row>
    <row r="5" spans="1:14" x14ac:dyDescent="0.3">
      <c r="A5" s="100" t="s">
        <v>133</v>
      </c>
      <c r="B5" s="102"/>
      <c r="C5" s="115">
        <v>33</v>
      </c>
      <c r="D5" s="116">
        <v>36</v>
      </c>
      <c r="E5" s="122">
        <v>39</v>
      </c>
      <c r="F5" s="122">
        <v>41</v>
      </c>
      <c r="G5" s="122">
        <v>44</v>
      </c>
      <c r="H5" s="122">
        <v>55</v>
      </c>
      <c r="I5" s="140">
        <v>57</v>
      </c>
      <c r="J5" s="127">
        <f>I5/H5-1</f>
        <v>3.6363636363636376E-2</v>
      </c>
    </row>
    <row r="6" spans="1:14" x14ac:dyDescent="0.3">
      <c r="A6" s="100" t="s">
        <v>134</v>
      </c>
      <c r="C6" s="105">
        <v>41</v>
      </c>
      <c r="D6" s="116">
        <v>42</v>
      </c>
      <c r="E6" s="122">
        <v>43</v>
      </c>
      <c r="F6" s="122">
        <v>0</v>
      </c>
      <c r="G6" s="122">
        <v>0</v>
      </c>
      <c r="H6" s="122"/>
      <c r="I6" s="140"/>
      <c r="J6" s="127"/>
    </row>
    <row r="7" spans="1:14" x14ac:dyDescent="0.3">
      <c r="A7" s="100" t="s">
        <v>135</v>
      </c>
      <c r="B7" s="102"/>
      <c r="C7" s="103">
        <v>12000000</v>
      </c>
      <c r="D7" s="116">
        <v>12000000</v>
      </c>
      <c r="E7" s="122">
        <v>12170460</v>
      </c>
      <c r="F7" s="122">
        <v>13000000</v>
      </c>
      <c r="G7" s="122">
        <v>13000000</v>
      </c>
      <c r="H7" s="122">
        <v>17000000</v>
      </c>
      <c r="I7" s="140">
        <v>19000000</v>
      </c>
      <c r="J7" s="127">
        <f>I7/H7-1</f>
        <v>0.11764705882352944</v>
      </c>
    </row>
    <row r="8" spans="1:14" x14ac:dyDescent="0.3">
      <c r="A8" s="100" t="s">
        <v>136</v>
      </c>
      <c r="B8" s="102"/>
      <c r="C8" s="103"/>
      <c r="D8" s="116"/>
      <c r="E8" s="122"/>
      <c r="F8" s="122"/>
      <c r="G8" s="122"/>
      <c r="H8" s="122">
        <v>1150000</v>
      </c>
      <c r="I8" s="140">
        <v>1500000</v>
      </c>
      <c r="J8" s="127">
        <f>I8/H8-1</f>
        <v>0.30434782608695654</v>
      </c>
    </row>
    <row r="9" spans="1:14" ht="18" customHeight="1" x14ac:dyDescent="0.3">
      <c r="A9" s="100" t="s">
        <v>137</v>
      </c>
      <c r="B9" s="102"/>
      <c r="C9" s="103">
        <v>8459065</v>
      </c>
      <c r="D9" s="116">
        <v>9236432.5800000001</v>
      </c>
      <c r="E9" s="122">
        <v>10016084.98</v>
      </c>
      <c r="F9" s="122">
        <v>10992085.23</v>
      </c>
      <c r="G9" s="122">
        <v>12079741.699999999</v>
      </c>
      <c r="H9" s="122">
        <v>15545795.119999999</v>
      </c>
      <c r="I9" s="140">
        <v>17904729.559999999</v>
      </c>
      <c r="J9" s="127">
        <f>I9/H9-1</f>
        <v>0.15174099631386362</v>
      </c>
      <c r="M9" s="131"/>
      <c r="N9" s="132"/>
    </row>
    <row r="10" spans="1:14" x14ac:dyDescent="0.3">
      <c r="A10" s="100" t="s">
        <v>138</v>
      </c>
      <c r="B10" s="102"/>
      <c r="C10" s="103"/>
      <c r="D10" s="104"/>
      <c r="E10" s="123"/>
      <c r="F10" s="123"/>
      <c r="G10" s="123"/>
      <c r="H10" s="123"/>
      <c r="I10" s="141"/>
      <c r="J10" s="127"/>
    </row>
    <row r="11" spans="1:14" x14ac:dyDescent="0.3">
      <c r="A11" s="100" t="s">
        <v>139</v>
      </c>
      <c r="B11" s="102"/>
      <c r="C11" s="106">
        <v>4.7399999999999998E-2</v>
      </c>
      <c r="D11" s="107">
        <v>4.0087130679941629E-2</v>
      </c>
      <c r="E11" s="124">
        <v>4.0087130679941629E-2</v>
      </c>
      <c r="F11" s="124">
        <v>3.9484946631504619E-2</v>
      </c>
      <c r="G11" s="124">
        <v>3.95E-2</v>
      </c>
      <c r="H11" s="124">
        <v>3.8699999999999998E-2</v>
      </c>
      <c r="I11" s="142">
        <v>3.8699999999999998E-2</v>
      </c>
      <c r="J11" s="127">
        <f t="shared" ref="J11:J19" si="0">I11/H11-1</f>
        <v>0</v>
      </c>
    </row>
    <row r="12" spans="1:14" x14ac:dyDescent="0.3">
      <c r="A12" s="100" t="s">
        <v>140</v>
      </c>
      <c r="B12" s="102"/>
      <c r="C12" s="104">
        <v>167840.31899999999</v>
      </c>
      <c r="D12" s="104">
        <v>110783.48830836909</v>
      </c>
      <c r="E12" s="123">
        <v>86362.712960341843</v>
      </c>
      <c r="F12" s="123">
        <v>79282.40753405985</v>
      </c>
      <c r="G12" s="123">
        <v>36350.202849999958</v>
      </c>
      <c r="H12" s="123">
        <v>56277.728855999812</v>
      </c>
      <c r="I12" s="141">
        <f>(I7-I9)*I11</f>
        <v>42386.966028000053</v>
      </c>
      <c r="J12" s="127">
        <f t="shared" si="0"/>
        <v>-0.24682522039122501</v>
      </c>
      <c r="K12" s="62"/>
    </row>
    <row r="13" spans="1:14" x14ac:dyDescent="0.3">
      <c r="A13" s="100" t="s">
        <v>141</v>
      </c>
      <c r="B13" s="102"/>
      <c r="C13" s="103">
        <v>163700</v>
      </c>
      <c r="D13" s="104">
        <v>112710</v>
      </c>
      <c r="E13" s="123">
        <v>81010</v>
      </c>
      <c r="F13" s="123">
        <v>72650</v>
      </c>
      <c r="G13" s="123">
        <v>30988</v>
      </c>
      <c r="H13" s="123">
        <v>42550.000000000007</v>
      </c>
      <c r="I13" s="141">
        <v>30988</v>
      </c>
      <c r="J13" s="127">
        <f t="shared" si="0"/>
        <v>-0.2717273795534666</v>
      </c>
    </row>
    <row r="14" spans="1:14" ht="18" customHeight="1" x14ac:dyDescent="0.3">
      <c r="A14" s="100" t="s">
        <v>142</v>
      </c>
      <c r="C14" s="103">
        <v>118198</v>
      </c>
      <c r="D14" s="104">
        <v>118198.48</v>
      </c>
      <c r="E14" s="123">
        <v>117000</v>
      </c>
      <c r="F14" s="123">
        <v>117000</v>
      </c>
      <c r="G14" s="123">
        <v>117000</v>
      </c>
      <c r="H14" s="123">
        <v>117000</v>
      </c>
      <c r="I14" s="123">
        <v>117000</v>
      </c>
      <c r="J14" s="127">
        <f t="shared" si="0"/>
        <v>0</v>
      </c>
      <c r="M14" s="131"/>
    </row>
    <row r="15" spans="1:14" x14ac:dyDescent="0.3">
      <c r="A15" s="100" t="s">
        <v>143</v>
      </c>
      <c r="C15" s="103">
        <v>8250000</v>
      </c>
      <c r="D15" s="104">
        <v>9000000</v>
      </c>
      <c r="E15" s="123">
        <v>9750000</v>
      </c>
      <c r="F15" s="123">
        <v>10675000</v>
      </c>
      <c r="G15" s="123">
        <v>11675000</v>
      </c>
      <c r="H15" s="123">
        <v>14925000</v>
      </c>
      <c r="I15" s="141">
        <v>17175000</v>
      </c>
      <c r="J15" s="127">
        <f t="shared" si="0"/>
        <v>0.15075376884422109</v>
      </c>
    </row>
    <row r="16" spans="1:14" x14ac:dyDescent="0.3">
      <c r="A16" s="100" t="s">
        <v>144</v>
      </c>
      <c r="C16" s="103">
        <v>11700000</v>
      </c>
      <c r="D16" s="104">
        <v>11700000</v>
      </c>
      <c r="E16" s="123">
        <v>11700000</v>
      </c>
      <c r="F16" s="123">
        <v>12425000</v>
      </c>
      <c r="G16" s="123">
        <v>12425000</v>
      </c>
      <c r="H16" s="123">
        <v>15575000</v>
      </c>
      <c r="I16" s="141">
        <v>18325000</v>
      </c>
      <c r="J16" s="127">
        <f t="shared" si="0"/>
        <v>0.1765650080256822</v>
      </c>
    </row>
    <row r="17" spans="1:10" x14ac:dyDescent="0.3">
      <c r="A17" s="100" t="s">
        <v>145</v>
      </c>
      <c r="C17" s="103">
        <v>911703</v>
      </c>
      <c r="D17" s="104">
        <v>994208.167552948</v>
      </c>
      <c r="E17" s="123">
        <v>1060655.5913068771</v>
      </c>
      <c r="F17" s="123">
        <v>1158832.8125502591</v>
      </c>
      <c r="G17" s="123">
        <v>1303174.20594162</v>
      </c>
      <c r="H17" s="123">
        <v>1745621.24538475</v>
      </c>
      <c r="I17" s="141">
        <v>2016217.8673355479</v>
      </c>
      <c r="J17" s="127">
        <f t="shared" si="0"/>
        <v>0.15501450997244026</v>
      </c>
    </row>
    <row r="18" spans="1:10" x14ac:dyDescent="0.3">
      <c r="A18" s="100" t="s">
        <v>146</v>
      </c>
      <c r="C18" s="103">
        <v>1075473</v>
      </c>
      <c r="D18" s="104">
        <v>1106918.167552948</v>
      </c>
      <c r="E18" s="123">
        <v>1141665.5913068771</v>
      </c>
      <c r="F18" s="123">
        <v>1231482.8125502591</v>
      </c>
      <c r="G18" s="123">
        <v>1334161.70594162</v>
      </c>
      <c r="H18" s="123">
        <v>1769671.24538475</v>
      </c>
      <c r="I18" s="141">
        <v>2047205.3673355479</v>
      </c>
      <c r="J18" s="127">
        <f t="shared" si="0"/>
        <v>0.15682806774116864</v>
      </c>
    </row>
    <row r="19" spans="1:10" ht="15" customHeight="1" thickBot="1" x14ac:dyDescent="0.35">
      <c r="A19" s="101" t="s">
        <v>147</v>
      </c>
      <c r="B19" s="12"/>
      <c r="C19" s="108">
        <v>134285</v>
      </c>
      <c r="D19" s="109">
        <v>150910</v>
      </c>
      <c r="E19" s="125">
        <v>166635</v>
      </c>
      <c r="F19" s="125">
        <v>181750</v>
      </c>
      <c r="G19" s="125">
        <v>198875</v>
      </c>
      <c r="H19" s="125">
        <v>308400</v>
      </c>
      <c r="I19" s="125">
        <v>371800</v>
      </c>
      <c r="J19" s="135">
        <f t="shared" si="0"/>
        <v>0.20557717250324248</v>
      </c>
    </row>
    <row r="20" spans="1:10" x14ac:dyDescent="0.3">
      <c r="A20" s="11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AV16"/>
  <sheetViews>
    <sheetView zoomScale="110" zoomScaleNormal="110" workbookViewId="0">
      <selection activeCell="A8" sqref="A8:AS8"/>
    </sheetView>
  </sheetViews>
  <sheetFormatPr defaultColWidth="9.109375" defaultRowHeight="14.4" x14ac:dyDescent="0.3"/>
  <cols>
    <col min="1" max="1" width="18.44140625" bestFit="1" customWidth="1"/>
    <col min="2" max="2" width="8.33203125" bestFit="1" customWidth="1"/>
    <col min="3" max="3" width="56.44140625" bestFit="1" customWidth="1"/>
    <col min="4" max="4" width="8.109375" customWidth="1"/>
    <col min="5" max="5" width="8.44140625" customWidth="1"/>
    <col min="6" max="6" width="6" style="78" customWidth="1"/>
    <col min="7" max="7" width="8.6640625" customWidth="1"/>
    <col min="8" max="8" width="9.5546875" style="78" customWidth="1"/>
    <col min="9" max="9" width="19.88671875" customWidth="1"/>
    <col min="10" max="10" width="7.5546875" customWidth="1"/>
    <col min="11" max="11" width="11.33203125" customWidth="1"/>
    <col min="12" max="13" width="20.6640625" style="136" customWidth="1"/>
    <col min="14" max="14" width="8.44140625" customWidth="1"/>
    <col min="15" max="15" width="18.6640625" customWidth="1"/>
    <col min="16" max="16" width="15.5546875" style="79" customWidth="1"/>
    <col min="17" max="17" width="21.6640625" style="79" customWidth="1"/>
    <col min="18" max="18" width="10.109375" customWidth="1"/>
    <col min="19" max="19" width="8" customWidth="1"/>
    <col min="20" max="20" width="19.6640625" customWidth="1"/>
    <col min="21" max="21" width="14.44140625" style="81" customWidth="1"/>
    <col min="22" max="22" width="16.88671875" customWidth="1"/>
    <col min="23" max="23" width="20.6640625" style="17" customWidth="1"/>
    <col min="24" max="24" width="15.6640625" customWidth="1"/>
    <col min="25" max="25" width="15.44140625" style="17" customWidth="1"/>
    <col min="26" max="26" width="19.5546875" style="83" customWidth="1"/>
    <col min="27" max="27" width="18" customWidth="1"/>
    <col min="28" max="28" width="17.33203125" customWidth="1"/>
    <col min="29" max="29" width="8.88671875" style="86" customWidth="1"/>
    <col min="30" max="30" width="10.6640625" style="78" customWidth="1"/>
    <col min="31" max="31" width="18.44140625" style="78" customWidth="1"/>
    <col min="32" max="32" width="25.88671875" style="78" customWidth="1"/>
    <col min="33" max="33" width="10.5546875" style="78" customWidth="1"/>
    <col min="34" max="34" width="19.6640625" style="78" customWidth="1"/>
    <col min="35" max="35" width="29" customWidth="1"/>
    <col min="36" max="36" width="36.5546875" style="78" customWidth="1"/>
    <col min="37" max="37" width="17.5546875" style="78" customWidth="1"/>
    <col min="38" max="38" width="23.5546875" style="78" customWidth="1"/>
    <col min="39" max="39" width="21" style="78" customWidth="1"/>
    <col min="40" max="40" width="10.88671875" customWidth="1"/>
    <col min="41" max="41" width="13.6640625" customWidth="1"/>
    <col min="42" max="42" width="16.5546875" style="78" customWidth="1"/>
    <col min="43" max="43" width="13.33203125" style="78" customWidth="1"/>
    <col min="44" max="44" width="9.109375" style="78" customWidth="1"/>
    <col min="45" max="45" width="19.33203125" style="78" customWidth="1"/>
    <col min="46" max="46" width="25.77734375" bestFit="1" customWidth="1"/>
  </cols>
  <sheetData>
    <row r="1" spans="1:48" s="30" customFormat="1" ht="15" customHeight="1" thickBot="1" x14ac:dyDescent="0.35">
      <c r="A1" s="89" t="s">
        <v>6</v>
      </c>
      <c r="B1" s="87" t="s">
        <v>8</v>
      </c>
      <c r="C1" s="90" t="s">
        <v>9</v>
      </c>
      <c r="D1" s="90" t="s">
        <v>11</v>
      </c>
      <c r="E1" s="90" t="s">
        <v>13</v>
      </c>
      <c r="F1" s="90" t="s">
        <v>14</v>
      </c>
      <c r="G1" s="87" t="s">
        <v>15</v>
      </c>
      <c r="H1" s="87" t="s">
        <v>17</v>
      </c>
      <c r="I1" s="90" t="s">
        <v>19</v>
      </c>
      <c r="J1" s="87" t="s">
        <v>21</v>
      </c>
      <c r="K1" s="90" t="s">
        <v>23</v>
      </c>
      <c r="L1" s="120" t="s">
        <v>25</v>
      </c>
      <c r="M1" s="120" t="s">
        <v>27</v>
      </c>
      <c r="N1" s="87" t="s">
        <v>29</v>
      </c>
      <c r="O1" s="87" t="s">
        <v>30</v>
      </c>
      <c r="P1" s="92" t="s">
        <v>32</v>
      </c>
      <c r="Q1" s="92" t="s">
        <v>35</v>
      </c>
      <c r="R1" s="93" t="s">
        <v>37</v>
      </c>
      <c r="S1" s="87" t="s">
        <v>39</v>
      </c>
      <c r="T1" s="90" t="s">
        <v>41</v>
      </c>
      <c r="U1" s="94" t="s">
        <v>44</v>
      </c>
      <c r="V1" s="88" t="s">
        <v>46</v>
      </c>
      <c r="W1" s="91" t="s">
        <v>48</v>
      </c>
      <c r="X1" s="88" t="s">
        <v>50</v>
      </c>
      <c r="Y1" s="88" t="s">
        <v>52</v>
      </c>
      <c r="Z1" s="95" t="s">
        <v>53</v>
      </c>
      <c r="AA1" s="90" t="s">
        <v>55</v>
      </c>
      <c r="AB1" s="88" t="s">
        <v>57</v>
      </c>
      <c r="AC1" s="96" t="s">
        <v>58</v>
      </c>
      <c r="AD1" s="88" t="s">
        <v>59</v>
      </c>
      <c r="AE1" s="88" t="s">
        <v>60</v>
      </c>
      <c r="AF1" s="88" t="s">
        <v>61</v>
      </c>
      <c r="AG1" s="88" t="s">
        <v>62</v>
      </c>
      <c r="AH1" s="88" t="s">
        <v>65</v>
      </c>
      <c r="AI1" s="97" t="s">
        <v>66</v>
      </c>
      <c r="AJ1" s="97" t="s">
        <v>68</v>
      </c>
      <c r="AK1" s="97" t="s">
        <v>69</v>
      </c>
      <c r="AL1" s="97" t="s">
        <v>71</v>
      </c>
      <c r="AM1" s="97" t="s">
        <v>72</v>
      </c>
      <c r="AN1" s="97" t="s">
        <v>73</v>
      </c>
      <c r="AO1" s="98" t="s">
        <v>74</v>
      </c>
      <c r="AP1" s="88" t="s">
        <v>76</v>
      </c>
      <c r="AQ1" s="88" t="s">
        <v>78</v>
      </c>
      <c r="AR1" s="88" t="s">
        <v>79</v>
      </c>
      <c r="AS1" s="88" t="s">
        <v>80</v>
      </c>
    </row>
    <row r="2" spans="1:48" s="128" customFormat="1" x14ac:dyDescent="0.3">
      <c r="A2" t="s">
        <v>308</v>
      </c>
      <c r="B2" t="s">
        <v>309</v>
      </c>
      <c r="C2" t="s">
        <v>558</v>
      </c>
      <c r="D2" s="78" t="s">
        <v>1169</v>
      </c>
      <c r="E2" s="78" t="s">
        <v>1167</v>
      </c>
      <c r="F2" s="78" t="s">
        <v>1166</v>
      </c>
      <c r="H2" s="78" t="s">
        <v>149</v>
      </c>
      <c r="I2" s="74" t="s">
        <v>1059</v>
      </c>
      <c r="K2" s="74" t="s">
        <v>883</v>
      </c>
      <c r="L2" s="210">
        <v>45393</v>
      </c>
      <c r="M2" s="210">
        <v>46517</v>
      </c>
      <c r="O2" s="78" t="s">
        <v>151</v>
      </c>
      <c r="P2" s="79">
        <v>0</v>
      </c>
      <c r="Q2" s="79">
        <v>1000000000</v>
      </c>
      <c r="R2" s="85">
        <v>250000</v>
      </c>
      <c r="T2" s="143">
        <v>102.5</v>
      </c>
      <c r="U2" s="80">
        <v>0.1293</v>
      </c>
      <c r="V2" s="78" t="s">
        <v>152</v>
      </c>
      <c r="W2" s="74">
        <v>45789</v>
      </c>
      <c r="X2" s="129"/>
      <c r="Y2" s="129"/>
      <c r="Z2" s="84">
        <v>5.0000000000000001E-4</v>
      </c>
      <c r="AA2" s="130">
        <v>9.0571397299765224E-2</v>
      </c>
      <c r="AB2" s="78">
        <v>0</v>
      </c>
      <c r="AC2" s="130">
        <v>0.10738033</v>
      </c>
      <c r="AD2" s="78">
        <v>0</v>
      </c>
      <c r="AE2" s="78">
        <v>0</v>
      </c>
      <c r="AF2" s="78">
        <v>0</v>
      </c>
      <c r="AG2" s="78">
        <v>0</v>
      </c>
      <c r="AH2" s="78">
        <v>0</v>
      </c>
      <c r="AI2" s="74">
        <v>45789</v>
      </c>
      <c r="AJ2" s="74">
        <v>45789</v>
      </c>
      <c r="AK2" s="74">
        <v>45789</v>
      </c>
      <c r="AL2" s="74">
        <v>45789</v>
      </c>
      <c r="AM2" s="74">
        <v>45789</v>
      </c>
      <c r="AN2" s="74" t="s">
        <v>153</v>
      </c>
      <c r="AO2" s="74" t="s">
        <v>154</v>
      </c>
      <c r="AP2" s="78">
        <v>0</v>
      </c>
      <c r="AQ2" s="78">
        <v>0</v>
      </c>
      <c r="AR2" s="78">
        <v>0</v>
      </c>
      <c r="AS2" s="78">
        <v>1</v>
      </c>
      <c r="AV2" s="144"/>
    </row>
    <row r="3" spans="1:48" s="128" customFormat="1" x14ac:dyDescent="0.3">
      <c r="A3" t="s">
        <v>1153</v>
      </c>
      <c r="B3" t="s">
        <v>1154</v>
      </c>
      <c r="C3" t="s">
        <v>583</v>
      </c>
      <c r="D3" s="78" t="s">
        <v>1169</v>
      </c>
      <c r="E3" s="78" t="s">
        <v>1167</v>
      </c>
      <c r="F3" s="78" t="s">
        <v>1166</v>
      </c>
      <c r="H3" s="78" t="s">
        <v>149</v>
      </c>
      <c r="I3" s="74" t="s">
        <v>1071</v>
      </c>
      <c r="K3" s="74" t="s">
        <v>907</v>
      </c>
      <c r="L3" s="210">
        <v>45009</v>
      </c>
      <c r="M3" s="210">
        <v>46112</v>
      </c>
      <c r="O3" s="78" t="s">
        <v>151</v>
      </c>
      <c r="P3" s="79">
        <v>0</v>
      </c>
      <c r="Q3" s="79">
        <v>250000000</v>
      </c>
      <c r="R3" s="85">
        <v>250000</v>
      </c>
      <c r="T3" s="143">
        <v>103.75</v>
      </c>
      <c r="U3" s="80">
        <v>0.16990000000000002</v>
      </c>
      <c r="V3" s="78" t="s">
        <v>152</v>
      </c>
      <c r="W3" s="74">
        <v>45793</v>
      </c>
      <c r="X3" s="129"/>
      <c r="Y3" s="129"/>
      <c r="Z3" s="84">
        <v>3.3333333333333335E-3</v>
      </c>
      <c r="AA3" s="130">
        <v>0.132287509645</v>
      </c>
      <c r="AB3" s="78">
        <v>0</v>
      </c>
      <c r="AC3" s="130">
        <v>0.12294791999999999</v>
      </c>
      <c r="AD3" s="78">
        <v>0</v>
      </c>
      <c r="AE3" s="78">
        <v>0</v>
      </c>
      <c r="AF3" s="78">
        <v>0</v>
      </c>
      <c r="AG3" s="78">
        <v>0</v>
      </c>
      <c r="AH3" s="78">
        <v>0</v>
      </c>
      <c r="AI3" s="74">
        <v>45793</v>
      </c>
      <c r="AJ3" s="74">
        <v>45793</v>
      </c>
      <c r="AK3" s="74">
        <v>45793</v>
      </c>
      <c r="AL3" s="74">
        <v>45793</v>
      </c>
      <c r="AM3" s="74">
        <v>45793</v>
      </c>
      <c r="AN3" s="74" t="s">
        <v>977</v>
      </c>
      <c r="AO3" s="74" t="s">
        <v>154</v>
      </c>
      <c r="AP3" s="78">
        <v>0</v>
      </c>
      <c r="AQ3" s="78">
        <v>0</v>
      </c>
      <c r="AR3" s="78">
        <v>0</v>
      </c>
      <c r="AS3" s="78">
        <v>1</v>
      </c>
      <c r="AV3" s="144"/>
    </row>
    <row r="4" spans="1:48" s="128" customFormat="1" x14ac:dyDescent="0.3">
      <c r="A4" t="s">
        <v>1155</v>
      </c>
      <c r="B4" t="s">
        <v>1156</v>
      </c>
      <c r="C4" t="s">
        <v>377</v>
      </c>
      <c r="D4" s="78" t="s">
        <v>1169</v>
      </c>
      <c r="E4" s="78" t="s">
        <v>1170</v>
      </c>
      <c r="F4" s="78" t="s">
        <v>1166</v>
      </c>
      <c r="H4" s="78" t="s">
        <v>149</v>
      </c>
      <c r="I4" s="74" t="s">
        <v>1080</v>
      </c>
      <c r="K4" s="74" t="s">
        <v>693</v>
      </c>
      <c r="L4" s="210">
        <v>45064</v>
      </c>
      <c r="M4" s="210">
        <v>46168</v>
      </c>
      <c r="O4" s="78" t="s">
        <v>151</v>
      </c>
      <c r="P4" s="79">
        <v>0</v>
      </c>
      <c r="Q4" s="79">
        <v>600000000</v>
      </c>
      <c r="R4" s="85">
        <v>250000</v>
      </c>
      <c r="T4" s="143">
        <v>101.6</v>
      </c>
      <c r="U4" s="80">
        <v>0.1278</v>
      </c>
      <c r="V4" s="78" t="s">
        <v>152</v>
      </c>
      <c r="W4" s="74">
        <v>45805</v>
      </c>
      <c r="X4" s="129"/>
      <c r="Y4" s="129"/>
      <c r="Z4" s="84">
        <v>5.0000000000000001E-3</v>
      </c>
      <c r="AA4" s="130">
        <v>8.9036969351987266E-2</v>
      </c>
      <c r="AB4" s="78">
        <v>0</v>
      </c>
      <c r="AC4" s="130">
        <v>0.11989819</v>
      </c>
      <c r="AD4" s="78">
        <v>0</v>
      </c>
      <c r="AE4" s="78">
        <v>0</v>
      </c>
      <c r="AF4" s="78">
        <v>0</v>
      </c>
      <c r="AG4" s="78">
        <v>0</v>
      </c>
      <c r="AH4" s="78">
        <v>0</v>
      </c>
      <c r="AI4" s="74">
        <v>45805</v>
      </c>
      <c r="AJ4" s="74">
        <v>45805</v>
      </c>
      <c r="AK4" s="74">
        <v>45805</v>
      </c>
      <c r="AL4" s="74">
        <v>45805</v>
      </c>
      <c r="AM4" s="74">
        <v>45805</v>
      </c>
      <c r="AN4" s="74" t="s">
        <v>153</v>
      </c>
      <c r="AO4" s="74" t="s">
        <v>976</v>
      </c>
      <c r="AP4" s="78">
        <v>0</v>
      </c>
      <c r="AQ4" s="78">
        <v>0</v>
      </c>
      <c r="AR4" s="78">
        <v>0</v>
      </c>
      <c r="AS4" s="78">
        <v>1</v>
      </c>
      <c r="AV4" s="144"/>
    </row>
    <row r="5" spans="1:48" s="128" customFormat="1" x14ac:dyDescent="0.3">
      <c r="A5" t="s">
        <v>1157</v>
      </c>
      <c r="B5" t="s">
        <v>1158</v>
      </c>
      <c r="C5" t="s">
        <v>540</v>
      </c>
      <c r="D5" s="78" t="s">
        <v>1165</v>
      </c>
      <c r="E5" s="78" t="s">
        <v>1167</v>
      </c>
      <c r="F5" s="78" t="s">
        <v>1166</v>
      </c>
      <c r="H5" s="78" t="s">
        <v>149</v>
      </c>
      <c r="I5" s="74" t="s">
        <v>1085</v>
      </c>
      <c r="K5" s="74" t="s">
        <v>863</v>
      </c>
      <c r="L5" s="210">
        <v>45393</v>
      </c>
      <c r="M5" s="210">
        <v>46545</v>
      </c>
      <c r="O5" s="78" t="s">
        <v>151</v>
      </c>
      <c r="P5" s="79">
        <v>0</v>
      </c>
      <c r="Q5" s="79">
        <v>2000000000</v>
      </c>
      <c r="R5" s="85">
        <v>250000</v>
      </c>
      <c r="T5" s="143">
        <v>102.8</v>
      </c>
      <c r="U5" s="80">
        <v>0.18210000000000001</v>
      </c>
      <c r="V5" s="78" t="s">
        <v>152</v>
      </c>
      <c r="W5" s="74">
        <v>45834</v>
      </c>
      <c r="X5" s="129"/>
      <c r="Y5" s="129"/>
      <c r="Z5" s="84">
        <v>5.263157894736842E-4</v>
      </c>
      <c r="AA5" s="130">
        <v>0.14340064727609322</v>
      </c>
      <c r="AB5" s="78">
        <v>0</v>
      </c>
      <c r="AC5" s="130">
        <v>0.16563422</v>
      </c>
      <c r="AD5" s="78">
        <v>0</v>
      </c>
      <c r="AE5" s="78">
        <v>0</v>
      </c>
      <c r="AF5" s="78">
        <v>0</v>
      </c>
      <c r="AG5" s="78">
        <v>0</v>
      </c>
      <c r="AH5" s="78">
        <v>0</v>
      </c>
      <c r="AI5" s="74">
        <v>45834</v>
      </c>
      <c r="AJ5" s="74">
        <v>45834</v>
      </c>
      <c r="AK5" s="74">
        <v>45834</v>
      </c>
      <c r="AL5" s="74">
        <v>45834</v>
      </c>
      <c r="AM5" s="74">
        <v>45834</v>
      </c>
      <c r="AN5" s="74" t="s">
        <v>153</v>
      </c>
      <c r="AO5" s="74" t="s">
        <v>976</v>
      </c>
      <c r="AP5" s="78">
        <v>0</v>
      </c>
      <c r="AQ5" s="78">
        <v>0</v>
      </c>
      <c r="AR5" s="78">
        <v>0</v>
      </c>
      <c r="AS5" s="78">
        <v>1</v>
      </c>
      <c r="AV5" s="144"/>
    </row>
    <row r="6" spans="1:48" s="128" customFormat="1" x14ac:dyDescent="0.3">
      <c r="A6" t="s">
        <v>1159</v>
      </c>
      <c r="B6" t="s">
        <v>1160</v>
      </c>
      <c r="C6" t="s">
        <v>379</v>
      </c>
      <c r="D6" s="78" t="s">
        <v>1165</v>
      </c>
      <c r="E6" s="78" t="s">
        <v>1170</v>
      </c>
      <c r="F6" s="78" t="s">
        <v>1168</v>
      </c>
      <c r="H6" s="78" t="s">
        <v>149</v>
      </c>
      <c r="I6" s="74" t="s">
        <v>1080</v>
      </c>
      <c r="K6" s="74" t="s">
        <v>695</v>
      </c>
      <c r="L6" s="210">
        <v>44980</v>
      </c>
      <c r="M6" s="210">
        <v>46080</v>
      </c>
      <c r="O6" s="78" t="s">
        <v>151</v>
      </c>
      <c r="P6" s="79">
        <v>0</v>
      </c>
      <c r="Q6" s="79">
        <v>600000000</v>
      </c>
      <c r="R6" s="85">
        <v>250000</v>
      </c>
      <c r="T6" s="143">
        <v>99.3</v>
      </c>
      <c r="U6" s="80">
        <v>0.1211</v>
      </c>
      <c r="V6" s="78" t="s">
        <v>152</v>
      </c>
      <c r="W6" s="74">
        <v>45859</v>
      </c>
      <c r="X6" s="129"/>
      <c r="Y6" s="129"/>
      <c r="Z6" s="84">
        <v>3.3333333333333335E-3</v>
      </c>
      <c r="AA6" s="130">
        <v>8.241739053348697E-2</v>
      </c>
      <c r="AB6" s="78">
        <v>0</v>
      </c>
      <c r="AC6" s="130">
        <v>0.12753048</v>
      </c>
      <c r="AD6" s="78">
        <v>0</v>
      </c>
      <c r="AE6" s="78">
        <v>0</v>
      </c>
      <c r="AF6" s="78">
        <v>0</v>
      </c>
      <c r="AG6" s="78">
        <v>0</v>
      </c>
      <c r="AH6" s="78">
        <v>0</v>
      </c>
      <c r="AI6" s="74">
        <v>45859</v>
      </c>
      <c r="AJ6" s="74">
        <v>45859</v>
      </c>
      <c r="AK6" s="74">
        <v>45859</v>
      </c>
      <c r="AL6" s="74">
        <v>45859</v>
      </c>
      <c r="AM6" s="74">
        <v>45859</v>
      </c>
      <c r="AN6" s="74" t="s">
        <v>153</v>
      </c>
      <c r="AO6" s="74" t="s">
        <v>976</v>
      </c>
      <c r="AP6" s="78">
        <v>0</v>
      </c>
      <c r="AQ6" s="78">
        <v>0</v>
      </c>
      <c r="AR6" s="78">
        <v>0</v>
      </c>
      <c r="AS6" s="78">
        <v>1</v>
      </c>
      <c r="AV6" s="144"/>
    </row>
    <row r="7" spans="1:48" s="128" customFormat="1" x14ac:dyDescent="0.3">
      <c r="A7" t="s">
        <v>1161</v>
      </c>
      <c r="B7" t="s">
        <v>1162</v>
      </c>
      <c r="C7" t="s">
        <v>516</v>
      </c>
      <c r="D7" s="78" t="s">
        <v>1169</v>
      </c>
      <c r="E7" s="78" t="s">
        <v>1167</v>
      </c>
      <c r="F7" s="78" t="s">
        <v>1166</v>
      </c>
      <c r="H7" s="78" t="s">
        <v>149</v>
      </c>
      <c r="I7" s="74" t="s">
        <v>1093</v>
      </c>
      <c r="K7" s="74" t="s">
        <v>838</v>
      </c>
      <c r="L7" s="210">
        <v>45593</v>
      </c>
      <c r="M7" s="210">
        <v>46742</v>
      </c>
      <c r="O7" s="78" t="s">
        <v>151</v>
      </c>
      <c r="P7" s="79">
        <v>0</v>
      </c>
      <c r="Q7" s="79">
        <v>110000000</v>
      </c>
      <c r="R7" s="85">
        <v>250000</v>
      </c>
      <c r="T7" s="143">
        <v>103.1</v>
      </c>
      <c r="U7" s="80">
        <v>0.106</v>
      </c>
      <c r="V7" s="78" t="s">
        <v>152</v>
      </c>
      <c r="W7" s="74">
        <v>45866</v>
      </c>
      <c r="X7" s="129"/>
      <c r="Y7" s="129"/>
      <c r="Z7" s="84">
        <v>2.2727272727272726E-3</v>
      </c>
      <c r="AA7" s="130">
        <v>6.7395658018000001E-2</v>
      </c>
      <c r="AB7" s="78">
        <v>0</v>
      </c>
      <c r="AC7" s="130">
        <v>7.1520619999999993E-2</v>
      </c>
      <c r="AD7" s="78">
        <v>0</v>
      </c>
      <c r="AE7" s="78">
        <v>0</v>
      </c>
      <c r="AF7" s="78">
        <v>0</v>
      </c>
      <c r="AG7" s="78">
        <v>0</v>
      </c>
      <c r="AH7" s="78">
        <v>0</v>
      </c>
      <c r="AI7" s="74">
        <v>45866</v>
      </c>
      <c r="AJ7" s="74">
        <v>45866</v>
      </c>
      <c r="AK7" s="74">
        <v>45866</v>
      </c>
      <c r="AL7" s="74">
        <v>45866</v>
      </c>
      <c r="AM7" s="74">
        <v>45866</v>
      </c>
      <c r="AN7" s="74" t="s">
        <v>153</v>
      </c>
      <c r="AO7" s="74" t="s">
        <v>976</v>
      </c>
      <c r="AP7" s="78">
        <v>0</v>
      </c>
      <c r="AQ7" s="78">
        <v>0</v>
      </c>
      <c r="AR7" s="78">
        <v>0</v>
      </c>
      <c r="AS7" s="78">
        <v>1</v>
      </c>
      <c r="AV7" s="144"/>
    </row>
    <row r="8" spans="1:48" x14ac:dyDescent="0.3">
      <c r="A8" t="s">
        <v>1163</v>
      </c>
      <c r="B8" t="s">
        <v>1164</v>
      </c>
      <c r="C8" t="s">
        <v>429</v>
      </c>
      <c r="D8" t="s">
        <v>1169</v>
      </c>
      <c r="E8" t="s">
        <v>1170</v>
      </c>
      <c r="F8" s="78" t="s">
        <v>1166</v>
      </c>
      <c r="H8" s="78" t="s">
        <v>149</v>
      </c>
      <c r="I8" s="74" t="s">
        <v>1102</v>
      </c>
      <c r="K8" s="74" t="s">
        <v>746</v>
      </c>
      <c r="L8" s="210">
        <v>45644</v>
      </c>
      <c r="M8" s="211">
        <v>46759</v>
      </c>
      <c r="O8" s="78" t="s">
        <v>151</v>
      </c>
      <c r="P8" s="79">
        <v>0</v>
      </c>
      <c r="Q8" s="79">
        <v>115000000</v>
      </c>
      <c r="R8" s="85">
        <v>250000</v>
      </c>
      <c r="T8" s="143">
        <v>103.85</v>
      </c>
      <c r="U8" s="80">
        <v>0.12510719976425172</v>
      </c>
      <c r="V8" s="78" t="s">
        <v>152</v>
      </c>
      <c r="W8" s="74">
        <v>45908</v>
      </c>
      <c r="Z8" s="84">
        <v>2.1739130434782609E-3</v>
      </c>
      <c r="AA8" s="130">
        <v>8.6685892764000003E-2</v>
      </c>
      <c r="AB8" s="78">
        <v>0</v>
      </c>
      <c r="AC8" s="130">
        <v>6.6715150000000001E-2</v>
      </c>
      <c r="AD8" s="78">
        <v>0</v>
      </c>
      <c r="AE8" s="78">
        <v>0</v>
      </c>
      <c r="AF8" s="78">
        <v>0</v>
      </c>
      <c r="AG8" s="78">
        <v>0</v>
      </c>
      <c r="AH8" s="78">
        <v>0</v>
      </c>
      <c r="AI8" s="74">
        <v>45908</v>
      </c>
      <c r="AJ8" s="74">
        <v>45908</v>
      </c>
      <c r="AK8" s="74">
        <v>45908</v>
      </c>
      <c r="AL8" s="74">
        <v>45908</v>
      </c>
      <c r="AM8" s="74">
        <v>45908</v>
      </c>
      <c r="AN8" s="74" t="s">
        <v>153</v>
      </c>
      <c r="AO8" s="74" t="s">
        <v>976</v>
      </c>
      <c r="AP8" s="78">
        <v>0</v>
      </c>
      <c r="AQ8" s="78">
        <v>0</v>
      </c>
      <c r="AR8" s="78">
        <v>0</v>
      </c>
      <c r="AS8" s="78">
        <v>1</v>
      </c>
    </row>
    <row r="9" spans="1:48" x14ac:dyDescent="0.3">
      <c r="I9" s="74"/>
      <c r="K9" s="74"/>
      <c r="L9" s="210"/>
      <c r="M9" s="210"/>
      <c r="O9" s="78"/>
      <c r="R9" s="85"/>
      <c r="T9" s="143"/>
      <c r="U9" s="80"/>
      <c r="V9" s="78"/>
      <c r="W9" s="74"/>
      <c r="Z9" s="84"/>
      <c r="AA9" s="130"/>
      <c r="AB9" s="78"/>
      <c r="AC9" s="130"/>
      <c r="AI9" s="74"/>
      <c r="AJ9" s="74"/>
      <c r="AK9" s="74"/>
      <c r="AL9" s="74"/>
      <c r="AM9" s="74"/>
      <c r="AN9" s="74"/>
      <c r="AO9" s="74"/>
    </row>
    <row r="10" spans="1:48" x14ac:dyDescent="0.3">
      <c r="I10" s="74"/>
      <c r="K10" s="74"/>
      <c r="L10" s="74"/>
      <c r="M10" s="74"/>
      <c r="O10" s="78"/>
      <c r="R10" s="85"/>
      <c r="T10" s="143"/>
      <c r="U10" s="80"/>
      <c r="V10" s="78"/>
      <c r="W10" s="74"/>
      <c r="Z10" s="84"/>
      <c r="AA10" s="130"/>
      <c r="AB10" s="78"/>
      <c r="AC10" s="130"/>
      <c r="AI10" s="74"/>
      <c r="AJ10" s="74"/>
      <c r="AK10" s="74"/>
      <c r="AL10" s="74"/>
      <c r="AM10" s="74"/>
      <c r="AN10" s="74"/>
      <c r="AO10" s="74"/>
    </row>
    <row r="11" spans="1:48" x14ac:dyDescent="0.3">
      <c r="I11" s="74"/>
      <c r="K11" s="74"/>
      <c r="L11" s="210"/>
      <c r="M11" s="210"/>
      <c r="O11" s="78"/>
      <c r="R11" s="85"/>
      <c r="T11" s="143"/>
      <c r="U11" s="80"/>
      <c r="V11" s="78"/>
      <c r="W11" s="74"/>
      <c r="Z11" s="84"/>
      <c r="AA11" s="130"/>
      <c r="AB11" s="78"/>
      <c r="AC11" s="130"/>
      <c r="AI11" s="74"/>
      <c r="AJ11" s="74"/>
      <c r="AK11" s="74"/>
      <c r="AL11" s="74"/>
      <c r="AM11" s="74"/>
      <c r="AN11" s="74"/>
      <c r="AO11" s="74"/>
    </row>
    <row r="12" spans="1:48" x14ac:dyDescent="0.3">
      <c r="L12" s="210"/>
      <c r="M12" s="210"/>
      <c r="R12" s="145"/>
      <c r="AI12" s="212"/>
      <c r="AJ12" s="213"/>
      <c r="AK12" s="213"/>
      <c r="AL12" s="213"/>
      <c r="AM12" s="213"/>
    </row>
    <row r="13" spans="1:48" x14ac:dyDescent="0.3">
      <c r="L13" s="210"/>
      <c r="M13" s="210"/>
      <c r="AI13" s="212"/>
      <c r="AJ13" s="213"/>
      <c r="AK13" s="213"/>
      <c r="AL13" s="213"/>
      <c r="AM13" s="213"/>
    </row>
    <row r="14" spans="1:48" x14ac:dyDescent="0.3">
      <c r="L14" s="210"/>
      <c r="M14" s="210"/>
      <c r="AI14" s="212"/>
      <c r="AJ14" s="213"/>
      <c r="AK14" s="213"/>
      <c r="AL14" s="213"/>
      <c r="AM14" s="213"/>
    </row>
    <row r="15" spans="1:48" x14ac:dyDescent="0.3">
      <c r="L15" s="210"/>
      <c r="M15" s="210"/>
      <c r="AI15" s="212"/>
      <c r="AJ15" s="213"/>
      <c r="AK15" s="213"/>
      <c r="AL15" s="213"/>
      <c r="AM15" s="213"/>
    </row>
    <row r="16" spans="1:48" x14ac:dyDescent="0.3">
      <c r="L16" s="210"/>
      <c r="M16" s="210"/>
      <c r="AI16" s="212"/>
      <c r="AJ16" s="213"/>
      <c r="AK16" s="213"/>
      <c r="AL16" s="213"/>
      <c r="AM16" s="213"/>
    </row>
  </sheetData>
  <pageMargins left="0.7" right="0.7" top="0.75" bottom="0.75" header="0.3" footer="0.3"/>
  <pageSetup orientation="portrait" horizontalDpi="90" verticalDpi="9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7"/>
  <dimension ref="A1:AB20"/>
  <sheetViews>
    <sheetView showRowColHeaders="0" zoomScale="85" zoomScaleNormal="85" workbookViewId="0">
      <selection activeCell="G12" sqref="G12"/>
    </sheetView>
  </sheetViews>
  <sheetFormatPr defaultRowHeight="14.4" x14ac:dyDescent="0.3"/>
  <cols>
    <col min="1" max="1" width="10.6640625" bestFit="1" customWidth="1"/>
    <col min="2" max="2" width="19.44140625" customWidth="1"/>
    <col min="3" max="3" width="16.44140625" bestFit="1" customWidth="1"/>
    <col min="4" max="4" width="13.88671875" bestFit="1" customWidth="1"/>
    <col min="5" max="5" width="13.5546875" bestFit="1" customWidth="1"/>
    <col min="6" max="6" width="11.5546875" bestFit="1" customWidth="1"/>
    <col min="7" max="7" width="28" bestFit="1" customWidth="1"/>
    <col min="11" max="11" width="15.6640625" bestFit="1" customWidth="1"/>
  </cols>
  <sheetData>
    <row r="1" spans="1:28" ht="15" customHeight="1" thickBot="1" x14ac:dyDescent="0.35">
      <c r="A1" s="7" t="s">
        <v>81</v>
      </c>
      <c r="B1" s="8" t="s">
        <v>169</v>
      </c>
      <c r="C1" s="8" t="s">
        <v>123</v>
      </c>
      <c r="D1" s="8" t="s">
        <v>170</v>
      </c>
      <c r="E1" s="8" t="s">
        <v>171</v>
      </c>
      <c r="F1" s="8" t="s">
        <v>125</v>
      </c>
      <c r="G1" s="8" t="s">
        <v>130</v>
      </c>
      <c r="H1" s="9" t="s">
        <v>128</v>
      </c>
      <c r="AB1" t="s">
        <v>172</v>
      </c>
    </row>
    <row r="2" spans="1:28" ht="15" customHeight="1" thickBot="1" x14ac:dyDescent="0.35">
      <c r="A2" s="6">
        <v>24</v>
      </c>
      <c r="B2" s="12" t="s">
        <v>173</v>
      </c>
      <c r="C2" s="12" t="s">
        <v>1172</v>
      </c>
      <c r="D2" s="69">
        <v>3500000</v>
      </c>
      <c r="E2" s="69">
        <v>1807937.48</v>
      </c>
      <c r="F2" s="12" t="s">
        <v>174</v>
      </c>
      <c r="G2" s="16">
        <v>46219</v>
      </c>
      <c r="H2" s="13"/>
      <c r="AB2" t="s">
        <v>173</v>
      </c>
    </row>
    <row r="3" spans="1:28" x14ac:dyDescent="0.3">
      <c r="D3" s="82"/>
    </row>
    <row r="4" spans="1:28" x14ac:dyDescent="0.3">
      <c r="A4" s="4"/>
      <c r="B4" s="4"/>
      <c r="D4" s="1"/>
      <c r="E4" s="4"/>
    </row>
    <row r="5" spans="1:28" x14ac:dyDescent="0.3">
      <c r="A5" t="s">
        <v>1173</v>
      </c>
      <c r="D5" s="1"/>
    </row>
    <row r="6" spans="1:28" x14ac:dyDescent="0.3">
      <c r="D6" s="1"/>
    </row>
    <row r="7" spans="1:28" x14ac:dyDescent="0.3">
      <c r="D7" s="1"/>
    </row>
    <row r="8" spans="1:28" x14ac:dyDescent="0.3">
      <c r="D8" s="1"/>
    </row>
    <row r="9" spans="1:28" x14ac:dyDescent="0.3">
      <c r="D9" s="1"/>
    </row>
    <row r="13" spans="1:28" x14ac:dyDescent="0.3">
      <c r="A13" s="1"/>
      <c r="B13" s="1"/>
    </row>
    <row r="14" spans="1:28" x14ac:dyDescent="0.3">
      <c r="A14" s="1"/>
      <c r="B14" s="1"/>
    </row>
    <row r="15" spans="1:28" x14ac:dyDescent="0.3">
      <c r="A15" s="1"/>
      <c r="B15" s="1"/>
    </row>
    <row r="16" spans="1:28" x14ac:dyDescent="0.3">
      <c r="A16" s="1"/>
      <c r="B16" s="1"/>
    </row>
    <row r="17" spans="1:2" x14ac:dyDescent="0.3">
      <c r="A17" s="1"/>
      <c r="B17" s="1"/>
    </row>
    <row r="18" spans="1:2" x14ac:dyDescent="0.3">
      <c r="A18" s="1"/>
      <c r="B18" s="1"/>
    </row>
    <row r="19" spans="1:2" x14ac:dyDescent="0.3">
      <c r="A19" s="1"/>
      <c r="B19" s="1"/>
    </row>
    <row r="20" spans="1:2" x14ac:dyDescent="0.3">
      <c r="A20" s="1"/>
      <c r="B20" s="1"/>
    </row>
  </sheetData>
  <dataValidations count="1">
    <dataValidation type="list" allowBlank="1" showInputMessage="1" showErrorMessage="1" sqref="B2" xr:uid="{00000000-0002-0000-0200-000000000000}">
      <formula1>$AB$1:$AB$2</formula1>
    </dataValidation>
  </dataValidations>
  <pageMargins left="0.7" right="0.7" top="0.75" bottom="0.75" header="0.3" footer="0.3"/>
  <pageSetup orientation="portrait" horizontalDpi="90" verticalDpi="9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InputBoundPortfolio.BoundPortfolio">
                <anchor moveWithCells="1" sizeWithCells="1">
                  <from>
                    <xdr:col>8</xdr:col>
                    <xdr:colOff>388620</xdr:colOff>
                    <xdr:row>1</xdr:row>
                    <xdr:rowOff>83820</xdr:rowOff>
                  </from>
                  <to>
                    <xdr:col>10</xdr:col>
                    <xdr:colOff>883920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E67A8-B412-4A4B-B827-E03E21B40628}">
  <dimension ref="A2:AK57"/>
  <sheetViews>
    <sheetView topLeftCell="I1" workbookViewId="0">
      <selection activeCell="AB57" sqref="AB57"/>
    </sheetView>
  </sheetViews>
  <sheetFormatPr defaultColWidth="8.88671875" defaultRowHeight="14.4" x14ac:dyDescent="0.3"/>
  <cols>
    <col min="1" max="1" width="11.5546875" style="151" bestFit="1" customWidth="1"/>
    <col min="2" max="2" width="11.5546875" style="151" customWidth="1"/>
    <col min="3" max="3" width="9.109375" customWidth="1"/>
    <col min="4" max="4" width="8" style="170" customWidth="1"/>
    <col min="5" max="5" width="15.21875" style="170" customWidth="1"/>
    <col min="6" max="6" width="9" style="170" bestFit="1" customWidth="1"/>
    <col min="7" max="7" width="9.44140625" style="172" bestFit="1" customWidth="1"/>
    <col min="8" max="8" width="24.77734375" style="170" customWidth="1"/>
    <col min="9" max="9" width="9" style="170" customWidth="1"/>
    <col min="10" max="10" width="11.6640625" style="170" customWidth="1"/>
    <col min="11" max="12" width="6.109375" style="170" customWidth="1"/>
    <col min="13" max="13" width="10.88671875" style="170" bestFit="1" customWidth="1"/>
    <col min="14" max="14" width="8.33203125" style="170" bestFit="1" customWidth="1"/>
    <col min="15" max="15" width="10.109375" style="173" customWidth="1"/>
    <col min="16" max="16" width="23" style="170" customWidth="1"/>
    <col min="17" max="17" width="6.109375" style="174" customWidth="1"/>
    <col min="18" max="18" width="10.6640625" style="174" customWidth="1"/>
    <col min="19" max="19" width="10.33203125" style="174" customWidth="1"/>
    <col min="20" max="20" width="6.6640625" style="174" customWidth="1"/>
    <col min="21" max="21" width="6.5546875" style="175" customWidth="1"/>
    <col min="22" max="22" width="8.88671875" style="173"/>
    <col min="23" max="23" width="5.33203125" style="173" customWidth="1"/>
    <col min="24" max="24" width="8.33203125" style="173" customWidth="1"/>
    <col min="25" max="25" width="9" style="173" customWidth="1"/>
    <col min="26" max="26" width="6.88671875" style="173" bestFit="1" customWidth="1"/>
    <col min="27" max="27" width="9" style="173" bestFit="1" customWidth="1"/>
    <col min="28" max="28" width="9.44140625" style="173" bestFit="1" customWidth="1"/>
    <col min="29" max="29" width="9.109375" style="173" customWidth="1"/>
    <col min="30" max="30" width="8" style="173" customWidth="1"/>
    <col min="31" max="31" width="9.33203125" style="173" customWidth="1"/>
    <col min="32" max="32" width="7.109375" style="173" customWidth="1"/>
    <col min="33" max="33" width="9.109375" style="174" customWidth="1"/>
    <col min="34" max="34" width="9.44140625" style="174" customWidth="1"/>
    <col min="35" max="35" width="7.5546875" style="174" customWidth="1"/>
    <col min="36" max="36" width="8.33203125" style="173" customWidth="1"/>
    <col min="37" max="37" width="7" style="173" customWidth="1"/>
    <col min="38" max="16384" width="8.88671875" style="170"/>
  </cols>
  <sheetData>
    <row r="2" spans="1:37" ht="21" x14ac:dyDescent="0.4">
      <c r="E2" s="171" t="s">
        <v>933</v>
      </c>
      <c r="AG2" s="173"/>
      <c r="AH2" s="173"/>
      <c r="AI2" s="173"/>
    </row>
    <row r="3" spans="1:37" ht="17.399999999999999" customHeight="1" x14ac:dyDescent="0.3">
      <c r="I3" s="176" t="s">
        <v>135</v>
      </c>
      <c r="J3" s="177">
        <v>17000000</v>
      </c>
      <c r="M3" s="178"/>
      <c r="O3" s="179"/>
      <c r="V3" s="180"/>
      <c r="W3" s="180"/>
      <c r="X3" s="180"/>
      <c r="Y3" s="180"/>
      <c r="Z3" s="180"/>
      <c r="AA3" s="180"/>
      <c r="AB3" s="180"/>
      <c r="AC3" s="180"/>
      <c r="AD3" s="180"/>
      <c r="AE3" s="180"/>
      <c r="AF3" s="180"/>
      <c r="AG3" s="180"/>
      <c r="AH3" s="180"/>
      <c r="AI3" s="180"/>
      <c r="AJ3" s="180"/>
      <c r="AK3" s="180"/>
    </row>
    <row r="4" spans="1:37" x14ac:dyDescent="0.3">
      <c r="N4" s="181"/>
      <c r="Q4" s="182" t="s">
        <v>934</v>
      </c>
      <c r="V4" s="173">
        <f>SUM(V8:V56)</f>
        <v>13425000</v>
      </c>
      <c r="AA4" s="173">
        <f>SUM(AA8:AA56)</f>
        <v>13903887.5</v>
      </c>
      <c r="AB4" s="173">
        <f>SUM(AB8:AB56)</f>
        <v>13995145.050000003</v>
      </c>
      <c r="AC4" s="173">
        <f>SUM(AC8:AC56)</f>
        <v>14017459.16</v>
      </c>
      <c r="AJ4" s="173">
        <f>SUM(AJ8:AJ56)</f>
        <v>1606421.2453847504</v>
      </c>
      <c r="AK4" s="173">
        <f>SUM(AK8:AK56)</f>
        <v>288500</v>
      </c>
    </row>
    <row r="5" spans="1:37" ht="12" customHeight="1" x14ac:dyDescent="0.3">
      <c r="D5" s="183"/>
      <c r="E5" s="183"/>
      <c r="F5" s="183"/>
      <c r="G5" s="184"/>
      <c r="H5" s="184"/>
      <c r="I5" s="184"/>
      <c r="J5" s="184"/>
      <c r="K5" s="184"/>
      <c r="L5" s="184"/>
      <c r="M5" s="184"/>
      <c r="N5" s="184"/>
      <c r="O5" s="185"/>
      <c r="P5" s="184"/>
      <c r="Q5" s="182" t="s">
        <v>935</v>
      </c>
      <c r="R5" s="184"/>
      <c r="S5" s="184"/>
      <c r="T5" s="184"/>
      <c r="U5" s="184"/>
      <c r="V5" s="186">
        <f>SUM(V8:V56)</f>
        <v>13425000</v>
      </c>
      <c r="W5" s="186"/>
      <c r="X5" s="186"/>
      <c r="Z5" s="187"/>
      <c r="AA5" s="186">
        <f>SUM(AA8:AA56)</f>
        <v>13903887.5</v>
      </c>
      <c r="AB5" s="186">
        <f>SUM(AB8:AB56)</f>
        <v>13995145.050000003</v>
      </c>
      <c r="AC5" s="186">
        <f>SUM(AC8:AC56)</f>
        <v>14017459.16</v>
      </c>
      <c r="AD5" s="186"/>
      <c r="AE5" s="187"/>
      <c r="AF5" s="187"/>
      <c r="AG5" s="188"/>
      <c r="AH5" s="188"/>
      <c r="AI5" s="188"/>
      <c r="AJ5" s="186">
        <f>SUM(AJ8:AJ56)</f>
        <v>1606421.2453847504</v>
      </c>
      <c r="AK5" s="186">
        <f>SUM(AK8:AK56)</f>
        <v>288500</v>
      </c>
    </row>
    <row r="6" spans="1:37" ht="12" customHeight="1" x14ac:dyDescent="0.3">
      <c r="D6" s="183"/>
      <c r="E6" s="183"/>
      <c r="F6" s="183"/>
      <c r="G6" s="184"/>
      <c r="H6" s="184"/>
      <c r="I6" s="184"/>
      <c r="J6" s="184"/>
      <c r="K6" s="184"/>
      <c r="L6" s="184"/>
      <c r="M6" s="184"/>
      <c r="N6" s="184"/>
      <c r="O6" s="185"/>
      <c r="P6" s="184"/>
      <c r="Q6" s="184"/>
      <c r="R6" s="184"/>
      <c r="S6" s="184"/>
      <c r="T6" s="184"/>
      <c r="U6" s="184"/>
      <c r="V6" s="186"/>
      <c r="W6" s="186"/>
      <c r="X6" s="186"/>
      <c r="Z6" s="187"/>
      <c r="AA6" s="186"/>
      <c r="AB6" s="186"/>
      <c r="AC6" s="186"/>
      <c r="AD6" s="186"/>
      <c r="AE6" s="187"/>
      <c r="AF6" s="187"/>
      <c r="AG6" s="188"/>
      <c r="AH6" s="188"/>
      <c r="AI6" s="188"/>
      <c r="AJ6" s="186"/>
      <c r="AK6" s="186"/>
    </row>
    <row r="7" spans="1:37" ht="37.799999999999997" x14ac:dyDescent="0.25">
      <c r="A7" s="189" t="s">
        <v>1152</v>
      </c>
      <c r="B7" s="189" t="s">
        <v>81</v>
      </c>
      <c r="C7" s="189" t="s">
        <v>194</v>
      </c>
      <c r="D7" s="189" t="s">
        <v>936</v>
      </c>
      <c r="E7" s="189" t="s">
        <v>937</v>
      </c>
      <c r="F7" s="189" t="s">
        <v>938</v>
      </c>
      <c r="G7" s="189" t="s">
        <v>939</v>
      </c>
      <c r="H7" s="189" t="s">
        <v>940</v>
      </c>
      <c r="I7" s="189" t="s">
        <v>23</v>
      </c>
      <c r="J7" s="189" t="s">
        <v>941</v>
      </c>
      <c r="K7" s="190" t="s">
        <v>942</v>
      </c>
      <c r="L7" s="190" t="s">
        <v>943</v>
      </c>
      <c r="M7" s="190" t="s">
        <v>944</v>
      </c>
      <c r="N7" s="190" t="s">
        <v>945</v>
      </c>
      <c r="O7" s="191" t="s">
        <v>946</v>
      </c>
      <c r="P7" s="189" t="s">
        <v>947</v>
      </c>
      <c r="Q7" s="192" t="s">
        <v>948</v>
      </c>
      <c r="R7" s="192" t="s">
        <v>949</v>
      </c>
      <c r="S7" s="192" t="s">
        <v>950</v>
      </c>
      <c r="T7" s="192" t="s">
        <v>951</v>
      </c>
      <c r="U7" s="192" t="s">
        <v>952</v>
      </c>
      <c r="V7" s="192" t="s">
        <v>953</v>
      </c>
      <c r="W7" s="192" t="s">
        <v>954</v>
      </c>
      <c r="X7" s="192" t="s">
        <v>955</v>
      </c>
      <c r="Y7" s="192" t="s">
        <v>956</v>
      </c>
      <c r="Z7" s="192" t="s">
        <v>957</v>
      </c>
      <c r="AA7" s="193" t="s">
        <v>958</v>
      </c>
      <c r="AB7" s="194" t="s">
        <v>959</v>
      </c>
      <c r="AC7" s="195" t="s">
        <v>960</v>
      </c>
      <c r="AD7" s="194" t="s">
        <v>961</v>
      </c>
      <c r="AE7" s="192" t="s">
        <v>962</v>
      </c>
      <c r="AF7" s="192" t="s">
        <v>963</v>
      </c>
      <c r="AG7" s="196" t="s">
        <v>964</v>
      </c>
      <c r="AH7" s="196" t="s">
        <v>965</v>
      </c>
      <c r="AI7" s="196" t="s">
        <v>966</v>
      </c>
      <c r="AJ7" s="194" t="s">
        <v>967</v>
      </c>
      <c r="AK7" s="194" t="s">
        <v>968</v>
      </c>
    </row>
    <row r="8" spans="1:37" ht="13.8" x14ac:dyDescent="0.3">
      <c r="A8" s="197" t="s">
        <v>762</v>
      </c>
      <c r="B8" s="151">
        <v>1</v>
      </c>
      <c r="C8" s="74" t="s">
        <v>197</v>
      </c>
      <c r="D8" s="74" t="s">
        <v>152</v>
      </c>
      <c r="E8" s="74">
        <v>45749</v>
      </c>
      <c r="F8" s="74">
        <v>45750</v>
      </c>
      <c r="G8" s="74" t="s">
        <v>969</v>
      </c>
      <c r="H8" s="74" t="s">
        <v>970</v>
      </c>
      <c r="I8" s="74" t="s">
        <v>762</v>
      </c>
      <c r="J8" s="74" t="s">
        <v>150</v>
      </c>
      <c r="K8" s="74" t="s">
        <v>154</v>
      </c>
      <c r="L8" s="74" t="s">
        <v>153</v>
      </c>
      <c r="M8" s="74" t="s">
        <v>971</v>
      </c>
      <c r="N8" s="178" t="s">
        <v>972</v>
      </c>
      <c r="O8" s="173">
        <v>150000000</v>
      </c>
      <c r="P8" s="74" t="s">
        <v>973</v>
      </c>
      <c r="Q8" s="174">
        <v>7.9000000000000008E-3</v>
      </c>
      <c r="R8" s="174">
        <v>2.3432318670297495E-2</v>
      </c>
      <c r="S8" s="174">
        <v>6.1507199764251702E-2</v>
      </c>
      <c r="T8" s="198">
        <v>101.32</v>
      </c>
      <c r="U8" s="175">
        <v>101</v>
      </c>
      <c r="V8" s="173">
        <v>250000</v>
      </c>
      <c r="W8" s="173" t="s">
        <v>174</v>
      </c>
      <c r="X8" s="175">
        <v>1</v>
      </c>
      <c r="Y8" s="173">
        <v>0</v>
      </c>
      <c r="Z8" s="173">
        <v>2</v>
      </c>
      <c r="AA8" s="173">
        <f t="shared" ref="AA8:AA56" si="0">U8*V8*X8/100</f>
        <v>252500</v>
      </c>
      <c r="AB8" s="173">
        <f>AA8+Y8</f>
        <v>252500</v>
      </c>
      <c r="AC8" s="173">
        <v>254200</v>
      </c>
      <c r="AD8" s="175">
        <v>3.4109589041095889</v>
      </c>
      <c r="AE8" s="199">
        <v>5.6114689999999995E-2</v>
      </c>
      <c r="AF8" s="199">
        <v>1.810749054324216E-2</v>
      </c>
      <c r="AG8" s="174">
        <f>AF8-Q8</f>
        <v>1.0207490543242159E-2</v>
      </c>
      <c r="AH8" s="174">
        <f>Q8/AF8</f>
        <v>0.43628353587340873</v>
      </c>
      <c r="AI8" s="175">
        <f>1/AH8</f>
        <v>2.2920874105369822</v>
      </c>
      <c r="AJ8" s="173">
        <f>V8*S8</f>
        <v>15376.799941062925</v>
      </c>
      <c r="AK8" s="173">
        <f>V8*Q8</f>
        <v>1975.0000000000002</v>
      </c>
    </row>
    <row r="9" spans="1:37" ht="13.8" x14ac:dyDescent="0.3">
      <c r="A9" s="197" t="s">
        <v>879</v>
      </c>
      <c r="B9" s="151">
        <v>3</v>
      </c>
      <c r="C9" s="74" t="s">
        <v>197</v>
      </c>
      <c r="D9" s="74" t="s">
        <v>152</v>
      </c>
      <c r="E9" s="74">
        <v>45751</v>
      </c>
      <c r="F9" s="74">
        <v>45754</v>
      </c>
      <c r="G9" s="74" t="s">
        <v>974</v>
      </c>
      <c r="H9" s="74" t="s">
        <v>975</v>
      </c>
      <c r="I9" s="74" t="s">
        <v>879</v>
      </c>
      <c r="J9" s="74" t="s">
        <v>156</v>
      </c>
      <c r="K9" s="74" t="s">
        <v>976</v>
      </c>
      <c r="L9" s="74" t="s">
        <v>977</v>
      </c>
      <c r="M9" s="74" t="s">
        <v>978</v>
      </c>
      <c r="N9" s="178" t="s">
        <v>979</v>
      </c>
      <c r="O9" s="173">
        <v>30000000</v>
      </c>
      <c r="P9" s="74" t="s">
        <v>980</v>
      </c>
      <c r="Q9" s="174">
        <v>2.6200000000000001E-2</v>
      </c>
      <c r="R9" s="174">
        <v>6.6096556451882379E-2</v>
      </c>
      <c r="S9" s="174">
        <v>0.1041071997642517</v>
      </c>
      <c r="T9" s="198">
        <v>99.76</v>
      </c>
      <c r="U9" s="175">
        <v>100.2</v>
      </c>
      <c r="V9" s="173">
        <v>250000</v>
      </c>
      <c r="W9" s="173" t="s">
        <v>174</v>
      </c>
      <c r="X9" s="175">
        <v>1</v>
      </c>
      <c r="Y9" s="173">
        <v>798.60999999998603</v>
      </c>
      <c r="Z9" s="173">
        <v>20</v>
      </c>
      <c r="AA9" s="173">
        <f t="shared" si="0"/>
        <v>250500</v>
      </c>
      <c r="AB9" s="173">
        <f t="shared" ref="AB9:AB21" si="1">AA9+Y9</f>
        <v>251298.61</v>
      </c>
      <c r="AC9" s="173">
        <v>254500</v>
      </c>
      <c r="AD9" s="175">
        <v>2.419178082191781</v>
      </c>
      <c r="AE9" s="199">
        <v>0.10300053000000001</v>
      </c>
      <c r="AF9" s="199">
        <v>6.499333365984758E-2</v>
      </c>
      <c r="AG9" s="174">
        <f t="shared" ref="AG9:AG21" si="2">AF9-Q9</f>
        <v>3.8793333659847579E-2</v>
      </c>
      <c r="AH9" s="174">
        <f t="shared" ref="AH9:AH21" si="3">Q9/AF9</f>
        <v>0.40311826651517302</v>
      </c>
      <c r="AI9" s="175">
        <f t="shared" ref="AI9:AI56" si="4">1/AH9</f>
        <v>2.4806615900705182</v>
      </c>
      <c r="AJ9" s="173">
        <f t="shared" ref="AJ9:AJ21" si="5">V9*S9</f>
        <v>26026.799941062924</v>
      </c>
      <c r="AK9" s="173">
        <f t="shared" ref="AK9:AK56" si="6">V9*Q9</f>
        <v>6550</v>
      </c>
    </row>
    <row r="10" spans="1:37" ht="13.8" x14ac:dyDescent="0.3">
      <c r="A10" s="197" t="s">
        <v>749</v>
      </c>
      <c r="B10" s="151">
        <v>3</v>
      </c>
      <c r="C10" s="74" t="s">
        <v>197</v>
      </c>
      <c r="D10" s="74" t="s">
        <v>152</v>
      </c>
      <c r="E10" s="74">
        <v>45751</v>
      </c>
      <c r="F10" s="74">
        <v>45754</v>
      </c>
      <c r="G10" s="74" t="s">
        <v>969</v>
      </c>
      <c r="H10" s="74" t="s">
        <v>981</v>
      </c>
      <c r="I10" s="74" t="s">
        <v>749</v>
      </c>
      <c r="J10" s="74" t="s">
        <v>202</v>
      </c>
      <c r="K10" s="74" t="s">
        <v>976</v>
      </c>
      <c r="L10" s="74" t="s">
        <v>153</v>
      </c>
      <c r="M10" s="74" t="s">
        <v>982</v>
      </c>
      <c r="N10" s="178" t="s">
        <v>983</v>
      </c>
      <c r="O10" s="173">
        <v>200000000</v>
      </c>
      <c r="P10" s="74" t="s">
        <v>984</v>
      </c>
      <c r="Q10" s="174">
        <v>1.0800000000000001E-2</v>
      </c>
      <c r="R10" s="174">
        <v>5.2491396036291271E-2</v>
      </c>
      <c r="S10" s="174">
        <v>9.0999999999999998E-2</v>
      </c>
      <c r="T10" s="198">
        <v>102.71</v>
      </c>
      <c r="U10" s="175">
        <v>102.85</v>
      </c>
      <c r="V10" s="173">
        <v>250000</v>
      </c>
      <c r="W10" s="173" t="s">
        <v>174</v>
      </c>
      <c r="X10" s="175">
        <v>1</v>
      </c>
      <c r="Y10" s="173">
        <v>1020.8299999999872</v>
      </c>
      <c r="Z10" s="173">
        <v>28</v>
      </c>
      <c r="AA10" s="173">
        <f t="shared" si="0"/>
        <v>257125</v>
      </c>
      <c r="AB10" s="173">
        <f t="shared" si="1"/>
        <v>258145.83</v>
      </c>
      <c r="AC10" s="173">
        <v>259025</v>
      </c>
      <c r="AD10" s="175">
        <v>1.1726027397260275</v>
      </c>
      <c r="AE10" s="199">
        <v>7.670283E-2</v>
      </c>
      <c r="AF10" s="199">
        <v>3.530283154132044E-2</v>
      </c>
      <c r="AG10" s="174">
        <f t="shared" si="2"/>
        <v>2.4502831541320439E-2</v>
      </c>
      <c r="AH10" s="174">
        <f t="shared" si="3"/>
        <v>0.30592446918483202</v>
      </c>
      <c r="AI10" s="175">
        <f t="shared" si="4"/>
        <v>3.2687806982704108</v>
      </c>
      <c r="AJ10" s="173">
        <f t="shared" si="5"/>
        <v>22750</v>
      </c>
      <c r="AK10" s="173">
        <f t="shared" si="6"/>
        <v>2700</v>
      </c>
    </row>
    <row r="11" spans="1:37" ht="13.8" x14ac:dyDescent="0.3">
      <c r="A11" s="197" t="s">
        <v>807</v>
      </c>
      <c r="B11" s="151">
        <v>3</v>
      </c>
      <c r="C11" s="74" t="s">
        <v>197</v>
      </c>
      <c r="D11" s="74" t="s">
        <v>152</v>
      </c>
      <c r="E11" s="74">
        <v>45751</v>
      </c>
      <c r="F11" s="74">
        <v>45754</v>
      </c>
      <c r="G11" s="74" t="s">
        <v>969</v>
      </c>
      <c r="H11" s="74" t="s">
        <v>985</v>
      </c>
      <c r="I11" s="74" t="s">
        <v>807</v>
      </c>
      <c r="J11" s="74" t="s">
        <v>158</v>
      </c>
      <c r="K11" s="74" t="s">
        <v>976</v>
      </c>
      <c r="L11" s="74" t="s">
        <v>153</v>
      </c>
      <c r="M11" s="74" t="s">
        <v>986</v>
      </c>
      <c r="N11" s="178" t="s">
        <v>987</v>
      </c>
      <c r="O11" s="173">
        <v>120000000</v>
      </c>
      <c r="P11" s="74" t="s">
        <v>988</v>
      </c>
      <c r="Q11" s="174">
        <v>1.5100000000000001E-2</v>
      </c>
      <c r="R11" s="174">
        <v>2.8033323381286356E-2</v>
      </c>
      <c r="S11" s="174">
        <v>6.699999999999999E-2</v>
      </c>
      <c r="T11" s="198">
        <v>99.85</v>
      </c>
      <c r="U11" s="175">
        <v>101</v>
      </c>
      <c r="V11" s="173">
        <v>250000</v>
      </c>
      <c r="W11" s="173" t="s">
        <v>174</v>
      </c>
      <c r="X11" s="175">
        <v>1</v>
      </c>
      <c r="Y11" s="173">
        <v>114.57999999998719</v>
      </c>
      <c r="Z11" s="173">
        <v>6</v>
      </c>
      <c r="AA11" s="173">
        <f t="shared" si="0"/>
        <v>252500</v>
      </c>
      <c r="AB11" s="173">
        <f t="shared" si="1"/>
        <v>252614.58</v>
      </c>
      <c r="AC11" s="173">
        <v>252300</v>
      </c>
      <c r="AD11" s="175">
        <v>0.41643835616438357</v>
      </c>
      <c r="AE11" s="199">
        <v>5.9638299999999998E-2</v>
      </c>
      <c r="AF11" s="199">
        <v>1.7938303574234871E-2</v>
      </c>
      <c r="AG11" s="174">
        <f t="shared" si="2"/>
        <v>2.8383035742348701E-3</v>
      </c>
      <c r="AH11" s="174">
        <f t="shared" si="3"/>
        <v>0.8417741364176945</v>
      </c>
      <c r="AI11" s="175">
        <f t="shared" si="4"/>
        <v>1.1879671241215146</v>
      </c>
      <c r="AJ11" s="173">
        <f t="shared" si="5"/>
        <v>16749.999999999996</v>
      </c>
      <c r="AK11" s="173">
        <f t="shared" si="6"/>
        <v>3775</v>
      </c>
    </row>
    <row r="12" spans="1:37" ht="13.8" x14ac:dyDescent="0.3">
      <c r="A12" s="197" t="s">
        <v>854</v>
      </c>
      <c r="B12" s="151">
        <v>1</v>
      </c>
      <c r="C12" s="74" t="s">
        <v>197</v>
      </c>
      <c r="D12" s="74" t="s">
        <v>152</v>
      </c>
      <c r="E12" s="74">
        <v>45751</v>
      </c>
      <c r="F12" s="74">
        <v>45754</v>
      </c>
      <c r="G12" s="74" t="s">
        <v>974</v>
      </c>
      <c r="H12" s="74" t="s">
        <v>989</v>
      </c>
      <c r="I12" s="74" t="s">
        <v>854</v>
      </c>
      <c r="J12" s="74" t="s">
        <v>205</v>
      </c>
      <c r="K12" s="74" t="s">
        <v>154</v>
      </c>
      <c r="L12" s="74" t="s">
        <v>153</v>
      </c>
      <c r="M12" s="74" t="s">
        <v>990</v>
      </c>
      <c r="N12" s="178" t="s">
        <v>991</v>
      </c>
      <c r="O12" s="173">
        <v>300000000</v>
      </c>
      <c r="P12" s="74" t="s">
        <v>992</v>
      </c>
      <c r="Q12" s="174">
        <v>1.0500000000000001E-2</v>
      </c>
      <c r="R12" s="174">
        <v>5.4958647734771354E-2</v>
      </c>
      <c r="S12" s="174">
        <v>9.3599999999999989E-2</v>
      </c>
      <c r="T12" s="198">
        <v>102.96</v>
      </c>
      <c r="U12" s="175">
        <v>103.95</v>
      </c>
      <c r="V12" s="173">
        <v>250000</v>
      </c>
      <c r="W12" s="173" t="s">
        <v>174</v>
      </c>
      <c r="X12" s="175">
        <v>1</v>
      </c>
      <c r="Y12" s="173">
        <v>1393.8399999999965</v>
      </c>
      <c r="Z12" s="173">
        <v>37</v>
      </c>
      <c r="AA12" s="173">
        <f t="shared" si="0"/>
        <v>259875</v>
      </c>
      <c r="AB12" s="173">
        <f t="shared" si="1"/>
        <v>261268.84</v>
      </c>
      <c r="AC12" s="173">
        <v>257000</v>
      </c>
      <c r="AD12" s="175">
        <v>1.0849315068493151</v>
      </c>
      <c r="AE12" s="199">
        <v>7.1220699999999998E-2</v>
      </c>
      <c r="AF12" s="199">
        <v>2.9620703976703605E-2</v>
      </c>
      <c r="AG12" s="174">
        <f t="shared" si="2"/>
        <v>1.9120703976703603E-2</v>
      </c>
      <c r="AH12" s="174">
        <f t="shared" si="3"/>
        <v>0.35448178437143657</v>
      </c>
      <c r="AI12" s="175">
        <f t="shared" si="4"/>
        <v>2.821019426352724</v>
      </c>
      <c r="AJ12" s="173">
        <f t="shared" si="5"/>
        <v>23399.999999999996</v>
      </c>
      <c r="AK12" s="173">
        <f t="shared" si="6"/>
        <v>2625</v>
      </c>
    </row>
    <row r="13" spans="1:37" ht="13.8" x14ac:dyDescent="0.3">
      <c r="A13" s="197" t="s">
        <v>738</v>
      </c>
      <c r="B13" s="151">
        <v>1</v>
      </c>
      <c r="C13" s="74" t="s">
        <v>197</v>
      </c>
      <c r="D13" s="74" t="s">
        <v>152</v>
      </c>
      <c r="E13" s="74">
        <v>45755</v>
      </c>
      <c r="F13" s="74">
        <v>45756</v>
      </c>
      <c r="G13" s="74" t="s">
        <v>969</v>
      </c>
      <c r="H13" s="74" t="s">
        <v>993</v>
      </c>
      <c r="I13" s="74" t="s">
        <v>738</v>
      </c>
      <c r="J13" s="74" t="s">
        <v>207</v>
      </c>
      <c r="K13" s="74" t="s">
        <v>976</v>
      </c>
      <c r="L13" s="74" t="s">
        <v>153</v>
      </c>
      <c r="M13" s="74" t="s">
        <v>994</v>
      </c>
      <c r="N13" s="178" t="s">
        <v>995</v>
      </c>
      <c r="O13" s="173">
        <v>300000000</v>
      </c>
      <c r="P13" s="74" t="s">
        <v>996</v>
      </c>
      <c r="Q13" s="174">
        <v>1.43E-2</v>
      </c>
      <c r="R13" s="174">
        <v>3.4966639433595285E-2</v>
      </c>
      <c r="S13" s="174">
        <v>7.3784539999999996E-2</v>
      </c>
      <c r="T13" s="198">
        <v>99.62</v>
      </c>
      <c r="U13" s="175">
        <v>100.25</v>
      </c>
      <c r="V13" s="173">
        <v>250000</v>
      </c>
      <c r="W13" s="173" t="s">
        <v>174</v>
      </c>
      <c r="X13" s="175">
        <v>1</v>
      </c>
      <c r="Y13" s="173">
        <v>729.17000000001281</v>
      </c>
      <c r="Z13" s="173">
        <v>30</v>
      </c>
      <c r="AA13" s="173">
        <f t="shared" si="0"/>
        <v>250625</v>
      </c>
      <c r="AB13" s="173">
        <f t="shared" si="1"/>
        <v>251354.17</v>
      </c>
      <c r="AC13" s="173">
        <v>253225</v>
      </c>
      <c r="AD13" s="175">
        <v>2.3369863013698629</v>
      </c>
      <c r="AE13" s="199">
        <v>7.5587660000000001E-2</v>
      </c>
      <c r="AF13" s="199">
        <v>3.4027664109511808E-2</v>
      </c>
      <c r="AG13" s="174">
        <f t="shared" si="2"/>
        <v>1.9727664109511808E-2</v>
      </c>
      <c r="AH13" s="174">
        <f t="shared" si="3"/>
        <v>0.42024630177311223</v>
      </c>
      <c r="AI13" s="175">
        <f t="shared" si="4"/>
        <v>2.3795569307350917</v>
      </c>
      <c r="AJ13" s="173">
        <f t="shared" si="5"/>
        <v>18446.134999999998</v>
      </c>
      <c r="AK13" s="173">
        <f t="shared" si="6"/>
        <v>3575</v>
      </c>
    </row>
    <row r="14" spans="1:37" ht="13.8" x14ac:dyDescent="0.3">
      <c r="A14" s="197" t="s">
        <v>877</v>
      </c>
      <c r="B14" s="151">
        <v>3</v>
      </c>
      <c r="C14" s="74" t="s">
        <v>197</v>
      </c>
      <c r="D14" s="74" t="s">
        <v>152</v>
      </c>
      <c r="E14" s="74">
        <v>45755</v>
      </c>
      <c r="F14" s="74">
        <v>45756</v>
      </c>
      <c r="G14" s="74" t="s">
        <v>974</v>
      </c>
      <c r="H14" s="74" t="s">
        <v>997</v>
      </c>
      <c r="I14" s="74" t="s">
        <v>877</v>
      </c>
      <c r="J14" s="74" t="s">
        <v>208</v>
      </c>
      <c r="K14" s="74" t="s">
        <v>976</v>
      </c>
      <c r="L14" s="74" t="s">
        <v>153</v>
      </c>
      <c r="M14" s="74" t="s">
        <v>998</v>
      </c>
      <c r="N14" s="178" t="s">
        <v>999</v>
      </c>
      <c r="O14" s="173">
        <v>200000000</v>
      </c>
      <c r="P14" s="74" t="s">
        <v>1000</v>
      </c>
      <c r="Q14" s="174">
        <v>1.0800000000000001E-2</v>
      </c>
      <c r="R14" s="174">
        <v>5.1352938521487895E-2</v>
      </c>
      <c r="S14" s="174">
        <v>8.9900000000000008E-2</v>
      </c>
      <c r="T14" s="198">
        <v>101.78</v>
      </c>
      <c r="U14" s="175">
        <v>100.65</v>
      </c>
      <c r="V14" s="173">
        <v>250000</v>
      </c>
      <c r="W14" s="173" t="s">
        <v>174</v>
      </c>
      <c r="X14" s="175">
        <v>1</v>
      </c>
      <c r="Y14" s="173">
        <v>69.440000000002328</v>
      </c>
      <c r="Z14" s="173">
        <v>2</v>
      </c>
      <c r="AA14" s="173">
        <f t="shared" si="0"/>
        <v>251625</v>
      </c>
      <c r="AB14" s="173">
        <f t="shared" si="1"/>
        <v>251694.44</v>
      </c>
      <c r="AC14" s="173">
        <v>257637.5</v>
      </c>
      <c r="AD14" s="175">
        <v>2.4164383561643836</v>
      </c>
      <c r="AE14" s="199">
        <v>9.0425339999999993E-2</v>
      </c>
      <c r="AF14" s="199">
        <v>4.8925337953386092E-2</v>
      </c>
      <c r="AG14" s="174">
        <f t="shared" si="2"/>
        <v>3.8125337953386088E-2</v>
      </c>
      <c r="AH14" s="174">
        <f t="shared" si="3"/>
        <v>0.22074451504637055</v>
      </c>
      <c r="AI14" s="175">
        <f t="shared" si="4"/>
        <v>4.5301238845727863</v>
      </c>
      <c r="AJ14" s="173">
        <f t="shared" si="5"/>
        <v>22475.000000000004</v>
      </c>
      <c r="AK14" s="173">
        <f t="shared" si="6"/>
        <v>2700</v>
      </c>
    </row>
    <row r="15" spans="1:37" ht="13.8" x14ac:dyDescent="0.3">
      <c r="A15" s="197" t="s">
        <v>837</v>
      </c>
      <c r="B15" s="151">
        <v>2</v>
      </c>
      <c r="C15" s="74" t="s">
        <v>197</v>
      </c>
      <c r="D15" s="74" t="s">
        <v>152</v>
      </c>
      <c r="E15" s="74">
        <v>45756</v>
      </c>
      <c r="F15" s="74">
        <v>45757</v>
      </c>
      <c r="G15" s="74" t="s">
        <v>969</v>
      </c>
      <c r="H15" s="74" t="s">
        <v>1001</v>
      </c>
      <c r="I15" s="74" t="s">
        <v>837</v>
      </c>
      <c r="J15" s="74" t="s">
        <v>160</v>
      </c>
      <c r="K15" s="74" t="s">
        <v>976</v>
      </c>
      <c r="L15" s="74" t="s">
        <v>153</v>
      </c>
      <c r="M15" s="74" t="s">
        <v>1002</v>
      </c>
      <c r="N15" s="178" t="s">
        <v>983</v>
      </c>
      <c r="O15" s="173">
        <v>255000000</v>
      </c>
      <c r="P15" s="74" t="s">
        <v>1003</v>
      </c>
      <c r="Q15" s="174">
        <v>1.4E-3</v>
      </c>
      <c r="R15" s="174">
        <v>4.0194036960798721E-2</v>
      </c>
      <c r="S15" s="174">
        <v>7.8799999999999995E-2</v>
      </c>
      <c r="T15" s="198">
        <v>102.14</v>
      </c>
      <c r="U15" s="175">
        <v>102.3</v>
      </c>
      <c r="V15" s="173">
        <v>250000</v>
      </c>
      <c r="W15" s="173" t="s">
        <v>174</v>
      </c>
      <c r="X15" s="175">
        <v>1</v>
      </c>
      <c r="Y15" s="173">
        <v>55.559999999997672</v>
      </c>
      <c r="Z15" s="173">
        <v>2</v>
      </c>
      <c r="AA15" s="173">
        <f t="shared" si="0"/>
        <v>255750</v>
      </c>
      <c r="AB15" s="173">
        <f t="shared" si="1"/>
        <v>255805.56</v>
      </c>
      <c r="AC15" s="173">
        <v>256375</v>
      </c>
      <c r="AD15" s="175">
        <v>1.1726027397260275</v>
      </c>
      <c r="AE15" s="199">
        <v>6.796395999999999E-2</v>
      </c>
      <c r="AF15" s="199">
        <v>2.6363961699728218E-2</v>
      </c>
      <c r="AG15" s="174">
        <f t="shared" si="2"/>
        <v>2.496396169972822E-2</v>
      </c>
      <c r="AH15" s="174">
        <f t="shared" si="3"/>
        <v>5.3102792969632953E-2</v>
      </c>
      <c r="AI15" s="175">
        <f t="shared" si="4"/>
        <v>18.831401214091585</v>
      </c>
      <c r="AJ15" s="173">
        <f t="shared" si="5"/>
        <v>19700</v>
      </c>
      <c r="AK15" s="173">
        <f t="shared" si="6"/>
        <v>350</v>
      </c>
    </row>
    <row r="16" spans="1:37" ht="13.8" x14ac:dyDescent="0.3">
      <c r="A16" s="197" t="s">
        <v>653</v>
      </c>
      <c r="B16" s="151">
        <v>4</v>
      </c>
      <c r="C16" s="74" t="s">
        <v>197</v>
      </c>
      <c r="D16" s="74" t="s">
        <v>152</v>
      </c>
      <c r="E16" s="74">
        <v>45756</v>
      </c>
      <c r="F16" s="74">
        <v>45757</v>
      </c>
      <c r="G16" s="74" t="s">
        <v>974</v>
      </c>
      <c r="H16" s="74" t="s">
        <v>1004</v>
      </c>
      <c r="I16" s="74" t="s">
        <v>653</v>
      </c>
      <c r="J16" s="74" t="s">
        <v>1005</v>
      </c>
      <c r="K16" s="74" t="s">
        <v>976</v>
      </c>
      <c r="L16" s="74" t="s">
        <v>153</v>
      </c>
      <c r="M16" s="74" t="s">
        <v>1006</v>
      </c>
      <c r="N16" s="178" t="s">
        <v>1007</v>
      </c>
      <c r="O16" s="173">
        <v>100000000</v>
      </c>
      <c r="P16" s="74" t="s">
        <v>1008</v>
      </c>
      <c r="Q16" s="174">
        <v>1.204E-2</v>
      </c>
      <c r="R16" s="174">
        <v>5.043372257801014E-2</v>
      </c>
      <c r="S16" s="174">
        <v>8.9099999999999999E-2</v>
      </c>
      <c r="T16" s="198">
        <v>103.37</v>
      </c>
      <c r="U16" s="175">
        <v>102.2</v>
      </c>
      <c r="V16" s="173">
        <v>250000</v>
      </c>
      <c r="W16" s="173" t="s">
        <v>174</v>
      </c>
      <c r="X16" s="175">
        <v>1</v>
      </c>
      <c r="Y16" s="173">
        <v>281.25</v>
      </c>
      <c r="Z16" s="173">
        <v>9</v>
      </c>
      <c r="AA16" s="173">
        <f t="shared" si="0"/>
        <v>255500</v>
      </c>
      <c r="AB16" s="173">
        <f t="shared" si="1"/>
        <v>255781.25</v>
      </c>
      <c r="AC16" s="173">
        <v>258875</v>
      </c>
      <c r="AD16" s="175">
        <v>1.6657534246575343</v>
      </c>
      <c r="AE16" s="199">
        <v>8.1303790000000001E-2</v>
      </c>
      <c r="AF16" s="199">
        <v>3.9703792651760245E-2</v>
      </c>
      <c r="AG16" s="174">
        <f t="shared" si="2"/>
        <v>2.7663792651760243E-2</v>
      </c>
      <c r="AH16" s="174">
        <f t="shared" si="3"/>
        <v>0.30324558929677498</v>
      </c>
      <c r="AI16" s="175">
        <f t="shared" si="4"/>
        <v>3.2976571969900537</v>
      </c>
      <c r="AJ16" s="173">
        <f t="shared" si="5"/>
        <v>22275</v>
      </c>
      <c r="AK16" s="173">
        <f t="shared" si="6"/>
        <v>3010</v>
      </c>
    </row>
    <row r="17" spans="1:37" ht="13.8" x14ac:dyDescent="0.3">
      <c r="A17" s="197" t="s">
        <v>677</v>
      </c>
      <c r="B17" s="151">
        <v>4</v>
      </c>
      <c r="C17" s="74" t="s">
        <v>197</v>
      </c>
      <c r="D17" s="74" t="s">
        <v>152</v>
      </c>
      <c r="E17" s="74">
        <v>45756</v>
      </c>
      <c r="F17" s="74">
        <v>45757</v>
      </c>
      <c r="G17" s="74" t="s">
        <v>974</v>
      </c>
      <c r="H17" s="74" t="s">
        <v>1009</v>
      </c>
      <c r="I17" s="74" t="s">
        <v>677</v>
      </c>
      <c r="J17" s="74" t="s">
        <v>164</v>
      </c>
      <c r="K17" s="74" t="s">
        <v>976</v>
      </c>
      <c r="L17" s="74" t="s">
        <v>153</v>
      </c>
      <c r="M17" s="74" t="s">
        <v>1010</v>
      </c>
      <c r="N17" s="178" t="s">
        <v>1011</v>
      </c>
      <c r="O17" s="173">
        <v>100000000</v>
      </c>
      <c r="P17" s="74" t="s">
        <v>1012</v>
      </c>
      <c r="Q17" s="174">
        <v>7.4999999999999997E-3</v>
      </c>
      <c r="R17" s="174">
        <v>5.4596636649696828E-2</v>
      </c>
      <c r="S17" s="174">
        <v>9.3299999999999994E-2</v>
      </c>
      <c r="T17" s="198">
        <v>102.4</v>
      </c>
      <c r="U17" s="175">
        <v>102.6</v>
      </c>
      <c r="V17" s="173">
        <v>250000</v>
      </c>
      <c r="W17" s="173" t="s">
        <v>174</v>
      </c>
      <c r="X17" s="175">
        <v>1</v>
      </c>
      <c r="Y17" s="173">
        <v>501.04000000000815</v>
      </c>
      <c r="Z17" s="173">
        <v>13</v>
      </c>
      <c r="AA17" s="173">
        <f t="shared" si="0"/>
        <v>256500</v>
      </c>
      <c r="AB17" s="173">
        <f t="shared" si="1"/>
        <v>257001.04</v>
      </c>
      <c r="AC17" s="173">
        <v>260350</v>
      </c>
      <c r="AD17" s="175">
        <v>1.4164383561643836</v>
      </c>
      <c r="AE17" s="199">
        <v>8.2204429999999995E-2</v>
      </c>
      <c r="AF17" s="199">
        <v>4.0604426001141274E-2</v>
      </c>
      <c r="AG17" s="174">
        <f t="shared" si="2"/>
        <v>3.3104426001141274E-2</v>
      </c>
      <c r="AH17" s="174">
        <f t="shared" si="3"/>
        <v>0.18470892803137265</v>
      </c>
      <c r="AI17" s="175">
        <f t="shared" si="4"/>
        <v>5.4139234668188365</v>
      </c>
      <c r="AJ17" s="173">
        <f t="shared" si="5"/>
        <v>23325</v>
      </c>
      <c r="AK17" s="173">
        <f t="shared" si="6"/>
        <v>1875</v>
      </c>
    </row>
    <row r="18" spans="1:37" ht="13.8" x14ac:dyDescent="0.3">
      <c r="A18" s="197" t="s">
        <v>670</v>
      </c>
      <c r="B18" s="151">
        <v>4</v>
      </c>
      <c r="C18" s="74" t="s">
        <v>197</v>
      </c>
      <c r="D18" s="74" t="s">
        <v>152</v>
      </c>
      <c r="E18" s="74">
        <v>45758</v>
      </c>
      <c r="F18" s="74">
        <v>45761</v>
      </c>
      <c r="G18" s="74" t="s">
        <v>969</v>
      </c>
      <c r="H18" s="74" t="s">
        <v>1014</v>
      </c>
      <c r="I18" s="74" t="s">
        <v>670</v>
      </c>
      <c r="J18" s="74" t="s">
        <v>1015</v>
      </c>
      <c r="K18" s="74" t="s">
        <v>1016</v>
      </c>
      <c r="L18" s="74" t="s">
        <v>153</v>
      </c>
      <c r="M18" s="74" t="s">
        <v>1017</v>
      </c>
      <c r="N18" s="178" t="s">
        <v>1007</v>
      </c>
      <c r="O18" s="173">
        <v>150000000</v>
      </c>
      <c r="P18" s="74" t="s">
        <v>1018</v>
      </c>
      <c r="Q18" s="174">
        <v>1.6500000000000001E-2</v>
      </c>
      <c r="R18" s="174">
        <v>9.4927510994515976E-2</v>
      </c>
      <c r="S18" s="174">
        <v>0.13300719976425171</v>
      </c>
      <c r="T18" s="198">
        <v>102.05</v>
      </c>
      <c r="U18" s="175">
        <v>100.1</v>
      </c>
      <c r="V18" s="173">
        <v>250000</v>
      </c>
      <c r="W18" s="173" t="s">
        <v>174</v>
      </c>
      <c r="X18" s="175">
        <v>1</v>
      </c>
      <c r="Y18" s="173">
        <v>1847.2200000000012</v>
      </c>
      <c r="Z18" s="173">
        <v>28</v>
      </c>
      <c r="AA18" s="173">
        <f t="shared" si="0"/>
        <v>250250</v>
      </c>
      <c r="AB18" s="173">
        <f t="shared" si="1"/>
        <v>252097.22</v>
      </c>
      <c r="AC18" s="173">
        <v>264500</v>
      </c>
      <c r="AD18" s="175">
        <v>1.6657534246575343</v>
      </c>
      <c r="AE18" s="199">
        <v>0.13239720999999999</v>
      </c>
      <c r="AF18" s="199">
        <v>9.439000596503698E-2</v>
      </c>
      <c r="AG18" s="174">
        <f t="shared" si="2"/>
        <v>7.7890005965036979E-2</v>
      </c>
      <c r="AH18" s="174">
        <f t="shared" si="3"/>
        <v>0.17480664220014744</v>
      </c>
      <c r="AI18" s="175">
        <f t="shared" si="4"/>
        <v>5.7206064221234527</v>
      </c>
      <c r="AJ18" s="173">
        <f t="shared" si="5"/>
        <v>33251.799941062927</v>
      </c>
      <c r="AK18" s="173">
        <f t="shared" si="6"/>
        <v>4125</v>
      </c>
    </row>
    <row r="19" spans="1:37" ht="13.8" x14ac:dyDescent="0.3">
      <c r="A19" s="197" t="s">
        <v>757</v>
      </c>
      <c r="B19" s="151">
        <v>2</v>
      </c>
      <c r="C19" s="74" t="s">
        <v>197</v>
      </c>
      <c r="D19" s="74" t="s">
        <v>152</v>
      </c>
      <c r="E19" s="74">
        <v>45761</v>
      </c>
      <c r="F19" s="74">
        <v>45762</v>
      </c>
      <c r="G19" s="74" t="s">
        <v>969</v>
      </c>
      <c r="H19" s="74" t="s">
        <v>1019</v>
      </c>
      <c r="I19" s="74" t="s">
        <v>757</v>
      </c>
      <c r="J19" s="74" t="s">
        <v>1020</v>
      </c>
      <c r="K19" s="74" t="s">
        <v>976</v>
      </c>
      <c r="L19" s="74" t="s">
        <v>153</v>
      </c>
      <c r="M19" s="74" t="s">
        <v>1021</v>
      </c>
      <c r="N19" s="178" t="s">
        <v>1022</v>
      </c>
      <c r="O19" s="173">
        <v>210000000</v>
      </c>
      <c r="P19" s="74" t="s">
        <v>1023</v>
      </c>
      <c r="Q19" s="174">
        <v>1.32E-2</v>
      </c>
      <c r="R19" s="174">
        <v>9.1253384305964677E-2</v>
      </c>
      <c r="S19" s="174">
        <v>0.13005999755859374</v>
      </c>
      <c r="T19" s="198">
        <v>103.7</v>
      </c>
      <c r="U19" s="175">
        <v>102.6</v>
      </c>
      <c r="V19" s="173">
        <v>250000</v>
      </c>
      <c r="W19" s="173" t="s">
        <v>174</v>
      </c>
      <c r="X19" s="175">
        <v>1</v>
      </c>
      <c r="Y19" s="173">
        <v>500</v>
      </c>
      <c r="Z19" s="173">
        <v>8</v>
      </c>
      <c r="AA19" s="173">
        <f t="shared" si="0"/>
        <v>256500</v>
      </c>
      <c r="AB19" s="173">
        <f t="shared" si="1"/>
        <v>257000</v>
      </c>
      <c r="AC19" s="173">
        <v>266350</v>
      </c>
      <c r="AD19" s="175">
        <v>1.5835616438356164</v>
      </c>
      <c r="AE19" s="199">
        <v>0.11921872999999999</v>
      </c>
      <c r="AF19" s="199">
        <v>7.7618734295982303E-2</v>
      </c>
      <c r="AG19" s="174">
        <f t="shared" si="2"/>
        <v>6.4418734295982299E-2</v>
      </c>
      <c r="AH19" s="174">
        <f t="shared" si="3"/>
        <v>0.17006203617885143</v>
      </c>
      <c r="AI19" s="175">
        <f t="shared" si="4"/>
        <v>5.8802071436350234</v>
      </c>
      <c r="AJ19" s="173">
        <f t="shared" si="5"/>
        <v>32514.999389648434</v>
      </c>
      <c r="AK19" s="173">
        <f t="shared" si="6"/>
        <v>3300</v>
      </c>
    </row>
    <row r="20" spans="1:37" ht="13.8" x14ac:dyDescent="0.3">
      <c r="A20" s="197" t="s">
        <v>715</v>
      </c>
      <c r="B20" s="151">
        <v>4</v>
      </c>
      <c r="C20" s="74" t="s">
        <v>197</v>
      </c>
      <c r="D20" s="74" t="s">
        <v>152</v>
      </c>
      <c r="E20" s="74">
        <v>45763</v>
      </c>
      <c r="F20" s="74">
        <v>45764</v>
      </c>
      <c r="G20" s="74" t="s">
        <v>969</v>
      </c>
      <c r="H20" s="74" t="s">
        <v>1024</v>
      </c>
      <c r="I20" s="74" t="s">
        <v>715</v>
      </c>
      <c r="J20" s="74" t="s">
        <v>1025</v>
      </c>
      <c r="K20" s="74" t="s">
        <v>976</v>
      </c>
      <c r="L20" s="74" t="s">
        <v>153</v>
      </c>
      <c r="M20" s="74" t="s">
        <v>1026</v>
      </c>
      <c r="N20" s="178" t="s">
        <v>1011</v>
      </c>
      <c r="O20" s="173">
        <v>100000000</v>
      </c>
      <c r="P20" s="74" t="s">
        <v>1027</v>
      </c>
      <c r="Q20" s="174">
        <v>6.7000000000000002E-3</v>
      </c>
      <c r="R20" s="174">
        <v>5.4392210302525223E-2</v>
      </c>
      <c r="S20" s="174">
        <v>9.3284540000000013E-2</v>
      </c>
      <c r="T20" s="198">
        <v>103.6</v>
      </c>
      <c r="U20" s="175">
        <v>103.85</v>
      </c>
      <c r="V20" s="173">
        <v>250000</v>
      </c>
      <c r="W20" s="173" t="s">
        <v>174</v>
      </c>
      <c r="X20" s="175">
        <v>1</v>
      </c>
      <c r="Y20" s="173">
        <v>1130.2099999999919</v>
      </c>
      <c r="Z20" s="173">
        <v>31</v>
      </c>
      <c r="AA20" s="173">
        <f t="shared" si="0"/>
        <v>259625</v>
      </c>
      <c r="AB20" s="173">
        <f t="shared" si="1"/>
        <v>260755.21</v>
      </c>
      <c r="AC20" s="173">
        <v>259075</v>
      </c>
      <c r="AD20" s="175">
        <v>1.4164383561643836</v>
      </c>
      <c r="AE20" s="199">
        <v>7.525358E-2</v>
      </c>
      <c r="AF20" s="199">
        <v>3.360416032534292E-2</v>
      </c>
      <c r="AG20" s="174">
        <f t="shared" si="2"/>
        <v>2.6904160325342919E-2</v>
      </c>
      <c r="AH20" s="174">
        <f t="shared" si="3"/>
        <v>0.1993800748220787</v>
      </c>
      <c r="AI20" s="175">
        <f t="shared" si="4"/>
        <v>5.0155463172153611</v>
      </c>
      <c r="AJ20" s="173">
        <f t="shared" si="5"/>
        <v>23321.135000000002</v>
      </c>
      <c r="AK20" s="173">
        <f t="shared" si="6"/>
        <v>1675</v>
      </c>
    </row>
    <row r="21" spans="1:37" ht="13.8" x14ac:dyDescent="0.3">
      <c r="A21" s="197" t="s">
        <v>847</v>
      </c>
      <c r="B21" s="151">
        <v>1</v>
      </c>
      <c r="C21" s="74" t="s">
        <v>197</v>
      </c>
      <c r="D21" s="74" t="s">
        <v>152</v>
      </c>
      <c r="E21" s="74">
        <v>45763</v>
      </c>
      <c r="F21" s="74">
        <v>45764</v>
      </c>
      <c r="G21" s="74" t="s">
        <v>974</v>
      </c>
      <c r="H21" s="74" t="s">
        <v>1028</v>
      </c>
      <c r="I21" s="74" t="s">
        <v>847</v>
      </c>
      <c r="J21" s="74" t="s">
        <v>1029</v>
      </c>
      <c r="K21" s="74" t="s">
        <v>976</v>
      </c>
      <c r="L21" s="74" t="s">
        <v>1013</v>
      </c>
      <c r="M21" s="74" t="s">
        <v>1030</v>
      </c>
      <c r="N21" s="178" t="s">
        <v>1031</v>
      </c>
      <c r="O21" s="173">
        <v>150000000</v>
      </c>
      <c r="P21" s="74" t="s">
        <v>1032</v>
      </c>
      <c r="Q21" s="174">
        <v>9.1000000000000004E-3</v>
      </c>
      <c r="R21" s="174">
        <v>4.3425943418742965E-2</v>
      </c>
      <c r="S21" s="174">
        <v>8.1843249999999992E-2</v>
      </c>
      <c r="T21" s="198">
        <v>101.57</v>
      </c>
      <c r="U21" s="175">
        <v>102.4</v>
      </c>
      <c r="V21" s="173">
        <v>250000</v>
      </c>
      <c r="W21" s="173" t="s">
        <v>174</v>
      </c>
      <c r="X21" s="175">
        <v>1</v>
      </c>
      <c r="Y21" s="173">
        <v>60.420000000012806</v>
      </c>
      <c r="Z21" s="173">
        <v>2</v>
      </c>
      <c r="AA21" s="173">
        <f t="shared" si="0"/>
        <v>256000</v>
      </c>
      <c r="AB21" s="173">
        <f t="shared" si="1"/>
        <v>256060.42</v>
      </c>
      <c r="AC21" s="173">
        <v>256275</v>
      </c>
      <c r="AD21" s="175">
        <v>1</v>
      </c>
      <c r="AE21" s="199">
        <v>6.8994319999999998E-2</v>
      </c>
      <c r="AF21" s="199">
        <v>2.7350368157419279E-2</v>
      </c>
      <c r="AG21" s="174">
        <f t="shared" si="2"/>
        <v>1.8250368157419278E-2</v>
      </c>
      <c r="AH21" s="174">
        <f t="shared" si="3"/>
        <v>0.33271947008623581</v>
      </c>
      <c r="AI21" s="175">
        <f t="shared" si="4"/>
        <v>3.0055349623537668</v>
      </c>
      <c r="AJ21" s="173">
        <f t="shared" si="5"/>
        <v>20460.812499999996</v>
      </c>
      <c r="AK21" s="173">
        <f>V21*Q21</f>
        <v>2275</v>
      </c>
    </row>
    <row r="22" spans="1:37" ht="13.8" x14ac:dyDescent="0.3">
      <c r="A22" s="197" t="s">
        <v>829</v>
      </c>
      <c r="B22" s="151">
        <v>4</v>
      </c>
      <c r="C22" s="74" t="s">
        <v>197</v>
      </c>
      <c r="D22" s="74" t="s">
        <v>152</v>
      </c>
      <c r="E22" s="74">
        <v>45775</v>
      </c>
      <c r="F22" s="74">
        <v>45776</v>
      </c>
      <c r="G22" s="74" t="s">
        <v>969</v>
      </c>
      <c r="H22" s="74" t="s">
        <v>1033</v>
      </c>
      <c r="I22" s="74" t="s">
        <v>829</v>
      </c>
      <c r="J22" s="74" t="s">
        <v>1034</v>
      </c>
      <c r="K22" s="74" t="s">
        <v>976</v>
      </c>
      <c r="L22" s="74" t="s">
        <v>153</v>
      </c>
      <c r="M22" s="74" t="s">
        <v>1035</v>
      </c>
      <c r="N22" s="178" t="s">
        <v>1036</v>
      </c>
      <c r="O22" s="173">
        <v>150000000</v>
      </c>
      <c r="P22" s="74" t="s">
        <v>1037</v>
      </c>
      <c r="Q22" s="174">
        <v>4.4999999999999997E-3</v>
      </c>
      <c r="R22" s="174">
        <v>3.8080443805377992E-2</v>
      </c>
      <c r="S22" s="174">
        <v>7.7850000000000003E-2</v>
      </c>
      <c r="T22" s="198">
        <v>101.49</v>
      </c>
      <c r="U22" s="175">
        <v>101.15</v>
      </c>
      <c r="V22" s="173">
        <v>250000</v>
      </c>
      <c r="W22" s="173" t="s">
        <v>174</v>
      </c>
      <c r="X22" s="175">
        <v>1</v>
      </c>
      <c r="Y22" s="173">
        <v>859.93</v>
      </c>
      <c r="Z22" s="173">
        <v>29</v>
      </c>
      <c r="AA22" s="173">
        <f t="shared" si="0"/>
        <v>252875</v>
      </c>
      <c r="AB22" s="173">
        <f t="shared" ref="AB22:AB32" si="7">AA22+Y22</f>
        <v>253734.93</v>
      </c>
      <c r="AC22" s="173">
        <v>254625</v>
      </c>
      <c r="AD22" s="175">
        <v>0.66849315068493154</v>
      </c>
      <c r="AE22" s="199">
        <v>6.9939169999999995E-2</v>
      </c>
      <c r="AF22" s="199">
        <v>2.8239171046472632E-2</v>
      </c>
      <c r="AG22" s="174">
        <f t="shared" ref="AG22:AG33" si="8">AF22-Q22</f>
        <v>2.3739171046472631E-2</v>
      </c>
      <c r="AH22" s="174">
        <f t="shared" ref="AH22:AH33" si="9">Q22/AF22</f>
        <v>0.15935311955844741</v>
      </c>
      <c r="AI22" s="175">
        <f t="shared" si="4"/>
        <v>6.2753713436605851</v>
      </c>
      <c r="AJ22" s="173">
        <f t="shared" ref="AJ22:AJ33" si="10">V22*S22</f>
        <v>19462.5</v>
      </c>
      <c r="AK22" s="173">
        <f t="shared" si="6"/>
        <v>1125</v>
      </c>
    </row>
    <row r="23" spans="1:37" ht="13.8" x14ac:dyDescent="0.3">
      <c r="A23" s="197" t="s">
        <v>873</v>
      </c>
      <c r="B23" s="151">
        <v>4</v>
      </c>
      <c r="C23" s="74" t="s">
        <v>197</v>
      </c>
      <c r="D23" s="74" t="s">
        <v>152</v>
      </c>
      <c r="E23" s="74">
        <v>45777</v>
      </c>
      <c r="F23" s="74">
        <v>45779</v>
      </c>
      <c r="G23" s="74" t="s">
        <v>969</v>
      </c>
      <c r="H23" s="74" t="s">
        <v>1038</v>
      </c>
      <c r="I23" s="74" t="s">
        <v>873</v>
      </c>
      <c r="J23" s="74" t="s">
        <v>1039</v>
      </c>
      <c r="K23" s="74" t="s">
        <v>976</v>
      </c>
      <c r="L23" s="74" t="s">
        <v>153</v>
      </c>
      <c r="M23" s="74" t="s">
        <v>1040</v>
      </c>
      <c r="N23" s="178" t="s">
        <v>1041</v>
      </c>
      <c r="O23" s="173">
        <v>100000000</v>
      </c>
      <c r="P23" s="74" t="s">
        <v>1000</v>
      </c>
      <c r="Q23" s="174">
        <v>4.7999999999999996E-3</v>
      </c>
      <c r="R23" s="174">
        <v>6.1675746667E-2</v>
      </c>
      <c r="S23" s="174">
        <v>0.1008</v>
      </c>
      <c r="T23" s="198">
        <v>102.45</v>
      </c>
      <c r="U23" s="175">
        <v>101.95</v>
      </c>
      <c r="V23" s="173">
        <v>250000</v>
      </c>
      <c r="W23" s="173" t="s">
        <v>174</v>
      </c>
      <c r="X23" s="175">
        <v>1</v>
      </c>
      <c r="Y23" s="173">
        <v>180.56</v>
      </c>
      <c r="Z23" s="173">
        <v>4</v>
      </c>
      <c r="AA23" s="173">
        <f t="shared" si="0"/>
        <v>254875</v>
      </c>
      <c r="AB23" s="173">
        <f t="shared" si="7"/>
        <v>255055.56</v>
      </c>
      <c r="AC23" s="173">
        <v>258325</v>
      </c>
      <c r="AD23" s="175">
        <v>0.75068493150684934</v>
      </c>
      <c r="AE23" s="199">
        <v>8.6950429999999995E-2</v>
      </c>
      <c r="AF23" s="199">
        <v>4.5750427756480992E-2</v>
      </c>
      <c r="AG23" s="174">
        <f t="shared" si="8"/>
        <v>4.0950427756480993E-2</v>
      </c>
      <c r="AH23" s="174">
        <f t="shared" si="9"/>
        <v>0.10491705182625387</v>
      </c>
      <c r="AI23" s="175">
        <f t="shared" si="4"/>
        <v>9.531339115933541</v>
      </c>
      <c r="AJ23" s="173">
        <f t="shared" si="10"/>
        <v>25200</v>
      </c>
      <c r="AK23" s="173">
        <f t="shared" si="6"/>
        <v>1200</v>
      </c>
    </row>
    <row r="24" spans="1:37" ht="13.8" x14ac:dyDescent="0.3">
      <c r="A24" s="197" t="s">
        <v>814</v>
      </c>
      <c r="B24" s="151">
        <v>4</v>
      </c>
      <c r="C24" s="74" t="s">
        <v>197</v>
      </c>
      <c r="D24" s="74" t="s">
        <v>152</v>
      </c>
      <c r="E24" s="74">
        <v>45777</v>
      </c>
      <c r="F24" s="74">
        <v>45778</v>
      </c>
      <c r="G24" s="74" t="s">
        <v>974</v>
      </c>
      <c r="H24" s="74" t="s">
        <v>1042</v>
      </c>
      <c r="I24" s="74" t="s">
        <v>814</v>
      </c>
      <c r="J24" s="74" t="s">
        <v>1043</v>
      </c>
      <c r="K24" s="74" t="s">
        <v>976</v>
      </c>
      <c r="L24" s="74" t="s">
        <v>153</v>
      </c>
      <c r="M24" s="74" t="s">
        <v>1044</v>
      </c>
      <c r="N24" s="178" t="s">
        <v>1045</v>
      </c>
      <c r="O24" s="173">
        <v>125000000</v>
      </c>
      <c r="P24" s="74" t="s">
        <v>1046</v>
      </c>
      <c r="Q24" s="174">
        <v>2.7300000000000001E-2</v>
      </c>
      <c r="R24" s="174">
        <v>7.6310288765853801E-2</v>
      </c>
      <c r="S24" s="174">
        <v>0.11502000000000001</v>
      </c>
      <c r="T24" s="198">
        <v>104.43</v>
      </c>
      <c r="U24" s="175">
        <v>102</v>
      </c>
      <c r="V24" s="173">
        <v>250000</v>
      </c>
      <c r="W24" s="173" t="s">
        <v>174</v>
      </c>
      <c r="X24" s="175">
        <v>1</v>
      </c>
      <c r="Y24" s="173">
        <v>984.38</v>
      </c>
      <c r="Z24" s="173">
        <v>21</v>
      </c>
      <c r="AA24" s="173">
        <f t="shared" si="0"/>
        <v>255000</v>
      </c>
      <c r="AB24" s="173">
        <f t="shared" si="7"/>
        <v>255984.38</v>
      </c>
      <c r="AC24" s="173">
        <v>265575</v>
      </c>
      <c r="AD24" s="175">
        <v>1.5068493150684932</v>
      </c>
      <c r="AE24" s="199">
        <v>0.10692273999999999</v>
      </c>
      <c r="AF24" s="199">
        <v>6.5422737128187594E-2</v>
      </c>
      <c r="AG24" s="174">
        <f t="shared" si="8"/>
        <v>3.8122737128187589E-2</v>
      </c>
      <c r="AH24" s="174">
        <f t="shared" si="9"/>
        <v>0.41728611792119147</v>
      </c>
      <c r="AI24" s="175">
        <f t="shared" si="4"/>
        <v>2.396437257442769</v>
      </c>
      <c r="AJ24" s="173">
        <f t="shared" si="10"/>
        <v>28755.000000000004</v>
      </c>
      <c r="AK24" s="173">
        <f t="shared" si="6"/>
        <v>6825</v>
      </c>
    </row>
    <row r="25" spans="1:37" ht="13.8" x14ac:dyDescent="0.3">
      <c r="A25" s="197" t="s">
        <v>717</v>
      </c>
      <c r="B25" s="151">
        <v>1</v>
      </c>
      <c r="C25" s="74" t="s">
        <v>197</v>
      </c>
      <c r="D25" s="74" t="s">
        <v>152</v>
      </c>
      <c r="E25" s="74">
        <v>45785</v>
      </c>
      <c r="F25" s="74">
        <v>45786</v>
      </c>
      <c r="G25" s="74" t="s">
        <v>969</v>
      </c>
      <c r="H25" s="74" t="s">
        <v>1049</v>
      </c>
      <c r="I25" s="74" t="s">
        <v>717</v>
      </c>
      <c r="J25" s="74" t="s">
        <v>1050</v>
      </c>
      <c r="K25" s="74" t="s">
        <v>976</v>
      </c>
      <c r="L25" s="74" t="s">
        <v>153</v>
      </c>
      <c r="M25" s="74" t="s">
        <v>1051</v>
      </c>
      <c r="N25" s="178" t="s">
        <v>1052</v>
      </c>
      <c r="O25" s="173">
        <v>150000000</v>
      </c>
      <c r="P25" s="74" t="s">
        <v>992</v>
      </c>
      <c r="Q25" s="174">
        <v>1.0699999999999999E-2</v>
      </c>
      <c r="R25" s="174">
        <v>5.2875811812667747E-2</v>
      </c>
      <c r="S25" s="174">
        <v>9.1859997558593739E-2</v>
      </c>
      <c r="T25" s="198">
        <v>101.59</v>
      </c>
      <c r="U25" s="175">
        <v>101.95</v>
      </c>
      <c r="V25" s="173">
        <v>250000</v>
      </c>
      <c r="W25" s="173" t="s">
        <v>174</v>
      </c>
      <c r="X25" s="175">
        <v>1</v>
      </c>
      <c r="Y25" s="173">
        <v>72.44</v>
      </c>
      <c r="Z25" s="173">
        <v>2</v>
      </c>
      <c r="AA25" s="173">
        <f t="shared" si="0"/>
        <v>254875</v>
      </c>
      <c r="AB25" s="173">
        <f t="shared" si="7"/>
        <v>254947.44</v>
      </c>
      <c r="AC25" s="173">
        <v>253825</v>
      </c>
      <c r="AD25" s="175">
        <v>0.57808219178082187</v>
      </c>
      <c r="AE25" s="199">
        <v>7.5947069999999992E-2</v>
      </c>
      <c r="AF25" s="199">
        <v>3.4347071029523404E-2</v>
      </c>
      <c r="AG25" s="174">
        <f t="shared" si="8"/>
        <v>2.3647071029523403E-2</v>
      </c>
      <c r="AH25" s="174">
        <f t="shared" si="9"/>
        <v>0.31152583551600938</v>
      </c>
      <c r="AI25" s="175">
        <f t="shared" si="4"/>
        <v>3.2100066382732155</v>
      </c>
      <c r="AJ25" s="173">
        <f t="shared" si="10"/>
        <v>22964.999389648434</v>
      </c>
      <c r="AK25" s="173">
        <f t="shared" si="6"/>
        <v>2675</v>
      </c>
    </row>
    <row r="26" spans="1:37" ht="13.8" x14ac:dyDescent="0.3">
      <c r="A26" s="197" t="s">
        <v>622</v>
      </c>
      <c r="B26" s="151">
        <v>2</v>
      </c>
      <c r="C26" s="74" t="s">
        <v>197</v>
      </c>
      <c r="D26" s="74" t="s">
        <v>152</v>
      </c>
      <c r="E26" s="74">
        <v>45789</v>
      </c>
      <c r="F26" s="74">
        <v>45790</v>
      </c>
      <c r="G26" s="74" t="s">
        <v>974</v>
      </c>
      <c r="H26" s="74" t="s">
        <v>1053</v>
      </c>
      <c r="I26" s="74" t="s">
        <v>622</v>
      </c>
      <c r="J26" s="74" t="s">
        <v>1054</v>
      </c>
      <c r="K26" s="74" t="s">
        <v>154</v>
      </c>
      <c r="L26" s="74" t="s">
        <v>977</v>
      </c>
      <c r="M26" s="74" t="s">
        <v>1055</v>
      </c>
      <c r="N26" s="178" t="s">
        <v>1056</v>
      </c>
      <c r="O26" s="173">
        <v>500000000</v>
      </c>
      <c r="P26" s="74" t="s">
        <v>1057</v>
      </c>
      <c r="Q26" s="174">
        <v>2.0400000000000001E-2</v>
      </c>
      <c r="R26" s="174">
        <v>0.107284063065</v>
      </c>
      <c r="S26" s="174">
        <v>0.14878453999999999</v>
      </c>
      <c r="T26" s="198">
        <v>103</v>
      </c>
      <c r="U26" s="175">
        <v>102.8</v>
      </c>
      <c r="V26" s="173">
        <v>250000</v>
      </c>
      <c r="W26" s="173" t="s">
        <v>174</v>
      </c>
      <c r="X26" s="175">
        <v>1</v>
      </c>
      <c r="Y26" s="173">
        <v>4354.17</v>
      </c>
      <c r="Z26" s="173">
        <v>57</v>
      </c>
      <c r="AA26" s="173">
        <f t="shared" si="0"/>
        <v>257000</v>
      </c>
      <c r="AB26" s="173">
        <f t="shared" si="7"/>
        <v>261354.17</v>
      </c>
      <c r="AC26" s="173">
        <v>260400</v>
      </c>
      <c r="AD26" s="175">
        <v>0.39726027397260272</v>
      </c>
      <c r="AE26" s="199">
        <v>0.11713435</v>
      </c>
      <c r="AF26" s="199">
        <v>7.5592968367092769E-2</v>
      </c>
      <c r="AG26" s="174">
        <f t="shared" si="8"/>
        <v>5.5192968367092768E-2</v>
      </c>
      <c r="AH26" s="174">
        <f t="shared" si="9"/>
        <v>0.2698663703869123</v>
      </c>
      <c r="AI26" s="175">
        <f t="shared" si="4"/>
        <v>3.7055376650535665</v>
      </c>
      <c r="AJ26" s="173">
        <f t="shared" si="10"/>
        <v>37196.134999999995</v>
      </c>
      <c r="AK26" s="173">
        <f t="shared" si="6"/>
        <v>5100</v>
      </c>
    </row>
    <row r="27" spans="1:37" ht="13.8" x14ac:dyDescent="0.3">
      <c r="A27" s="197" t="s">
        <v>883</v>
      </c>
      <c r="B27" s="151">
        <v>5</v>
      </c>
      <c r="C27" s="74" t="s">
        <v>197</v>
      </c>
      <c r="D27" s="74" t="s">
        <v>152</v>
      </c>
      <c r="E27" s="74">
        <v>45789</v>
      </c>
      <c r="F27" s="74">
        <v>45790</v>
      </c>
      <c r="G27" s="74" t="s">
        <v>974</v>
      </c>
      <c r="H27" s="74" t="s">
        <v>1058</v>
      </c>
      <c r="I27" s="74" t="s">
        <v>883</v>
      </c>
      <c r="J27" s="74" t="s">
        <v>1059</v>
      </c>
      <c r="K27" s="74" t="s">
        <v>154</v>
      </c>
      <c r="L27" s="74" t="s">
        <v>153</v>
      </c>
      <c r="M27" s="74" t="s">
        <v>1060</v>
      </c>
      <c r="N27" s="178" t="s">
        <v>1061</v>
      </c>
      <c r="O27" s="173">
        <v>500000000</v>
      </c>
      <c r="P27" s="74" t="s">
        <v>1062</v>
      </c>
      <c r="Q27" s="174">
        <v>2.5700000000000001E-2</v>
      </c>
      <c r="R27" s="174">
        <v>9.0571397299765224E-2</v>
      </c>
      <c r="S27" s="174">
        <v>0.1293</v>
      </c>
      <c r="T27" s="198">
        <v>103.83</v>
      </c>
      <c r="U27" s="175">
        <v>102.5</v>
      </c>
      <c r="V27" s="173">
        <v>250000</v>
      </c>
      <c r="W27" s="173" t="s">
        <v>174</v>
      </c>
      <c r="X27" s="175">
        <v>1</v>
      </c>
      <c r="Y27" s="173">
        <v>1631.78</v>
      </c>
      <c r="Z27" s="173">
        <v>28</v>
      </c>
      <c r="AA27" s="173">
        <f t="shared" si="0"/>
        <v>256250</v>
      </c>
      <c r="AB27" s="173">
        <f t="shared" si="7"/>
        <v>257881.78</v>
      </c>
      <c r="AC27" s="173">
        <v>262475</v>
      </c>
      <c r="AD27" s="175">
        <v>0.58356164383561648</v>
      </c>
      <c r="AE27" s="199">
        <v>0.10738033</v>
      </c>
      <c r="AF27" s="199">
        <v>6.6180329997306109E-2</v>
      </c>
      <c r="AG27" s="174">
        <f t="shared" si="8"/>
        <v>4.0480329997306108E-2</v>
      </c>
      <c r="AH27" s="174">
        <f t="shared" si="9"/>
        <v>0.38833290799616937</v>
      </c>
      <c r="AI27" s="175">
        <f t="shared" si="4"/>
        <v>2.5751101166266968</v>
      </c>
      <c r="AJ27" s="173">
        <f t="shared" si="10"/>
        <v>32325</v>
      </c>
      <c r="AK27" s="173">
        <f>V27*Q27</f>
        <v>6425</v>
      </c>
    </row>
    <row r="28" spans="1:37" ht="13.8" x14ac:dyDescent="0.3">
      <c r="A28" s="197" t="s">
        <v>753</v>
      </c>
      <c r="B28" s="151">
        <v>2</v>
      </c>
      <c r="C28" s="74" t="s">
        <v>197</v>
      </c>
      <c r="D28" s="74" t="s">
        <v>152</v>
      </c>
      <c r="E28" s="74">
        <v>45790</v>
      </c>
      <c r="F28" s="74">
        <v>45791</v>
      </c>
      <c r="G28" s="74" t="s">
        <v>974</v>
      </c>
      <c r="H28" s="74" t="s">
        <v>1063</v>
      </c>
      <c r="I28" s="74" t="s">
        <v>753</v>
      </c>
      <c r="J28" s="74" t="s">
        <v>1064</v>
      </c>
      <c r="K28" s="74" t="s">
        <v>976</v>
      </c>
      <c r="L28" s="74" t="s">
        <v>153</v>
      </c>
      <c r="M28" s="74" t="s">
        <v>1065</v>
      </c>
      <c r="N28" s="178" t="s">
        <v>1066</v>
      </c>
      <c r="O28" s="173">
        <v>120000000</v>
      </c>
      <c r="P28" s="74" t="s">
        <v>1067</v>
      </c>
      <c r="Q28" s="174">
        <v>1.9800000000000002E-2</v>
      </c>
      <c r="R28" s="174">
        <v>0.123713315691</v>
      </c>
      <c r="S28" s="174">
        <v>0.16269999999999998</v>
      </c>
      <c r="T28" s="198">
        <v>103.95</v>
      </c>
      <c r="U28" s="175">
        <v>104.6</v>
      </c>
      <c r="V28" s="173">
        <v>250000</v>
      </c>
      <c r="W28" s="173" t="s">
        <v>174</v>
      </c>
      <c r="X28" s="175">
        <v>1</v>
      </c>
      <c r="Y28" s="173">
        <v>448.26</v>
      </c>
      <c r="Z28" s="173">
        <v>5</v>
      </c>
      <c r="AA28" s="173">
        <f t="shared" si="0"/>
        <v>261500</v>
      </c>
      <c r="AB28" s="173">
        <f t="shared" si="7"/>
        <v>261948.26</v>
      </c>
      <c r="AC28" s="173">
        <v>266300</v>
      </c>
      <c r="AD28" s="175">
        <v>0.55068493150684927</v>
      </c>
      <c r="AE28" s="199">
        <v>0.11846672999999999</v>
      </c>
      <c r="AF28" s="199">
        <v>7.6766731676329678E-2</v>
      </c>
      <c r="AG28" s="174">
        <f t="shared" si="8"/>
        <v>5.6966731676329679E-2</v>
      </c>
      <c r="AH28" s="174">
        <f t="shared" si="9"/>
        <v>0.25792422795179581</v>
      </c>
      <c r="AI28" s="175">
        <f t="shared" si="4"/>
        <v>3.8771076604206907</v>
      </c>
      <c r="AJ28" s="173">
        <f t="shared" si="10"/>
        <v>40674.999999999993</v>
      </c>
      <c r="AK28" s="173">
        <f t="shared" si="6"/>
        <v>4950</v>
      </c>
    </row>
    <row r="29" spans="1:37" ht="13.8" x14ac:dyDescent="0.3">
      <c r="A29" s="197" t="s">
        <v>842</v>
      </c>
      <c r="B29" s="151">
        <v>2</v>
      </c>
      <c r="C29" s="74" t="s">
        <v>197</v>
      </c>
      <c r="D29" s="74" t="s">
        <v>152</v>
      </c>
      <c r="E29" s="74">
        <v>45791</v>
      </c>
      <c r="F29" s="74">
        <v>45792</v>
      </c>
      <c r="G29" s="74" t="s">
        <v>969</v>
      </c>
      <c r="H29" s="74" t="s">
        <v>1068</v>
      </c>
      <c r="I29" s="74" t="s">
        <v>842</v>
      </c>
      <c r="J29" s="74" t="s">
        <v>1069</v>
      </c>
      <c r="K29" s="74" t="s">
        <v>976</v>
      </c>
      <c r="L29" s="74" t="s">
        <v>153</v>
      </c>
      <c r="M29" s="74" t="s">
        <v>1044</v>
      </c>
      <c r="N29" s="178" t="s">
        <v>1022</v>
      </c>
      <c r="O29" s="173">
        <v>150000000</v>
      </c>
      <c r="P29" s="74" t="s">
        <v>1057</v>
      </c>
      <c r="Q29" s="174">
        <v>2.1600000000000001E-2</v>
      </c>
      <c r="R29" s="174">
        <v>9.6994090299810154E-2</v>
      </c>
      <c r="S29" s="174">
        <v>0.13500719976425171</v>
      </c>
      <c r="T29" s="198">
        <v>104.18</v>
      </c>
      <c r="U29" s="175">
        <v>102.85</v>
      </c>
      <c r="V29" s="173">
        <v>250000</v>
      </c>
      <c r="W29" s="173" t="s">
        <v>174</v>
      </c>
      <c r="X29" s="175">
        <v>1</v>
      </c>
      <c r="Y29" s="173">
        <v>659.72</v>
      </c>
      <c r="Z29" s="173">
        <v>10</v>
      </c>
      <c r="AA29" s="173">
        <f t="shared" si="0"/>
        <v>257125</v>
      </c>
      <c r="AB29" s="173">
        <f t="shared" si="7"/>
        <v>257784.72</v>
      </c>
      <c r="AC29" s="173">
        <v>267737.5</v>
      </c>
      <c r="AD29" s="175">
        <v>1.5835616438356164</v>
      </c>
      <c r="AE29" s="199">
        <v>0.11898120000000001</v>
      </c>
      <c r="AF29" s="199">
        <v>8.0973998981282241E-2</v>
      </c>
      <c r="AG29" s="174">
        <f t="shared" si="8"/>
        <v>5.937399898128224E-2</v>
      </c>
      <c r="AH29" s="174">
        <f t="shared" si="9"/>
        <v>0.26675229421475166</v>
      </c>
      <c r="AI29" s="175">
        <f t="shared" si="4"/>
        <v>3.748796249133437</v>
      </c>
      <c r="AJ29" s="173">
        <f t="shared" si="10"/>
        <v>33751.799941062927</v>
      </c>
      <c r="AK29" s="173">
        <f t="shared" si="6"/>
        <v>5400</v>
      </c>
    </row>
    <row r="30" spans="1:37" ht="13.8" x14ac:dyDescent="0.3">
      <c r="A30" s="197" t="s">
        <v>907</v>
      </c>
      <c r="B30" s="151">
        <v>5</v>
      </c>
      <c r="C30" s="74" t="s">
        <v>197</v>
      </c>
      <c r="D30" s="74" t="s">
        <v>152</v>
      </c>
      <c r="E30" s="74">
        <v>45793</v>
      </c>
      <c r="F30" s="74">
        <v>45797</v>
      </c>
      <c r="G30" s="74" t="s">
        <v>974</v>
      </c>
      <c r="H30" s="74" t="s">
        <v>1070</v>
      </c>
      <c r="I30" s="74" t="s">
        <v>907</v>
      </c>
      <c r="J30" s="74" t="s">
        <v>1071</v>
      </c>
      <c r="K30" s="74" t="s">
        <v>154</v>
      </c>
      <c r="L30" s="74" t="s">
        <v>977</v>
      </c>
      <c r="M30" s="74" t="s">
        <v>1072</v>
      </c>
      <c r="N30" s="178" t="s">
        <v>1073</v>
      </c>
      <c r="O30" s="173">
        <v>75000000</v>
      </c>
      <c r="P30" s="74" t="s">
        <v>1074</v>
      </c>
      <c r="Q30" s="174">
        <v>3.4500000000000003E-2</v>
      </c>
      <c r="R30" s="174">
        <v>0.132287509645</v>
      </c>
      <c r="S30" s="174">
        <v>0.16990000000000002</v>
      </c>
      <c r="T30" s="198">
        <v>102.83</v>
      </c>
      <c r="U30" s="175">
        <v>103.75</v>
      </c>
      <c r="V30" s="173">
        <v>250000</v>
      </c>
      <c r="W30" s="173" t="s">
        <v>174</v>
      </c>
      <c r="X30" s="175">
        <v>1</v>
      </c>
      <c r="Y30" s="173">
        <v>2553.06</v>
      </c>
      <c r="Z30" s="173">
        <v>28</v>
      </c>
      <c r="AA30" s="173">
        <f t="shared" si="0"/>
        <v>259375</v>
      </c>
      <c r="AB30" s="173">
        <f t="shared" si="7"/>
        <v>261928.06</v>
      </c>
      <c r="AC30" s="173">
        <v>260100</v>
      </c>
      <c r="AD30" s="175">
        <v>0.30958904109589042</v>
      </c>
      <c r="AE30" s="199">
        <v>0.12294791999999999</v>
      </c>
      <c r="AF30" s="199">
        <v>8.1047922777623349E-2</v>
      </c>
      <c r="AG30" s="174">
        <f t="shared" si="8"/>
        <v>4.6547922777623346E-2</v>
      </c>
      <c r="AH30" s="174">
        <f t="shared" si="9"/>
        <v>0.42567408044077798</v>
      </c>
      <c r="AI30" s="175">
        <f t="shared" si="4"/>
        <v>2.3492151529745895</v>
      </c>
      <c r="AJ30" s="173">
        <f t="shared" si="10"/>
        <v>42475.000000000007</v>
      </c>
      <c r="AK30" s="173">
        <f t="shared" si="6"/>
        <v>8625</v>
      </c>
    </row>
    <row r="31" spans="1:37" ht="13.8" x14ac:dyDescent="0.3">
      <c r="A31" s="197" t="s">
        <v>796</v>
      </c>
      <c r="B31" s="151">
        <v>1</v>
      </c>
      <c r="C31" s="74" t="s">
        <v>197</v>
      </c>
      <c r="D31" s="74" t="s">
        <v>152</v>
      </c>
      <c r="E31" s="74">
        <v>45797</v>
      </c>
      <c r="F31" s="74">
        <v>45798</v>
      </c>
      <c r="G31" s="74" t="s">
        <v>969</v>
      </c>
      <c r="H31" s="74" t="s">
        <v>1075</v>
      </c>
      <c r="I31" s="74" t="s">
        <v>796</v>
      </c>
      <c r="J31" s="74" t="s">
        <v>1076</v>
      </c>
      <c r="K31" s="74" t="s">
        <v>976</v>
      </c>
      <c r="L31" s="74" t="s">
        <v>153</v>
      </c>
      <c r="M31" s="74" t="s">
        <v>1077</v>
      </c>
      <c r="N31" s="178" t="s">
        <v>1078</v>
      </c>
      <c r="O31" s="173">
        <v>95000000</v>
      </c>
      <c r="P31" s="74" t="s">
        <v>992</v>
      </c>
      <c r="Q31" s="174">
        <v>2.64E-2</v>
      </c>
      <c r="R31" s="174">
        <v>5.9938890575550269E-2</v>
      </c>
      <c r="S31" s="174">
        <v>9.849999999999999E-2</v>
      </c>
      <c r="T31" s="198">
        <v>102.15</v>
      </c>
      <c r="U31" s="175">
        <v>101.85</v>
      </c>
      <c r="V31" s="173">
        <v>250000</v>
      </c>
      <c r="W31" s="173" t="s">
        <v>174</v>
      </c>
      <c r="X31" s="175">
        <v>1</v>
      </c>
      <c r="Y31" s="173">
        <v>0</v>
      </c>
      <c r="Z31" s="173">
        <v>0</v>
      </c>
      <c r="AA31" s="173">
        <f t="shared" si="0"/>
        <v>254625</v>
      </c>
      <c r="AB31" s="173">
        <f t="shared" si="7"/>
        <v>254625</v>
      </c>
      <c r="AC31" s="173">
        <v>256025</v>
      </c>
      <c r="AD31" s="175">
        <v>2.1232876712328768</v>
      </c>
      <c r="AE31" s="199">
        <v>9.3113240000000014E-2</v>
      </c>
      <c r="AF31" s="199">
        <v>5.1913241596361126E-2</v>
      </c>
      <c r="AG31" s="174">
        <f t="shared" si="8"/>
        <v>2.5513241596361126E-2</v>
      </c>
      <c r="AH31" s="174">
        <f t="shared" si="9"/>
        <v>0.50854077280064347</v>
      </c>
      <c r="AI31" s="175">
        <f t="shared" si="4"/>
        <v>1.9664106665288308</v>
      </c>
      <c r="AJ31" s="173">
        <f t="shared" si="10"/>
        <v>24624.999999999996</v>
      </c>
      <c r="AK31" s="173">
        <f t="shared" si="6"/>
        <v>6600</v>
      </c>
    </row>
    <row r="32" spans="1:37" ht="13.8" x14ac:dyDescent="0.3">
      <c r="A32" s="197" t="s">
        <v>693</v>
      </c>
      <c r="B32" s="151">
        <v>5</v>
      </c>
      <c r="C32" s="74" t="s">
        <v>197</v>
      </c>
      <c r="D32" s="74" t="s">
        <v>152</v>
      </c>
      <c r="E32" s="74">
        <v>45805</v>
      </c>
      <c r="F32" s="74">
        <v>45806</v>
      </c>
      <c r="G32" s="74" t="s">
        <v>974</v>
      </c>
      <c r="H32" s="74" t="s">
        <v>1079</v>
      </c>
      <c r="I32" s="74" t="s">
        <v>693</v>
      </c>
      <c r="J32" s="74" t="s">
        <v>1080</v>
      </c>
      <c r="K32" s="74" t="s">
        <v>976</v>
      </c>
      <c r="L32" s="74" t="s">
        <v>153</v>
      </c>
      <c r="M32" s="74" t="s">
        <v>1081</v>
      </c>
      <c r="N32" s="178" t="s">
        <v>1082</v>
      </c>
      <c r="O32" s="173">
        <v>50000000</v>
      </c>
      <c r="P32" s="74" t="s">
        <v>1083</v>
      </c>
      <c r="Q32" s="174">
        <v>2.12E-2</v>
      </c>
      <c r="R32" s="174">
        <v>8.9036969351987266E-2</v>
      </c>
      <c r="S32" s="174">
        <v>0.1278</v>
      </c>
      <c r="T32" s="198">
        <v>101.46</v>
      </c>
      <c r="U32" s="175">
        <v>101.6</v>
      </c>
      <c r="V32" s="173">
        <v>250000</v>
      </c>
      <c r="W32" s="173" t="s">
        <v>174</v>
      </c>
      <c r="X32" s="175">
        <v>1</v>
      </c>
      <c r="Y32" s="173">
        <v>3892.36</v>
      </c>
      <c r="Z32" s="173">
        <v>59</v>
      </c>
      <c r="AA32" s="173">
        <f t="shared" si="0"/>
        <v>254000</v>
      </c>
      <c r="AB32" s="173">
        <f t="shared" si="7"/>
        <v>257892.36</v>
      </c>
      <c r="AC32" s="173">
        <v>258525</v>
      </c>
      <c r="AD32" s="175">
        <v>1.1698630136986301</v>
      </c>
      <c r="AE32" s="199">
        <v>0.11989819</v>
      </c>
      <c r="AF32" s="199">
        <v>7.8098191190205071E-2</v>
      </c>
      <c r="AG32" s="174">
        <f t="shared" si="8"/>
        <v>5.6898191190205075E-2</v>
      </c>
      <c r="AH32" s="174">
        <f t="shared" si="9"/>
        <v>0.27145314989905767</v>
      </c>
      <c r="AI32" s="175">
        <f t="shared" si="4"/>
        <v>3.6838769429342011</v>
      </c>
      <c r="AJ32" s="173">
        <f t="shared" si="10"/>
        <v>31950</v>
      </c>
      <c r="AK32" s="173">
        <f t="shared" si="6"/>
        <v>5300</v>
      </c>
    </row>
    <row r="33" spans="1:37" ht="13.8" x14ac:dyDescent="0.3">
      <c r="A33" s="197" t="s">
        <v>863</v>
      </c>
      <c r="B33" s="151">
        <v>5</v>
      </c>
      <c r="C33" s="74" t="s">
        <v>197</v>
      </c>
      <c r="D33" s="74" t="s">
        <v>152</v>
      </c>
      <c r="E33" s="74">
        <v>45834</v>
      </c>
      <c r="F33" s="74">
        <v>45835</v>
      </c>
      <c r="G33" s="74" t="s">
        <v>969</v>
      </c>
      <c r="H33" s="74" t="s">
        <v>1084</v>
      </c>
      <c r="I33" s="74" t="s">
        <v>863</v>
      </c>
      <c r="J33" s="74" t="s">
        <v>1085</v>
      </c>
      <c r="K33" s="74" t="s">
        <v>976</v>
      </c>
      <c r="L33" s="74" t="s">
        <v>153</v>
      </c>
      <c r="M33" s="74" t="s">
        <v>1086</v>
      </c>
      <c r="N33" s="178" t="s">
        <v>1087</v>
      </c>
      <c r="O33" s="173">
        <v>475000000</v>
      </c>
      <c r="P33" s="74" t="s">
        <v>1088</v>
      </c>
      <c r="Q33" s="174">
        <v>5.6599999999999998E-2</v>
      </c>
      <c r="R33" s="174">
        <v>0.14340064727609322</v>
      </c>
      <c r="S33" s="174">
        <v>0.18210000000000001</v>
      </c>
      <c r="T33" s="198">
        <v>105.48</v>
      </c>
      <c r="U33" s="175">
        <v>102.8</v>
      </c>
      <c r="V33" s="173">
        <v>250000</v>
      </c>
      <c r="W33" s="173" t="s">
        <v>174</v>
      </c>
      <c r="X33" s="175">
        <v>1</v>
      </c>
      <c r="Y33" s="173">
        <v>2041.67</v>
      </c>
      <c r="Z33" s="173">
        <v>21</v>
      </c>
      <c r="AA33" s="173">
        <f t="shared" si="0"/>
        <v>257000</v>
      </c>
      <c r="AB33" s="173">
        <f>AA33+Y33</f>
        <v>259041.67</v>
      </c>
      <c r="AC33" s="173">
        <v>268000</v>
      </c>
      <c r="AD33" s="175">
        <v>1.3452054794520547</v>
      </c>
      <c r="AE33" s="199">
        <v>0.16563422</v>
      </c>
      <c r="AF33" s="199">
        <v>0.12473422429667366</v>
      </c>
      <c r="AG33" s="174">
        <f t="shared" si="8"/>
        <v>6.8134224296673665E-2</v>
      </c>
      <c r="AH33" s="174">
        <f t="shared" si="9"/>
        <v>0.45376479726510288</v>
      </c>
      <c r="AI33" s="175">
        <f t="shared" si="4"/>
        <v>2.2037848815666727</v>
      </c>
      <c r="AJ33" s="173">
        <f t="shared" si="10"/>
        <v>45525</v>
      </c>
      <c r="AK33" s="173">
        <f t="shared" si="6"/>
        <v>14150</v>
      </c>
    </row>
    <row r="34" spans="1:37" ht="13.8" x14ac:dyDescent="0.3">
      <c r="A34" s="197" t="s">
        <v>695</v>
      </c>
      <c r="B34" s="151">
        <v>5</v>
      </c>
      <c r="C34" s="74" t="s">
        <v>197</v>
      </c>
      <c r="D34" s="74" t="s">
        <v>152</v>
      </c>
      <c r="E34" s="74">
        <v>45859</v>
      </c>
      <c r="F34" s="74">
        <v>45860</v>
      </c>
      <c r="G34" s="74" t="s">
        <v>974</v>
      </c>
      <c r="H34" s="74" t="s">
        <v>1089</v>
      </c>
      <c r="I34" s="74" t="s">
        <v>695</v>
      </c>
      <c r="J34" s="74" t="s">
        <v>1080</v>
      </c>
      <c r="K34" s="74" t="s">
        <v>976</v>
      </c>
      <c r="L34" s="74" t="s">
        <v>153</v>
      </c>
      <c r="M34" s="74" t="s">
        <v>1090</v>
      </c>
      <c r="N34" s="178" t="s">
        <v>1091</v>
      </c>
      <c r="O34" s="173">
        <v>75000000</v>
      </c>
      <c r="P34" s="74" t="s">
        <v>1083</v>
      </c>
      <c r="Q34" s="174">
        <v>0.03</v>
      </c>
      <c r="R34" s="174">
        <v>8.241739053348697E-2</v>
      </c>
      <c r="S34" s="174">
        <v>0.1211</v>
      </c>
      <c r="T34" s="198">
        <v>100.27</v>
      </c>
      <c r="U34" s="175">
        <v>99.3</v>
      </c>
      <c r="V34" s="173">
        <v>250000</v>
      </c>
      <c r="W34" s="173" t="s">
        <v>174</v>
      </c>
      <c r="X34" s="175">
        <v>1</v>
      </c>
      <c r="Y34" s="173">
        <v>1260.42</v>
      </c>
      <c r="Z34" s="173">
        <v>22</v>
      </c>
      <c r="AA34" s="173">
        <f t="shared" si="0"/>
        <v>248250</v>
      </c>
      <c r="AB34" s="173">
        <f t="shared" ref="AB34:AB42" si="11">AA34+Y34</f>
        <v>249510.42</v>
      </c>
      <c r="AC34" s="173">
        <v>258825</v>
      </c>
      <c r="AD34" s="175">
        <v>2.1698630136986301</v>
      </c>
      <c r="AE34" s="199">
        <v>0.12753048</v>
      </c>
      <c r="AF34" s="199">
        <v>8.5730482812476083E-2</v>
      </c>
      <c r="AG34" s="174">
        <f>AF34-Q34</f>
        <v>5.5730482812476084E-2</v>
      </c>
      <c r="AH34" s="174">
        <f>Q34/AF34</f>
        <v>0.34993387434456619</v>
      </c>
      <c r="AI34" s="175">
        <f>1/AH34</f>
        <v>2.8576827604158699</v>
      </c>
      <c r="AJ34" s="173">
        <f>V34*S34</f>
        <v>30275</v>
      </c>
      <c r="AK34" s="173">
        <f t="shared" si="6"/>
        <v>7500</v>
      </c>
    </row>
    <row r="35" spans="1:37" ht="13.8" x14ac:dyDescent="0.3">
      <c r="A35" s="197" t="s">
        <v>838</v>
      </c>
      <c r="B35" s="151">
        <v>5</v>
      </c>
      <c r="C35" s="74" t="s">
        <v>197</v>
      </c>
      <c r="D35" s="74" t="s">
        <v>152</v>
      </c>
      <c r="E35" s="74">
        <v>45866</v>
      </c>
      <c r="F35" s="74">
        <v>45867</v>
      </c>
      <c r="G35" s="74" t="s">
        <v>974</v>
      </c>
      <c r="H35" s="74" t="s">
        <v>1092</v>
      </c>
      <c r="I35" s="74" t="s">
        <v>838</v>
      </c>
      <c r="J35" s="74" t="s">
        <v>1093</v>
      </c>
      <c r="K35" s="74" t="s">
        <v>976</v>
      </c>
      <c r="L35" s="74" t="s">
        <v>153</v>
      </c>
      <c r="M35" s="74" t="s">
        <v>1094</v>
      </c>
      <c r="N35" s="178" t="s">
        <v>1052</v>
      </c>
      <c r="O35" s="173">
        <v>110000000</v>
      </c>
      <c r="P35" s="74" t="s">
        <v>1095</v>
      </c>
      <c r="Q35" s="174">
        <v>9.1999999999999998E-3</v>
      </c>
      <c r="R35" s="174">
        <v>6.7395658018000001E-2</v>
      </c>
      <c r="S35" s="174">
        <v>0.106</v>
      </c>
      <c r="T35" s="198">
        <v>103.16</v>
      </c>
      <c r="U35" s="175">
        <v>103.1</v>
      </c>
      <c r="V35" s="173">
        <v>250000</v>
      </c>
      <c r="W35" s="173" t="s">
        <v>174</v>
      </c>
      <c r="X35" s="175">
        <v>1</v>
      </c>
      <c r="Y35" s="173">
        <v>1041.94</v>
      </c>
      <c r="Z35" s="173">
        <v>22</v>
      </c>
      <c r="AA35" s="173">
        <f t="shared" si="0"/>
        <v>257750</v>
      </c>
      <c r="AB35" s="173">
        <f t="shared" si="11"/>
        <v>258791.94</v>
      </c>
      <c r="AC35" s="173">
        <v>258800</v>
      </c>
      <c r="AD35" s="175">
        <v>0.57808219178082187</v>
      </c>
      <c r="AE35" s="199">
        <v>7.1520619999999993E-2</v>
      </c>
      <c r="AF35" s="199">
        <v>3.0320615416633865E-2</v>
      </c>
      <c r="AG35" s="174">
        <f t="shared" ref="AG35:AG56" si="12">AF35-Q35</f>
        <v>2.1120615416633865E-2</v>
      </c>
      <c r="AH35" s="174">
        <f t="shared" ref="AH35:AH56" si="13">Q35/AF35</f>
        <v>0.3034239204443353</v>
      </c>
      <c r="AI35" s="175">
        <f t="shared" si="4"/>
        <v>3.2957190670254199</v>
      </c>
      <c r="AJ35" s="173">
        <f t="shared" ref="AJ35:AJ56" si="14">V35*S35</f>
        <v>26500</v>
      </c>
      <c r="AK35" s="173">
        <f t="shared" si="6"/>
        <v>2300</v>
      </c>
    </row>
    <row r="36" spans="1:37" ht="13.8" x14ac:dyDescent="0.3">
      <c r="A36" s="197" t="s">
        <v>735</v>
      </c>
      <c r="B36" s="151">
        <v>1</v>
      </c>
      <c r="C36" s="74" t="s">
        <v>197</v>
      </c>
      <c r="D36" s="74" t="s">
        <v>152</v>
      </c>
      <c r="E36" s="74">
        <v>45889</v>
      </c>
      <c r="F36" s="74">
        <v>45890</v>
      </c>
      <c r="G36" s="74" t="s">
        <v>1096</v>
      </c>
      <c r="H36" s="74" t="s">
        <v>1097</v>
      </c>
      <c r="I36" s="74" t="s">
        <v>735</v>
      </c>
      <c r="J36" s="74" t="s">
        <v>207</v>
      </c>
      <c r="K36" s="74" t="s">
        <v>976</v>
      </c>
      <c r="L36" s="74" t="s">
        <v>153</v>
      </c>
      <c r="M36" s="74" t="s">
        <v>1098</v>
      </c>
      <c r="N36" s="178" t="s">
        <v>1099</v>
      </c>
      <c r="O36" s="173">
        <v>75000000</v>
      </c>
      <c r="P36" s="74" t="s">
        <v>996</v>
      </c>
      <c r="Q36" s="174">
        <v>8.0999999999999996E-3</v>
      </c>
      <c r="R36" s="174">
        <v>6.752097480611581E-2</v>
      </c>
      <c r="S36" s="174">
        <v>0.10647999877929687</v>
      </c>
      <c r="T36" s="198">
        <v>102.32</v>
      </c>
      <c r="U36" s="175">
        <v>102.925</v>
      </c>
      <c r="V36" s="173">
        <v>250000</v>
      </c>
      <c r="W36" s="173" t="s">
        <v>174</v>
      </c>
      <c r="X36" s="175">
        <v>1</v>
      </c>
      <c r="Y36" s="173">
        <v>471.39</v>
      </c>
      <c r="Z36" s="173">
        <v>10</v>
      </c>
      <c r="AA36" s="173">
        <f t="shared" si="0"/>
        <v>257312.5</v>
      </c>
      <c r="AB36" s="173">
        <f t="shared" si="11"/>
        <v>257783.89</v>
      </c>
      <c r="AC36" s="173">
        <v>253750</v>
      </c>
      <c r="AD36" s="175">
        <v>0.33698630136986302</v>
      </c>
      <c r="AE36" s="199">
        <v>5.5554730000000004E-2</v>
      </c>
      <c r="AF36" s="199">
        <v>1.3954731692494411E-2</v>
      </c>
      <c r="AG36" s="174">
        <f t="shared" si="12"/>
        <v>5.8547316924944109E-3</v>
      </c>
      <c r="AH36" s="174">
        <f t="shared" si="13"/>
        <v>0.58044827937154864</v>
      </c>
      <c r="AI36" s="175">
        <f t="shared" si="4"/>
        <v>1.7228063817894335</v>
      </c>
      <c r="AJ36" s="173">
        <f t="shared" si="14"/>
        <v>26619.999694824219</v>
      </c>
      <c r="AK36" s="173">
        <f t="shared" si="6"/>
        <v>2025</v>
      </c>
    </row>
    <row r="37" spans="1:37" ht="13.8" x14ac:dyDescent="0.3">
      <c r="A37" s="197" t="s">
        <v>718</v>
      </c>
      <c r="B37" s="151">
        <v>1</v>
      </c>
      <c r="C37" s="74" t="s">
        <v>197</v>
      </c>
      <c r="D37" s="74" t="s">
        <v>152</v>
      </c>
      <c r="E37" s="74">
        <v>45908</v>
      </c>
      <c r="F37" s="74">
        <v>45909</v>
      </c>
      <c r="G37" s="74" t="s">
        <v>974</v>
      </c>
      <c r="H37" s="74" t="s">
        <v>1100</v>
      </c>
      <c r="I37" s="74" t="s">
        <v>718</v>
      </c>
      <c r="J37" s="74" t="s">
        <v>1050</v>
      </c>
      <c r="K37" s="74" t="s">
        <v>976</v>
      </c>
      <c r="L37" s="74" t="s">
        <v>153</v>
      </c>
      <c r="M37" s="74" t="s">
        <v>1051</v>
      </c>
      <c r="N37" s="178" t="s">
        <v>1052</v>
      </c>
      <c r="O37" s="173">
        <v>50000000</v>
      </c>
      <c r="P37" s="74" t="s">
        <v>996</v>
      </c>
      <c r="Q37" s="174">
        <v>2.7799999999999998E-2</v>
      </c>
      <c r="R37" s="174">
        <v>8.218366968932618E-2</v>
      </c>
      <c r="S37" s="174">
        <v>0.12100000000000001</v>
      </c>
      <c r="T37" s="198">
        <v>102.43</v>
      </c>
      <c r="U37" s="175">
        <v>102.75</v>
      </c>
      <c r="V37" s="173">
        <v>250000</v>
      </c>
      <c r="W37" s="173" t="s">
        <v>174</v>
      </c>
      <c r="X37" s="175">
        <v>1</v>
      </c>
      <c r="Y37" s="173">
        <v>57.08</v>
      </c>
      <c r="Z37" s="173">
        <v>1</v>
      </c>
      <c r="AA37" s="173">
        <f t="shared" si="0"/>
        <v>256875</v>
      </c>
      <c r="AB37" s="173">
        <f t="shared" si="11"/>
        <v>256932.08</v>
      </c>
      <c r="AC37" s="173">
        <v>255837.5</v>
      </c>
      <c r="AD37" s="175">
        <v>0.57808219178082187</v>
      </c>
      <c r="AE37" s="199">
        <v>8.541536000000001E-2</v>
      </c>
      <c r="AF37" s="199">
        <v>4.4415359755865823E-2</v>
      </c>
      <c r="AG37" s="174">
        <f t="shared" si="12"/>
        <v>1.6615359755865824E-2</v>
      </c>
      <c r="AH37" s="174">
        <f t="shared" si="13"/>
        <v>0.62590959867950913</v>
      </c>
      <c r="AI37" s="175">
        <f t="shared" si="4"/>
        <v>1.59767481136208</v>
      </c>
      <c r="AJ37" s="173">
        <f t="shared" si="14"/>
        <v>30250.000000000004</v>
      </c>
      <c r="AK37" s="173">
        <f t="shared" si="6"/>
        <v>6950</v>
      </c>
    </row>
    <row r="38" spans="1:37" ht="13.8" x14ac:dyDescent="0.3">
      <c r="A38" s="197" t="s">
        <v>746</v>
      </c>
      <c r="B38" s="151">
        <v>5</v>
      </c>
      <c r="C38" s="74" t="s">
        <v>197</v>
      </c>
      <c r="D38" s="74" t="s">
        <v>152</v>
      </c>
      <c r="E38" s="74">
        <v>45908</v>
      </c>
      <c r="F38" s="74">
        <v>45909</v>
      </c>
      <c r="G38" s="74" t="s">
        <v>969</v>
      </c>
      <c r="H38" s="74" t="s">
        <v>1101</v>
      </c>
      <c r="I38" s="74" t="s">
        <v>746</v>
      </c>
      <c r="J38" s="74" t="s">
        <v>1102</v>
      </c>
      <c r="K38" s="74" t="s">
        <v>976</v>
      </c>
      <c r="L38" s="74" t="s">
        <v>153</v>
      </c>
      <c r="M38" s="74" t="s">
        <v>1103</v>
      </c>
      <c r="N38" s="178" t="s">
        <v>1061</v>
      </c>
      <c r="O38" s="173">
        <v>115000000</v>
      </c>
      <c r="P38" s="74" t="s">
        <v>1018</v>
      </c>
      <c r="Q38" s="174">
        <v>2.3300000000000001E-2</v>
      </c>
      <c r="R38" s="174">
        <v>8.6685892764000003E-2</v>
      </c>
      <c r="S38" s="174">
        <v>0.12510719976425172</v>
      </c>
      <c r="T38" s="198">
        <v>103.48</v>
      </c>
      <c r="U38" s="175">
        <v>103.85</v>
      </c>
      <c r="V38" s="173">
        <v>250000</v>
      </c>
      <c r="W38" s="173" t="s">
        <v>174</v>
      </c>
      <c r="X38" s="175">
        <v>1</v>
      </c>
      <c r="Y38" s="173">
        <v>3266.25</v>
      </c>
      <c r="Z38" s="173">
        <v>54</v>
      </c>
      <c r="AA38" s="173">
        <f t="shared" si="0"/>
        <v>259625</v>
      </c>
      <c r="AB38" s="173">
        <f t="shared" si="11"/>
        <v>262891.25</v>
      </c>
      <c r="AC38" s="173">
        <v>260362.5</v>
      </c>
      <c r="AD38" s="175">
        <v>0.58356164383561648</v>
      </c>
      <c r="AE38" s="199">
        <v>6.6715150000000001E-2</v>
      </c>
      <c r="AF38" s="199">
        <v>2.870795121940551E-2</v>
      </c>
      <c r="AG38" s="174">
        <f t="shared" si="12"/>
        <v>5.4079512194055088E-3</v>
      </c>
      <c r="AH38" s="174">
        <f t="shared" si="13"/>
        <v>0.81162183333549998</v>
      </c>
      <c r="AI38" s="175">
        <f t="shared" si="4"/>
        <v>1.232100910704099</v>
      </c>
      <c r="AJ38" s="173">
        <f t="shared" si="14"/>
        <v>31276.799941062931</v>
      </c>
      <c r="AK38" s="173">
        <f>V38*Q38</f>
        <v>5825</v>
      </c>
    </row>
    <row r="39" spans="1:37" ht="13.8" x14ac:dyDescent="0.3">
      <c r="A39" s="197" t="s">
        <v>758</v>
      </c>
      <c r="B39" s="151">
        <v>2</v>
      </c>
      <c r="C39" s="74" t="s">
        <v>197</v>
      </c>
      <c r="D39" s="74" t="s">
        <v>152</v>
      </c>
      <c r="E39" s="74">
        <v>45908</v>
      </c>
      <c r="F39" s="74">
        <v>45909</v>
      </c>
      <c r="G39" s="74" t="s">
        <v>969</v>
      </c>
      <c r="H39" s="74" t="s">
        <v>1104</v>
      </c>
      <c r="I39" s="74" t="s">
        <v>758</v>
      </c>
      <c r="J39" s="74" t="s">
        <v>1020</v>
      </c>
      <c r="K39" s="74" t="s">
        <v>976</v>
      </c>
      <c r="L39" s="74" t="s">
        <v>153</v>
      </c>
      <c r="M39" s="74" t="s">
        <v>1105</v>
      </c>
      <c r="N39" s="178" t="s">
        <v>1052</v>
      </c>
      <c r="O39" s="173">
        <v>100000000</v>
      </c>
      <c r="P39" s="74" t="s">
        <v>1023</v>
      </c>
      <c r="Q39" s="174">
        <v>1.54E-2</v>
      </c>
      <c r="R39" s="174">
        <v>0.10560776551218654</v>
      </c>
      <c r="S39" s="174">
        <v>0.14380719976425171</v>
      </c>
      <c r="T39" s="198">
        <v>103.29</v>
      </c>
      <c r="U39" s="175">
        <v>102.9</v>
      </c>
      <c r="V39" s="173">
        <v>250000</v>
      </c>
      <c r="W39" s="173" t="s">
        <v>174</v>
      </c>
      <c r="X39" s="175">
        <v>1</v>
      </c>
      <c r="Y39" s="173">
        <v>293.89</v>
      </c>
      <c r="Z39" s="173">
        <v>4</v>
      </c>
      <c r="AA39" s="173">
        <f t="shared" si="0"/>
        <v>257250</v>
      </c>
      <c r="AB39" s="173">
        <f t="shared" si="11"/>
        <v>257543.89</v>
      </c>
      <c r="AC39" s="173">
        <v>264450</v>
      </c>
      <c r="AD39" s="175">
        <v>0.57808219178082187</v>
      </c>
      <c r="AE39" s="199">
        <v>9.965251E-2</v>
      </c>
      <c r="AF39" s="199">
        <v>6.1645314554845482E-2</v>
      </c>
      <c r="AG39" s="174">
        <f t="shared" si="12"/>
        <v>4.6245314554845485E-2</v>
      </c>
      <c r="AH39" s="174">
        <f t="shared" si="13"/>
        <v>0.24981622871432846</v>
      </c>
      <c r="AI39" s="175">
        <f t="shared" si="4"/>
        <v>4.0029425035613952</v>
      </c>
      <c r="AJ39" s="173">
        <f t="shared" si="14"/>
        <v>35951.799941062927</v>
      </c>
      <c r="AK39" s="173">
        <f t="shared" si="6"/>
        <v>3850</v>
      </c>
    </row>
    <row r="40" spans="1:37" ht="13.8" x14ac:dyDescent="0.3">
      <c r="A40" s="197" t="s">
        <v>686</v>
      </c>
      <c r="B40" s="151">
        <v>1</v>
      </c>
      <c r="C40" s="74" t="s">
        <v>197</v>
      </c>
      <c r="D40" s="74" t="s">
        <v>152</v>
      </c>
      <c r="E40" s="74">
        <v>45912</v>
      </c>
      <c r="F40" s="74">
        <v>45917</v>
      </c>
      <c r="G40" s="74" t="s">
        <v>1106</v>
      </c>
      <c r="H40" s="74" t="s">
        <v>1107</v>
      </c>
      <c r="I40" s="74" t="s">
        <v>686</v>
      </c>
      <c r="J40" s="74" t="s">
        <v>1106</v>
      </c>
      <c r="K40" s="74" t="s">
        <v>154</v>
      </c>
      <c r="L40" s="74" t="s">
        <v>977</v>
      </c>
      <c r="M40" s="74">
        <v>45917</v>
      </c>
      <c r="N40" s="178">
        <v>47013</v>
      </c>
      <c r="O40" s="173">
        <v>60000000</v>
      </c>
      <c r="P40" s="74" t="s">
        <v>1108</v>
      </c>
      <c r="Q40" s="174">
        <v>9.7000000000000003E-3</v>
      </c>
      <c r="R40" s="174">
        <v>2.4988381811042064E-2</v>
      </c>
      <c r="S40" s="174">
        <v>6.3007199764251703E-2</v>
      </c>
      <c r="T40" s="198">
        <v>0</v>
      </c>
      <c r="U40" s="175">
        <v>100</v>
      </c>
      <c r="V40" s="173">
        <v>250000</v>
      </c>
      <c r="W40" s="173" t="s">
        <v>174</v>
      </c>
      <c r="X40" s="175">
        <v>1</v>
      </c>
      <c r="Y40" s="173">
        <v>0</v>
      </c>
      <c r="Z40" s="173">
        <v>0</v>
      </c>
      <c r="AA40" s="173">
        <f t="shared" si="0"/>
        <v>250000</v>
      </c>
      <c r="AB40" s="173">
        <f t="shared" si="11"/>
        <v>250000</v>
      </c>
      <c r="AC40" s="173">
        <v>251762.5</v>
      </c>
      <c r="AD40" s="175">
        <v>2.8657534246575342</v>
      </c>
      <c r="AE40" s="199">
        <v>6.3004889999999994E-2</v>
      </c>
      <c r="AF40" s="199">
        <v>2.4997692551247262E-2</v>
      </c>
      <c r="AG40" s="174">
        <f t="shared" si="12"/>
        <v>1.5297692551247261E-2</v>
      </c>
      <c r="AH40" s="174">
        <f t="shared" si="13"/>
        <v>0.38803581491028533</v>
      </c>
      <c r="AI40" s="175">
        <f t="shared" si="4"/>
        <v>2.5770817063141505</v>
      </c>
      <c r="AJ40" s="173">
        <f t="shared" si="14"/>
        <v>15751.799941062925</v>
      </c>
      <c r="AK40" s="173">
        <f t="shared" si="6"/>
        <v>2425</v>
      </c>
    </row>
    <row r="41" spans="1:37" ht="13.8" x14ac:dyDescent="0.3">
      <c r="A41" s="197" t="s">
        <v>761</v>
      </c>
      <c r="B41" s="151">
        <v>1</v>
      </c>
      <c r="C41" s="74" t="s">
        <v>197</v>
      </c>
      <c r="D41" s="74" t="s">
        <v>152</v>
      </c>
      <c r="E41" s="74">
        <v>45917</v>
      </c>
      <c r="F41" s="74">
        <v>45918</v>
      </c>
      <c r="G41" s="74" t="s">
        <v>969</v>
      </c>
      <c r="H41" s="74" t="s">
        <v>1109</v>
      </c>
      <c r="I41" s="74" t="s">
        <v>761</v>
      </c>
      <c r="J41" s="74" t="s">
        <v>150</v>
      </c>
      <c r="K41" s="74" t="s">
        <v>154</v>
      </c>
      <c r="L41" s="74" t="s">
        <v>153</v>
      </c>
      <c r="M41" s="74" t="s">
        <v>1110</v>
      </c>
      <c r="N41" s="178" t="s">
        <v>1111</v>
      </c>
      <c r="O41" s="173">
        <v>150000000</v>
      </c>
      <c r="P41" s="74" t="s">
        <v>973</v>
      </c>
      <c r="Q41" s="174">
        <v>1.54E-2</v>
      </c>
      <c r="R41" s="174">
        <v>3.9706274991874312E-2</v>
      </c>
      <c r="S41" s="174">
        <v>7.7952500000000008E-2</v>
      </c>
      <c r="T41" s="198">
        <v>103.74</v>
      </c>
      <c r="U41" s="175">
        <v>104.5</v>
      </c>
      <c r="V41" s="173">
        <v>250000</v>
      </c>
      <c r="W41" s="173" t="s">
        <v>174</v>
      </c>
      <c r="X41" s="175">
        <v>1</v>
      </c>
      <c r="Y41" s="173">
        <v>4444.07</v>
      </c>
      <c r="Z41" s="173">
        <v>79</v>
      </c>
      <c r="AA41" s="173">
        <f t="shared" si="0"/>
        <v>261250</v>
      </c>
      <c r="AB41" s="173">
        <f t="shared" si="11"/>
        <v>265694.07</v>
      </c>
      <c r="AC41" s="173">
        <v>261025</v>
      </c>
      <c r="AD41" s="175">
        <v>2.506849315068493</v>
      </c>
      <c r="AE41" s="199">
        <v>6.1684509999999998E-2</v>
      </c>
      <c r="AF41" s="199">
        <v>2.1454116404083068E-2</v>
      </c>
      <c r="AG41" s="174">
        <f t="shared" si="12"/>
        <v>6.0541164040830674E-3</v>
      </c>
      <c r="AH41" s="174">
        <f t="shared" si="13"/>
        <v>0.71781096503555508</v>
      </c>
      <c r="AI41" s="175">
        <f t="shared" si="4"/>
        <v>1.3931244418235758</v>
      </c>
      <c r="AJ41" s="173">
        <f t="shared" si="14"/>
        <v>19488.125000000004</v>
      </c>
      <c r="AK41" s="173">
        <f t="shared" si="6"/>
        <v>3850</v>
      </c>
    </row>
    <row r="42" spans="1:37" ht="13.8" x14ac:dyDescent="0.3">
      <c r="A42" s="197" t="s">
        <v>742</v>
      </c>
      <c r="B42" s="151">
        <v>1</v>
      </c>
      <c r="C42" s="74" t="s">
        <v>197</v>
      </c>
      <c r="D42" s="74" t="s">
        <v>152</v>
      </c>
      <c r="E42" s="74">
        <v>45918</v>
      </c>
      <c r="F42" s="74">
        <v>45919</v>
      </c>
      <c r="G42" s="74" t="s">
        <v>1096</v>
      </c>
      <c r="H42" s="74" t="s">
        <v>1112</v>
      </c>
      <c r="I42" s="74" t="s">
        <v>742</v>
      </c>
      <c r="J42" s="74" t="s">
        <v>1113</v>
      </c>
      <c r="K42" s="74" t="s">
        <v>976</v>
      </c>
      <c r="L42" s="74" t="s">
        <v>977</v>
      </c>
      <c r="M42" s="74" t="s">
        <v>1114</v>
      </c>
      <c r="N42" s="178" t="s">
        <v>1115</v>
      </c>
      <c r="O42" s="173">
        <v>50000000</v>
      </c>
      <c r="P42" s="74" t="s">
        <v>1116</v>
      </c>
      <c r="Q42" s="174">
        <v>3.78E-2</v>
      </c>
      <c r="R42" s="174">
        <v>7.9826155574328886E-2</v>
      </c>
      <c r="S42" s="174">
        <v>0.11890000000000001</v>
      </c>
      <c r="T42" s="198">
        <v>100.43</v>
      </c>
      <c r="U42" s="175">
        <v>104.65</v>
      </c>
      <c r="V42" s="173">
        <v>250000</v>
      </c>
      <c r="W42" s="173" t="s">
        <v>174</v>
      </c>
      <c r="X42" s="175">
        <v>1</v>
      </c>
      <c r="Y42" s="173">
        <v>2333.33</v>
      </c>
      <c r="Z42" s="173">
        <v>42</v>
      </c>
      <c r="AA42" s="173">
        <f t="shared" si="0"/>
        <v>261625</v>
      </c>
      <c r="AB42" s="173">
        <f t="shared" si="11"/>
        <v>263958.33</v>
      </c>
      <c r="AC42" s="173">
        <v>253575</v>
      </c>
      <c r="AD42" s="175">
        <v>2.504109589041096</v>
      </c>
      <c r="AE42" s="199">
        <v>9.9497470000000005E-2</v>
      </c>
      <c r="AF42" s="199">
        <v>5.9797468299949516E-2</v>
      </c>
      <c r="AG42" s="174">
        <f t="shared" si="12"/>
        <v>2.1997468299949516E-2</v>
      </c>
      <c r="AH42" s="174">
        <f t="shared" si="13"/>
        <v>0.63213378550395771</v>
      </c>
      <c r="AI42" s="175">
        <f t="shared" si="4"/>
        <v>1.5819436058187704</v>
      </c>
      <c r="AJ42" s="173">
        <f t="shared" si="14"/>
        <v>29725</v>
      </c>
      <c r="AK42" s="173">
        <f t="shared" si="6"/>
        <v>9450</v>
      </c>
    </row>
    <row r="43" spans="1:37" ht="13.8" x14ac:dyDescent="0.3">
      <c r="A43" s="197" t="s">
        <v>886</v>
      </c>
      <c r="B43" s="151">
        <v>6</v>
      </c>
      <c r="C43" s="74" t="s">
        <v>197</v>
      </c>
      <c r="D43" s="74" t="s">
        <v>152</v>
      </c>
      <c r="E43" s="74">
        <v>45929</v>
      </c>
      <c r="F43" s="74">
        <v>45930</v>
      </c>
      <c r="G43" s="74" t="s">
        <v>974</v>
      </c>
      <c r="H43" s="74" t="s">
        <v>1117</v>
      </c>
      <c r="I43" s="74" t="s">
        <v>886</v>
      </c>
      <c r="J43" s="74" t="s">
        <v>1059</v>
      </c>
      <c r="K43" s="74" t="s">
        <v>154</v>
      </c>
      <c r="L43" s="74" t="s">
        <v>153</v>
      </c>
      <c r="M43" s="74" t="s">
        <v>1044</v>
      </c>
      <c r="N43" s="178" t="s">
        <v>1061</v>
      </c>
      <c r="O43" s="173">
        <v>400000000</v>
      </c>
      <c r="P43" s="74" t="s">
        <v>1062</v>
      </c>
      <c r="Q43" s="174">
        <v>3.9399999999999998E-2</v>
      </c>
      <c r="R43" s="174">
        <v>0.11851947039424285</v>
      </c>
      <c r="S43" s="174">
        <v>0.1573</v>
      </c>
      <c r="T43" s="198">
        <v>104.87</v>
      </c>
      <c r="U43" s="175">
        <v>105.2</v>
      </c>
      <c r="V43" s="173">
        <v>250000</v>
      </c>
      <c r="W43" s="173" t="s">
        <v>174</v>
      </c>
      <c r="X43" s="175">
        <v>1</v>
      </c>
      <c r="Y43" s="173">
        <v>1237.5</v>
      </c>
      <c r="Z43" s="173">
        <v>15</v>
      </c>
      <c r="AA43" s="173">
        <f t="shared" si="0"/>
        <v>263000</v>
      </c>
      <c r="AB43" s="173">
        <f>AA43+Y43</f>
        <v>264237.5</v>
      </c>
      <c r="AC43" s="173">
        <v>263375</v>
      </c>
      <c r="AD43" s="175">
        <v>0.58356164383561648</v>
      </c>
      <c r="AE43" s="199">
        <v>8.1617250000000002E-2</v>
      </c>
      <c r="AF43" s="199">
        <v>4.1717248175702937E-2</v>
      </c>
      <c r="AG43" s="174">
        <f t="shared" si="12"/>
        <v>2.3172481757029392E-3</v>
      </c>
      <c r="AH43" s="174">
        <f t="shared" si="13"/>
        <v>0.94445347483268183</v>
      </c>
      <c r="AI43" s="175">
        <f t="shared" si="4"/>
        <v>1.058813405474694</v>
      </c>
      <c r="AJ43" s="173">
        <f t="shared" si="14"/>
        <v>39325</v>
      </c>
      <c r="AK43" s="173">
        <f t="shared" si="6"/>
        <v>9850</v>
      </c>
    </row>
    <row r="44" spans="1:37" ht="13.8" x14ac:dyDescent="0.3">
      <c r="A44" s="197" t="s">
        <v>676</v>
      </c>
      <c r="B44" s="151">
        <v>6</v>
      </c>
      <c r="C44" s="74" t="s">
        <v>197</v>
      </c>
      <c r="D44" s="74" t="s">
        <v>152</v>
      </c>
      <c r="E44" s="74">
        <v>45931</v>
      </c>
      <c r="F44" s="74">
        <v>45932</v>
      </c>
      <c r="G44" s="74" t="s">
        <v>969</v>
      </c>
      <c r="H44" s="74" t="s">
        <v>1118</v>
      </c>
      <c r="I44" s="74" t="s">
        <v>676</v>
      </c>
      <c r="J44" s="74" t="s">
        <v>164</v>
      </c>
      <c r="K44" s="74" t="s">
        <v>976</v>
      </c>
      <c r="L44" s="74" t="s">
        <v>153</v>
      </c>
      <c r="M44" s="74" t="s">
        <v>1119</v>
      </c>
      <c r="N44" s="178" t="s">
        <v>979</v>
      </c>
      <c r="O44" s="173">
        <v>400000000</v>
      </c>
      <c r="P44" s="74" t="s">
        <v>1012</v>
      </c>
      <c r="Q44" s="174">
        <v>7.7999999999999996E-3</v>
      </c>
      <c r="R44" s="174">
        <v>5.5537226117820832E-2</v>
      </c>
      <c r="S44" s="174">
        <v>9.4200000000000006E-2</v>
      </c>
      <c r="T44" s="198">
        <v>103.91</v>
      </c>
      <c r="U44" s="175">
        <v>105.4</v>
      </c>
      <c r="V44" s="173">
        <v>675000</v>
      </c>
      <c r="W44" s="173" t="s">
        <v>174</v>
      </c>
      <c r="X44" s="175">
        <v>1</v>
      </c>
      <c r="Y44" s="173">
        <v>312.75</v>
      </c>
      <c r="Z44" s="173">
        <v>3</v>
      </c>
      <c r="AA44" s="173">
        <f t="shared" si="0"/>
        <v>711450</v>
      </c>
      <c r="AB44" s="173">
        <f t="shared" ref="AB44:AB56" si="15">AA44+Y44</f>
        <v>711762.75</v>
      </c>
      <c r="AC44" s="173">
        <v>714723.75</v>
      </c>
      <c r="AD44" s="175">
        <v>2.419178082191781</v>
      </c>
      <c r="AE44" s="199">
        <v>7.1962929999999994E-2</v>
      </c>
      <c r="AF44" s="199">
        <v>3.2262928048453043E-2</v>
      </c>
      <c r="AG44" s="174">
        <f t="shared" si="12"/>
        <v>2.4462928048453042E-2</v>
      </c>
      <c r="AH44" s="174">
        <f t="shared" si="13"/>
        <v>0.24176354943003994</v>
      </c>
      <c r="AI44" s="175">
        <f t="shared" si="4"/>
        <v>4.1362728267247491</v>
      </c>
      <c r="AJ44" s="173">
        <f t="shared" si="14"/>
        <v>63585.000000000007</v>
      </c>
      <c r="AK44" s="173">
        <f t="shared" si="6"/>
        <v>5265</v>
      </c>
    </row>
    <row r="45" spans="1:37" ht="13.8" x14ac:dyDescent="0.3">
      <c r="A45" s="197" t="s">
        <v>843</v>
      </c>
      <c r="B45" s="151">
        <v>6</v>
      </c>
      <c r="C45" s="74" t="s">
        <v>197</v>
      </c>
      <c r="D45" s="74" t="s">
        <v>152</v>
      </c>
      <c r="E45" s="74">
        <v>45939</v>
      </c>
      <c r="F45" s="74">
        <v>45940</v>
      </c>
      <c r="G45" s="74" t="s">
        <v>969</v>
      </c>
      <c r="H45" s="74" t="s">
        <v>1120</v>
      </c>
      <c r="I45" s="74" t="s">
        <v>843</v>
      </c>
      <c r="J45" s="74" t="s">
        <v>1047</v>
      </c>
      <c r="K45" s="74" t="s">
        <v>976</v>
      </c>
      <c r="L45" s="74" t="s">
        <v>153</v>
      </c>
      <c r="M45" s="74" t="s">
        <v>1121</v>
      </c>
      <c r="N45" s="178" t="s">
        <v>1122</v>
      </c>
      <c r="O45" s="173">
        <v>250000000</v>
      </c>
      <c r="P45" s="74" t="s">
        <v>1048</v>
      </c>
      <c r="Q45" s="174">
        <v>1.7500000000000002E-2</v>
      </c>
      <c r="R45" s="174">
        <v>0.10155835726933092</v>
      </c>
      <c r="S45" s="174">
        <v>0.14069999999999999</v>
      </c>
      <c r="T45" s="198">
        <v>106.04</v>
      </c>
      <c r="U45" s="175">
        <v>107.85</v>
      </c>
      <c r="V45" s="173">
        <v>250000</v>
      </c>
      <c r="W45" s="173" t="s">
        <v>174</v>
      </c>
      <c r="X45" s="175">
        <v>1</v>
      </c>
      <c r="Y45" s="173">
        <v>3627.92</v>
      </c>
      <c r="Z45" s="173">
        <v>38</v>
      </c>
      <c r="AA45" s="173">
        <f t="shared" si="0"/>
        <v>269625</v>
      </c>
      <c r="AB45" s="173">
        <f t="shared" si="15"/>
        <v>273252.92</v>
      </c>
      <c r="AC45" s="173">
        <v>269175</v>
      </c>
      <c r="AD45" s="175">
        <v>1.3068493150684932</v>
      </c>
      <c r="AE45" s="199">
        <v>8.1237019999999993E-2</v>
      </c>
      <c r="AF45" s="199">
        <v>4.1937022461208007E-2</v>
      </c>
      <c r="AG45" s="174">
        <f t="shared" si="12"/>
        <v>2.4437022461208005E-2</v>
      </c>
      <c r="AH45" s="174">
        <f t="shared" si="13"/>
        <v>0.41729238207570901</v>
      </c>
      <c r="AI45" s="175">
        <f t="shared" si="4"/>
        <v>2.3964012834976001</v>
      </c>
      <c r="AJ45" s="173">
        <f t="shared" si="14"/>
        <v>35175</v>
      </c>
      <c r="AK45" s="173">
        <f t="shared" si="6"/>
        <v>4375</v>
      </c>
    </row>
    <row r="46" spans="1:37" ht="13.8" x14ac:dyDescent="0.3">
      <c r="A46" s="197" t="s">
        <v>844</v>
      </c>
      <c r="B46" s="151">
        <v>6</v>
      </c>
      <c r="C46" s="74" t="s">
        <v>197</v>
      </c>
      <c r="D46" s="74" t="s">
        <v>152</v>
      </c>
      <c r="E46" s="74">
        <v>45939</v>
      </c>
      <c r="F46" s="74">
        <v>45944</v>
      </c>
      <c r="G46" s="74" t="s">
        <v>1096</v>
      </c>
      <c r="H46" s="74" t="s">
        <v>1123</v>
      </c>
      <c r="I46" s="74" t="s">
        <v>844</v>
      </c>
      <c r="J46" s="74" t="s">
        <v>1047</v>
      </c>
      <c r="K46" s="74" t="s">
        <v>976</v>
      </c>
      <c r="L46" s="74" t="s">
        <v>153</v>
      </c>
      <c r="M46" s="74" t="s">
        <v>1121</v>
      </c>
      <c r="N46" s="178" t="s">
        <v>1122</v>
      </c>
      <c r="O46" s="173">
        <v>150000000</v>
      </c>
      <c r="P46" s="74" t="s">
        <v>1048</v>
      </c>
      <c r="Q46" s="174">
        <v>2.24E-2</v>
      </c>
      <c r="R46" s="174">
        <v>0.11663967313373171</v>
      </c>
      <c r="S46" s="174">
        <v>0.1555</v>
      </c>
      <c r="T46" s="198">
        <v>105.89</v>
      </c>
      <c r="U46" s="175">
        <v>108.35</v>
      </c>
      <c r="V46" s="173">
        <v>250000</v>
      </c>
      <c r="W46" s="173" t="s">
        <v>174</v>
      </c>
      <c r="X46" s="175">
        <v>1</v>
      </c>
      <c r="Y46" s="173">
        <v>4577.99</v>
      </c>
      <c r="Z46" s="173">
        <v>42</v>
      </c>
      <c r="AA46" s="173">
        <f t="shared" si="0"/>
        <v>270875</v>
      </c>
      <c r="AB46" s="173">
        <f t="shared" si="15"/>
        <v>275452.99</v>
      </c>
      <c r="AC46" s="173">
        <v>269275</v>
      </c>
      <c r="AD46" s="175">
        <v>1.3068493150684932</v>
      </c>
      <c r="AE46" s="199">
        <v>9.1780930000000011E-2</v>
      </c>
      <c r="AF46" s="199">
        <v>5.2580929798629883E-2</v>
      </c>
      <c r="AG46" s="174">
        <f t="shared" si="12"/>
        <v>3.0180929798629883E-2</v>
      </c>
      <c r="AH46" s="174">
        <f t="shared" si="13"/>
        <v>0.42600996379838996</v>
      </c>
      <c r="AI46" s="175">
        <f t="shared" si="4"/>
        <v>2.3473629374388341</v>
      </c>
      <c r="AJ46" s="173">
        <f t="shared" si="14"/>
        <v>38875</v>
      </c>
      <c r="AK46" s="173">
        <f t="shared" si="6"/>
        <v>5600</v>
      </c>
    </row>
    <row r="47" spans="1:37" ht="13.8" x14ac:dyDescent="0.3">
      <c r="A47" s="197" t="s">
        <v>830</v>
      </c>
      <c r="B47" s="151">
        <v>2</v>
      </c>
      <c r="C47" s="74" t="s">
        <v>197</v>
      </c>
      <c r="D47" s="74" t="s">
        <v>152</v>
      </c>
      <c r="E47" s="74">
        <v>45944</v>
      </c>
      <c r="F47" s="74">
        <v>45945</v>
      </c>
      <c r="G47" s="74" t="s">
        <v>969</v>
      </c>
      <c r="H47" s="74" t="s">
        <v>1124</v>
      </c>
      <c r="I47" s="74" t="s">
        <v>830</v>
      </c>
      <c r="J47" s="74" t="s">
        <v>1054</v>
      </c>
      <c r="K47" s="74" t="s">
        <v>154</v>
      </c>
      <c r="L47" s="74" t="s">
        <v>153</v>
      </c>
      <c r="M47" s="74" t="s">
        <v>1125</v>
      </c>
      <c r="N47" s="178" t="s">
        <v>1126</v>
      </c>
      <c r="O47" s="173">
        <v>450000000</v>
      </c>
      <c r="P47" s="74" t="s">
        <v>1057</v>
      </c>
      <c r="Q47" s="174">
        <v>1.43E-2</v>
      </c>
      <c r="R47" s="174">
        <v>0.1048799995805455</v>
      </c>
      <c r="S47" s="174">
        <v>0.14378453999999999</v>
      </c>
      <c r="T47" s="198">
        <v>105.14</v>
      </c>
      <c r="U47" s="175">
        <v>107.75</v>
      </c>
      <c r="V47" s="173">
        <v>500000</v>
      </c>
      <c r="W47" s="173" t="s">
        <v>174</v>
      </c>
      <c r="X47" s="175">
        <v>1</v>
      </c>
      <c r="Y47" s="173">
        <v>200.56</v>
      </c>
      <c r="Z47" s="173">
        <v>0</v>
      </c>
      <c r="AA47" s="173">
        <f t="shared" si="0"/>
        <v>538750</v>
      </c>
      <c r="AB47" s="173">
        <f t="shared" si="15"/>
        <v>538950.56000000006</v>
      </c>
      <c r="AC47" s="173">
        <v>537600</v>
      </c>
      <c r="AD47" s="175">
        <v>1.515068493150685</v>
      </c>
      <c r="AE47" s="199">
        <v>9.2212089999999997E-2</v>
      </c>
      <c r="AF47" s="199">
        <v>5.2857792866939986E-2</v>
      </c>
      <c r="AG47" s="174">
        <f t="shared" si="12"/>
        <v>3.8557792866939986E-2</v>
      </c>
      <c r="AH47" s="174">
        <f t="shared" si="13"/>
        <v>0.27053721361385041</v>
      </c>
      <c r="AI47" s="175">
        <f t="shared" si="4"/>
        <v>3.6963491515342644</v>
      </c>
      <c r="AJ47" s="173">
        <f t="shared" si="14"/>
        <v>71892.26999999999</v>
      </c>
      <c r="AK47" s="173">
        <f t="shared" si="6"/>
        <v>7150</v>
      </c>
    </row>
    <row r="48" spans="1:37" ht="13.8" x14ac:dyDescent="0.3">
      <c r="A48" s="197" t="s">
        <v>930</v>
      </c>
      <c r="B48" s="151">
        <v>6</v>
      </c>
      <c r="C48" s="74" t="s">
        <v>197</v>
      </c>
      <c r="D48" s="74" t="s">
        <v>152</v>
      </c>
      <c r="E48" s="74">
        <v>45947</v>
      </c>
      <c r="F48" s="74">
        <v>45965</v>
      </c>
      <c r="G48" s="74" t="s">
        <v>1106</v>
      </c>
      <c r="H48" s="74" t="s">
        <v>1127</v>
      </c>
      <c r="I48" s="74" t="s">
        <v>930</v>
      </c>
      <c r="J48" s="74" t="s">
        <v>1128</v>
      </c>
      <c r="K48" s="74" t="s">
        <v>976</v>
      </c>
      <c r="L48" s="74" t="s">
        <v>153</v>
      </c>
      <c r="M48" s="200">
        <v>45992</v>
      </c>
      <c r="N48" s="178">
        <v>47452</v>
      </c>
      <c r="O48" s="173">
        <v>200000000</v>
      </c>
      <c r="P48" s="74" t="s">
        <v>1129</v>
      </c>
      <c r="Q48" s="174">
        <v>7.2700000000000001E-2</v>
      </c>
      <c r="R48" s="174">
        <v>0.10249910460730333</v>
      </c>
      <c r="S48" s="174">
        <v>0.14050719976425172</v>
      </c>
      <c r="T48" s="198">
        <v>0</v>
      </c>
      <c r="U48" s="175">
        <v>100</v>
      </c>
      <c r="V48" s="173">
        <v>250000</v>
      </c>
      <c r="W48" s="173" t="s">
        <v>174</v>
      </c>
      <c r="X48" s="175">
        <v>1</v>
      </c>
      <c r="Y48" s="173">
        <v>0</v>
      </c>
      <c r="Z48" s="173">
        <v>0</v>
      </c>
      <c r="AA48" s="173">
        <f t="shared" si="0"/>
        <v>250000</v>
      </c>
      <c r="AB48" s="173">
        <f t="shared" si="15"/>
        <v>250000</v>
      </c>
      <c r="AC48" s="173">
        <v>250285.48</v>
      </c>
      <c r="AD48" s="175">
        <v>4.0684931506849313</v>
      </c>
      <c r="AE48" s="199">
        <v>0.1405063</v>
      </c>
      <c r="AF48" s="199">
        <v>0.10249910460730333</v>
      </c>
      <c r="AG48" s="174">
        <f t="shared" si="12"/>
        <v>2.9799104607303326E-2</v>
      </c>
      <c r="AH48" s="174">
        <f t="shared" si="13"/>
        <v>0.70927448857753184</v>
      </c>
      <c r="AI48" s="175">
        <f t="shared" si="4"/>
        <v>1.4098913976245298</v>
      </c>
      <c r="AJ48" s="173">
        <f t="shared" si="14"/>
        <v>35126.799941062927</v>
      </c>
      <c r="AK48" s="173">
        <f t="shared" si="6"/>
        <v>18175</v>
      </c>
    </row>
    <row r="49" spans="1:37" ht="13.8" x14ac:dyDescent="0.3">
      <c r="A49" s="197" t="s">
        <v>929</v>
      </c>
      <c r="B49" s="151">
        <v>6</v>
      </c>
      <c r="C49" s="74" t="s">
        <v>197</v>
      </c>
      <c r="D49" s="74" t="s">
        <v>152</v>
      </c>
      <c r="E49" s="74">
        <v>45951</v>
      </c>
      <c r="F49" s="74">
        <v>45952</v>
      </c>
      <c r="G49" s="74" t="s">
        <v>974</v>
      </c>
      <c r="H49" s="74" t="s">
        <v>1130</v>
      </c>
      <c r="I49" s="74" t="s">
        <v>929</v>
      </c>
      <c r="J49" s="74" t="s">
        <v>1131</v>
      </c>
      <c r="K49" s="74" t="s">
        <v>154</v>
      </c>
      <c r="L49" s="74" t="s">
        <v>977</v>
      </c>
      <c r="M49" s="200" t="s">
        <v>1132</v>
      </c>
      <c r="N49" s="178" t="s">
        <v>1022</v>
      </c>
      <c r="O49" s="173">
        <v>90000000</v>
      </c>
      <c r="P49" s="74" t="s">
        <v>1133</v>
      </c>
      <c r="Q49" s="174">
        <v>9.9500000000000005E-2</v>
      </c>
      <c r="R49" s="174">
        <v>0.30892214222389702</v>
      </c>
      <c r="S49" s="174">
        <v>0.34800719976425171</v>
      </c>
      <c r="T49" s="198">
        <v>103.39</v>
      </c>
      <c r="U49" s="175">
        <v>116</v>
      </c>
      <c r="V49" s="173">
        <v>500000</v>
      </c>
      <c r="W49" s="173" t="s">
        <v>174</v>
      </c>
      <c r="X49" s="175">
        <v>1</v>
      </c>
      <c r="Y49" s="173">
        <v>21527.78</v>
      </c>
      <c r="Z49" s="173">
        <v>50</v>
      </c>
      <c r="AA49" s="173">
        <f t="shared" si="0"/>
        <v>580000</v>
      </c>
      <c r="AB49" s="173">
        <f t="shared" si="15"/>
        <v>601527.78</v>
      </c>
      <c r="AC49" s="173">
        <v>578750</v>
      </c>
      <c r="AD49" s="175">
        <v>1.5835616438356164</v>
      </c>
      <c r="AE49" s="199">
        <v>0.22822942999999998</v>
      </c>
      <c r="AF49" s="199">
        <v>0.19022223347173384</v>
      </c>
      <c r="AG49" s="174">
        <f t="shared" si="12"/>
        <v>9.0722233471733832E-2</v>
      </c>
      <c r="AH49" s="174">
        <f t="shared" si="13"/>
        <v>0.52307239897267455</v>
      </c>
      <c r="AI49" s="175">
        <f t="shared" si="4"/>
        <v>1.9117812409219479</v>
      </c>
      <c r="AJ49" s="173">
        <f t="shared" si="14"/>
        <v>174003.59988212585</v>
      </c>
      <c r="AK49" s="173">
        <f t="shared" si="6"/>
        <v>49750</v>
      </c>
    </row>
    <row r="50" spans="1:37" ht="13.8" x14ac:dyDescent="0.3">
      <c r="A50" s="197" t="s">
        <v>739</v>
      </c>
      <c r="B50" s="151">
        <v>1</v>
      </c>
      <c r="C50" s="74" t="s">
        <v>197</v>
      </c>
      <c r="D50" s="74" t="s">
        <v>152</v>
      </c>
      <c r="E50" s="74">
        <v>45957</v>
      </c>
      <c r="F50" s="74">
        <v>45958</v>
      </c>
      <c r="G50" s="74" t="s">
        <v>969</v>
      </c>
      <c r="H50" s="74" t="s">
        <v>1134</v>
      </c>
      <c r="I50" s="74" t="s">
        <v>739</v>
      </c>
      <c r="J50" s="74" t="s">
        <v>207</v>
      </c>
      <c r="K50" s="74" t="s">
        <v>976</v>
      </c>
      <c r="L50" s="74" t="s">
        <v>153</v>
      </c>
      <c r="M50" s="200" t="s">
        <v>994</v>
      </c>
      <c r="N50" s="178" t="s">
        <v>995</v>
      </c>
      <c r="O50" s="173">
        <v>150000000</v>
      </c>
      <c r="P50" s="74" t="s">
        <v>996</v>
      </c>
      <c r="Q50" s="174">
        <v>2.5700000000000001E-2</v>
      </c>
      <c r="R50" s="174">
        <v>4.9959879564915204E-2</v>
      </c>
      <c r="S50" s="174">
        <v>8.8784539999999995E-2</v>
      </c>
      <c r="T50" s="198">
        <v>100.97</v>
      </c>
      <c r="U50" s="175">
        <v>101.25</v>
      </c>
      <c r="V50" s="173">
        <v>250000</v>
      </c>
      <c r="W50" s="173" t="s">
        <v>174</v>
      </c>
      <c r="X50" s="175">
        <v>1</v>
      </c>
      <c r="Y50" s="173">
        <v>1088.72</v>
      </c>
      <c r="Z50" s="173">
        <v>18</v>
      </c>
      <c r="AA50" s="173">
        <f t="shared" si="0"/>
        <v>253125</v>
      </c>
      <c r="AB50" s="173">
        <f t="shared" si="15"/>
        <v>254213.72</v>
      </c>
      <c r="AC50" s="173">
        <v>253250</v>
      </c>
      <c r="AD50" s="175">
        <v>2.3369863013698629</v>
      </c>
      <c r="AE50" s="199">
        <v>8.3334779999999997E-2</v>
      </c>
      <c r="AF50" s="199">
        <v>4.4182315962045297E-2</v>
      </c>
      <c r="AG50" s="174">
        <f t="shared" si="12"/>
        <v>1.8482315962045297E-2</v>
      </c>
      <c r="AH50" s="174">
        <f t="shared" si="13"/>
        <v>0.58168068921686944</v>
      </c>
      <c r="AI50" s="175">
        <f t="shared" si="4"/>
        <v>1.7191562631146029</v>
      </c>
      <c r="AJ50" s="173">
        <f t="shared" si="14"/>
        <v>22196.134999999998</v>
      </c>
      <c r="AK50" s="173">
        <f t="shared" si="6"/>
        <v>6425</v>
      </c>
    </row>
    <row r="51" spans="1:37" ht="13.8" x14ac:dyDescent="0.3">
      <c r="A51" s="197" t="s">
        <v>872</v>
      </c>
      <c r="B51" s="151">
        <v>1</v>
      </c>
      <c r="C51" s="74" t="s">
        <v>197</v>
      </c>
      <c r="D51" s="74" t="s">
        <v>152</v>
      </c>
      <c r="E51" s="74">
        <v>45960</v>
      </c>
      <c r="F51" s="74">
        <v>45961</v>
      </c>
      <c r="G51" s="74" t="s">
        <v>969</v>
      </c>
      <c r="H51" s="74" t="s">
        <v>1135</v>
      </c>
      <c r="I51" s="74" t="s">
        <v>872</v>
      </c>
      <c r="J51" s="74" t="s">
        <v>1039</v>
      </c>
      <c r="K51" s="74" t="s">
        <v>154</v>
      </c>
      <c r="L51" s="74" t="s">
        <v>153</v>
      </c>
      <c r="M51" s="200" t="s">
        <v>1040</v>
      </c>
      <c r="N51" s="178" t="s">
        <v>1041</v>
      </c>
      <c r="O51" s="173">
        <v>150000000</v>
      </c>
      <c r="P51" s="74" t="s">
        <v>992</v>
      </c>
      <c r="Q51" s="174">
        <v>1.06E-2</v>
      </c>
      <c r="R51" s="174">
        <v>6.6935978235605917E-2</v>
      </c>
      <c r="S51" s="174">
        <v>0.10550000000000001</v>
      </c>
      <c r="T51" s="198">
        <v>103.31</v>
      </c>
      <c r="U51" s="175">
        <v>103.15</v>
      </c>
      <c r="V51" s="173">
        <v>250000</v>
      </c>
      <c r="W51" s="173" t="s">
        <v>174</v>
      </c>
      <c r="X51" s="175">
        <v>1</v>
      </c>
      <c r="Y51" s="173">
        <v>193.47</v>
      </c>
      <c r="Z51" s="173">
        <v>3</v>
      </c>
      <c r="AA51" s="173">
        <f t="shared" si="0"/>
        <v>257875</v>
      </c>
      <c r="AB51" s="173">
        <f t="shared" si="15"/>
        <v>258068.47</v>
      </c>
      <c r="AC51" s="173">
        <v>258000</v>
      </c>
      <c r="AD51" s="175">
        <v>0.75068493150684934</v>
      </c>
      <c r="AE51" s="199">
        <v>6.3872529999999997E-2</v>
      </c>
      <c r="AF51" s="199">
        <v>2.5372528841074379E-2</v>
      </c>
      <c r="AG51" s="174">
        <f t="shared" si="12"/>
        <v>1.4772528841074379E-2</v>
      </c>
      <c r="AH51" s="174">
        <f t="shared" si="13"/>
        <v>0.4177746753741064</v>
      </c>
      <c r="AI51" s="175">
        <f t="shared" si="4"/>
        <v>2.3936347963277713</v>
      </c>
      <c r="AJ51" s="173">
        <f t="shared" si="14"/>
        <v>26375.000000000004</v>
      </c>
      <c r="AK51" s="173">
        <f t="shared" si="6"/>
        <v>2650</v>
      </c>
    </row>
    <row r="52" spans="1:37" ht="13.8" x14ac:dyDescent="0.3">
      <c r="A52" s="197" t="s">
        <v>904</v>
      </c>
      <c r="B52" s="151">
        <v>1</v>
      </c>
      <c r="C52" s="74" t="s">
        <v>197</v>
      </c>
      <c r="D52" s="74" t="s">
        <v>152</v>
      </c>
      <c r="E52" s="74">
        <v>45960</v>
      </c>
      <c r="F52" s="74">
        <v>45961</v>
      </c>
      <c r="G52" s="74" t="s">
        <v>969</v>
      </c>
      <c r="H52" s="74" t="s">
        <v>1136</v>
      </c>
      <c r="I52" s="74" t="s">
        <v>904</v>
      </c>
      <c r="J52" s="74" t="s">
        <v>205</v>
      </c>
      <c r="K52" s="74" t="s">
        <v>154</v>
      </c>
      <c r="L52" s="74" t="s">
        <v>153</v>
      </c>
      <c r="M52" s="200" t="s">
        <v>1137</v>
      </c>
      <c r="N52" s="178" t="s">
        <v>1138</v>
      </c>
      <c r="O52" s="173">
        <v>225000000</v>
      </c>
      <c r="P52" s="74" t="s">
        <v>992</v>
      </c>
      <c r="Q52" s="174">
        <v>1.8599999999999998E-2</v>
      </c>
      <c r="R52" s="174">
        <v>6.7344707219000002E-2</v>
      </c>
      <c r="S52" s="174">
        <v>0.106</v>
      </c>
      <c r="T52" s="198">
        <v>102.23</v>
      </c>
      <c r="U52" s="175">
        <v>102.35</v>
      </c>
      <c r="V52" s="173">
        <v>250000</v>
      </c>
      <c r="W52" s="173" t="s">
        <v>174</v>
      </c>
      <c r="X52" s="175">
        <v>1</v>
      </c>
      <c r="Y52" s="173">
        <v>4311.71</v>
      </c>
      <c r="Z52" s="173">
        <v>59</v>
      </c>
      <c r="AA52" s="173">
        <f t="shared" si="0"/>
        <v>255875</v>
      </c>
      <c r="AB52" s="173">
        <f t="shared" si="15"/>
        <v>260186.71</v>
      </c>
      <c r="AC52" s="173">
        <v>255637.5</v>
      </c>
      <c r="AD52" s="175">
        <v>0.61643835616438358</v>
      </c>
      <c r="AE52" s="199">
        <v>6.777103000000001E-2</v>
      </c>
      <c r="AF52" s="199">
        <v>2.9271027283087746E-2</v>
      </c>
      <c r="AG52" s="174">
        <f t="shared" si="12"/>
        <v>1.0671027283087747E-2</v>
      </c>
      <c r="AH52" s="174">
        <f t="shared" si="13"/>
        <v>0.63544062940171331</v>
      </c>
      <c r="AI52" s="175">
        <f t="shared" si="4"/>
        <v>1.5737111442520293</v>
      </c>
      <c r="AJ52" s="173">
        <f t="shared" si="14"/>
        <v>26500</v>
      </c>
      <c r="AK52" s="173">
        <f t="shared" si="6"/>
        <v>4650</v>
      </c>
    </row>
    <row r="53" spans="1:37" ht="13.8" x14ac:dyDescent="0.3">
      <c r="A53" s="197" t="s">
        <v>771</v>
      </c>
      <c r="B53" s="151">
        <v>6</v>
      </c>
      <c r="C53" s="74" t="s">
        <v>197</v>
      </c>
      <c r="D53" s="74" t="s">
        <v>152</v>
      </c>
      <c r="E53" s="74">
        <v>45964</v>
      </c>
      <c r="F53" s="74">
        <v>45965</v>
      </c>
      <c r="G53" s="74" t="s">
        <v>969</v>
      </c>
      <c r="H53" s="74" t="s">
        <v>1139</v>
      </c>
      <c r="I53" s="74" t="s">
        <v>771</v>
      </c>
      <c r="J53" s="74" t="s">
        <v>1059</v>
      </c>
      <c r="K53" s="74" t="s">
        <v>154</v>
      </c>
      <c r="L53" s="74" t="s">
        <v>153</v>
      </c>
      <c r="M53" s="200" t="s">
        <v>1140</v>
      </c>
      <c r="N53" s="178" t="s">
        <v>1141</v>
      </c>
      <c r="O53" s="173">
        <v>250000000</v>
      </c>
      <c r="P53" s="74" t="s">
        <v>1062</v>
      </c>
      <c r="Q53" s="174">
        <v>2.0199999999999999E-2</v>
      </c>
      <c r="R53" s="174">
        <v>5.7464214954606088E-2</v>
      </c>
      <c r="S53" s="174">
        <v>9.6000000000000002E-2</v>
      </c>
      <c r="T53" s="198">
        <v>104.66</v>
      </c>
      <c r="U53" s="175">
        <v>105.6</v>
      </c>
      <c r="V53" s="173">
        <v>250000</v>
      </c>
      <c r="W53" s="173" t="s">
        <v>174</v>
      </c>
      <c r="X53" s="175">
        <v>1</v>
      </c>
      <c r="Y53" s="173">
        <v>1312.99</v>
      </c>
      <c r="Z53" s="173">
        <v>20</v>
      </c>
      <c r="AA53" s="173">
        <f t="shared" si="0"/>
        <v>264000</v>
      </c>
      <c r="AB53" s="173">
        <f t="shared" si="15"/>
        <v>265312.99</v>
      </c>
      <c r="AC53" s="173">
        <v>264125</v>
      </c>
      <c r="AD53" s="175">
        <v>2.5863013698630137</v>
      </c>
      <c r="AE53" s="199">
        <v>7.2376590000000005E-2</v>
      </c>
      <c r="AF53" s="199">
        <v>3.4076587406479709E-2</v>
      </c>
      <c r="AG53" s="174">
        <f t="shared" si="12"/>
        <v>1.387658740647971E-2</v>
      </c>
      <c r="AH53" s="174">
        <f t="shared" si="13"/>
        <v>0.59278236283011554</v>
      </c>
      <c r="AI53" s="175">
        <f t="shared" si="4"/>
        <v>1.6869597725980052</v>
      </c>
      <c r="AJ53" s="173">
        <f t="shared" si="14"/>
        <v>24000</v>
      </c>
      <c r="AK53" s="173">
        <f t="shared" si="6"/>
        <v>5050</v>
      </c>
    </row>
    <row r="54" spans="1:37" ht="13.8" x14ac:dyDescent="0.3">
      <c r="A54" s="197" t="s">
        <v>723</v>
      </c>
      <c r="B54" s="151">
        <v>1</v>
      </c>
      <c r="C54" s="74" t="s">
        <v>197</v>
      </c>
      <c r="D54" s="74" t="s">
        <v>152</v>
      </c>
      <c r="E54" s="74">
        <v>45965</v>
      </c>
      <c r="F54" s="74">
        <v>45966</v>
      </c>
      <c r="G54" s="74" t="s">
        <v>974</v>
      </c>
      <c r="H54" s="74" t="s">
        <v>1142</v>
      </c>
      <c r="I54" s="74" t="s">
        <v>723</v>
      </c>
      <c r="J54" s="74" t="s">
        <v>1050</v>
      </c>
      <c r="K54" s="74" t="s">
        <v>976</v>
      </c>
      <c r="L54" s="74" t="s">
        <v>153</v>
      </c>
      <c r="M54" s="200" t="s">
        <v>1143</v>
      </c>
      <c r="N54" s="178" t="s">
        <v>1141</v>
      </c>
      <c r="O54" s="173">
        <v>200000000</v>
      </c>
      <c r="P54" s="74" t="s">
        <v>996</v>
      </c>
      <c r="Q54" s="174">
        <v>1.84E-2</v>
      </c>
      <c r="R54" s="174">
        <v>4.4998097121062182E-2</v>
      </c>
      <c r="S54" s="174">
        <v>8.3599999999999994E-2</v>
      </c>
      <c r="T54" s="198">
        <v>100.51</v>
      </c>
      <c r="U54" s="175">
        <v>103</v>
      </c>
      <c r="V54" s="173">
        <v>250000</v>
      </c>
      <c r="W54" s="173" t="s">
        <v>174</v>
      </c>
      <c r="X54" s="175">
        <v>1</v>
      </c>
      <c r="Y54" s="173">
        <v>1692.64</v>
      </c>
      <c r="Z54" s="173">
        <v>29</v>
      </c>
      <c r="AA54" s="173">
        <f t="shared" si="0"/>
        <v>257500</v>
      </c>
      <c r="AB54" s="173">
        <f t="shared" si="15"/>
        <v>259192.64</v>
      </c>
      <c r="AC54" s="173">
        <v>257612.5</v>
      </c>
      <c r="AD54" s="175">
        <v>2.5863013698630137</v>
      </c>
      <c r="AE54" s="199">
        <v>7.1044219999999991E-2</v>
      </c>
      <c r="AF54" s="199">
        <v>3.2444220183021816E-2</v>
      </c>
      <c r="AG54" s="174">
        <f t="shared" si="12"/>
        <v>1.4044220183021816E-2</v>
      </c>
      <c r="AH54" s="174">
        <f t="shared" si="13"/>
        <v>0.56712720774928005</v>
      </c>
      <c r="AI54" s="175">
        <f t="shared" si="4"/>
        <v>1.7632728360337946</v>
      </c>
      <c r="AJ54" s="173">
        <f t="shared" si="14"/>
        <v>20900</v>
      </c>
      <c r="AK54" s="173">
        <f t="shared" si="6"/>
        <v>4600</v>
      </c>
    </row>
    <row r="55" spans="1:37" s="201" customFormat="1" ht="13.8" x14ac:dyDescent="0.3">
      <c r="A55" s="197" t="s">
        <v>634</v>
      </c>
      <c r="B55" s="151">
        <v>6</v>
      </c>
      <c r="C55" s="74" t="s">
        <v>197</v>
      </c>
      <c r="D55" s="74" t="s">
        <v>152</v>
      </c>
      <c r="E55" s="74">
        <v>45966</v>
      </c>
      <c r="F55" s="74">
        <v>45968</v>
      </c>
      <c r="G55" s="74" t="s">
        <v>969</v>
      </c>
      <c r="H55" s="74" t="s">
        <v>1144</v>
      </c>
      <c r="I55" s="74" t="s">
        <v>634</v>
      </c>
      <c r="J55" s="74" t="s">
        <v>1145</v>
      </c>
      <c r="K55" s="74" t="s">
        <v>976</v>
      </c>
      <c r="L55" s="74" t="s">
        <v>153</v>
      </c>
      <c r="M55" s="200" t="s">
        <v>1146</v>
      </c>
      <c r="N55" s="178" t="s">
        <v>1147</v>
      </c>
      <c r="O55" s="173">
        <v>200000000</v>
      </c>
      <c r="P55" s="74" t="s">
        <v>1148</v>
      </c>
      <c r="Q55" s="174">
        <v>2.0299999999999999E-2</v>
      </c>
      <c r="R55" s="174">
        <v>5.610743814497457E-2</v>
      </c>
      <c r="S55" s="174">
        <v>9.35E-2</v>
      </c>
      <c r="T55" s="198">
        <v>100.48</v>
      </c>
      <c r="U55" s="175">
        <v>102.9</v>
      </c>
      <c r="V55" s="173">
        <v>500000</v>
      </c>
      <c r="W55" s="173" t="s">
        <v>174</v>
      </c>
      <c r="X55" s="175">
        <v>1</v>
      </c>
      <c r="Y55" s="173">
        <v>8662.2199999999993</v>
      </c>
      <c r="Z55" s="173">
        <v>66</v>
      </c>
      <c r="AA55" s="173">
        <f t="shared" si="0"/>
        <v>514500</v>
      </c>
      <c r="AB55" s="173">
        <f t="shared" si="15"/>
        <v>523162.22</v>
      </c>
      <c r="AC55" s="173">
        <v>514500</v>
      </c>
      <c r="AD55" s="175">
        <v>2.117808219178082</v>
      </c>
      <c r="AE55" s="199">
        <v>7.9524259999999999E-2</v>
      </c>
      <c r="AF55" s="199">
        <v>4.1124258599312957E-2</v>
      </c>
      <c r="AG55" s="174">
        <f t="shared" si="12"/>
        <v>2.0824258599312959E-2</v>
      </c>
      <c r="AH55" s="174">
        <f t="shared" si="13"/>
        <v>0.49362592035492991</v>
      </c>
      <c r="AI55" s="175">
        <f t="shared" si="4"/>
        <v>2.0258255467641852</v>
      </c>
      <c r="AJ55" s="173">
        <f t="shared" si="14"/>
        <v>46750</v>
      </c>
      <c r="AK55" s="173">
        <f t="shared" si="6"/>
        <v>10150</v>
      </c>
    </row>
    <row r="56" spans="1:37" ht="13.8" x14ac:dyDescent="0.3">
      <c r="A56" s="197" t="s">
        <v>751</v>
      </c>
      <c r="B56" s="151">
        <v>2</v>
      </c>
      <c r="C56" s="74" t="s">
        <v>197</v>
      </c>
      <c r="D56" s="74" t="s">
        <v>152</v>
      </c>
      <c r="E56" s="74">
        <v>45967</v>
      </c>
      <c r="F56" s="74">
        <v>45968</v>
      </c>
      <c r="G56" s="74" t="s">
        <v>974</v>
      </c>
      <c r="H56" s="74" t="s">
        <v>1149</v>
      </c>
      <c r="I56" s="74" t="s">
        <v>751</v>
      </c>
      <c r="J56" s="74" t="s">
        <v>1150</v>
      </c>
      <c r="K56" s="74" t="s">
        <v>976</v>
      </c>
      <c r="L56" s="74" t="s">
        <v>153</v>
      </c>
      <c r="M56" s="200" t="s">
        <v>1151</v>
      </c>
      <c r="N56" s="178" t="s">
        <v>1091</v>
      </c>
      <c r="O56" s="202">
        <v>200000000</v>
      </c>
      <c r="P56" s="74" t="s">
        <v>1057</v>
      </c>
      <c r="Q56" s="203">
        <v>7.0000000000000001E-3</v>
      </c>
      <c r="R56" s="203">
        <v>8.4885863725577285E-2</v>
      </c>
      <c r="S56" s="203">
        <v>0.12359999999999999</v>
      </c>
      <c r="T56" s="204">
        <v>104.89</v>
      </c>
      <c r="U56" s="205">
        <v>107.2</v>
      </c>
      <c r="V56" s="202">
        <v>250000</v>
      </c>
      <c r="W56" s="202" t="s">
        <v>174</v>
      </c>
      <c r="X56" s="205">
        <v>1</v>
      </c>
      <c r="Y56" s="202">
        <v>3162.43</v>
      </c>
      <c r="Z56" s="202">
        <v>37</v>
      </c>
      <c r="AA56" s="202">
        <f t="shared" si="0"/>
        <v>268000</v>
      </c>
      <c r="AB56" s="202">
        <f t="shared" si="15"/>
        <v>271162.43</v>
      </c>
      <c r="AC56" s="202">
        <v>271162.43</v>
      </c>
      <c r="AD56" s="205">
        <v>2.1698630136986301</v>
      </c>
      <c r="AE56" s="203">
        <v>8.7042410000000001E-2</v>
      </c>
      <c r="AF56" s="203">
        <v>4.8542410345483802E-2</v>
      </c>
      <c r="AG56" s="203">
        <f t="shared" si="12"/>
        <v>4.1542410345483803E-2</v>
      </c>
      <c r="AH56" s="203">
        <f t="shared" si="13"/>
        <v>0.14420379932063371</v>
      </c>
      <c r="AI56" s="205">
        <f t="shared" si="4"/>
        <v>6.934630049354829</v>
      </c>
      <c r="AJ56" s="202">
        <f t="shared" si="14"/>
        <v>30899.999999999996</v>
      </c>
      <c r="AK56" s="202">
        <f t="shared" si="6"/>
        <v>1750</v>
      </c>
    </row>
    <row r="57" spans="1:37" x14ac:dyDescent="0.3">
      <c r="AB57" s="173">
        <f>SUBTOTAL(9,AB8:AB56)</f>
        <v>13995145.050000003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F8FBB-175E-4CBB-A92C-E40CB51C9EF0}">
  <dimension ref="A1:H327"/>
  <sheetViews>
    <sheetView zoomScale="110" zoomScaleNormal="110" workbookViewId="0">
      <pane ySplit="1" topLeftCell="A2" activePane="bottomLeft" state="frozen"/>
      <selection pane="bottomLeft" activeCell="C1" sqref="C1"/>
    </sheetView>
  </sheetViews>
  <sheetFormatPr defaultColWidth="10.33203125" defaultRowHeight="13.2" x14ac:dyDescent="0.25"/>
  <cols>
    <col min="1" max="1" width="16" style="148" bestFit="1" customWidth="1"/>
    <col min="2" max="2" width="13.5546875" style="148" bestFit="1" customWidth="1"/>
    <col min="3" max="3" width="53.109375" style="148" bestFit="1" customWidth="1"/>
    <col min="4" max="4" width="16.33203125" style="149" bestFit="1" customWidth="1"/>
    <col min="5" max="5" width="19.88671875" style="149" bestFit="1" customWidth="1"/>
    <col min="6" max="6" width="17.77734375" style="149" bestFit="1" customWidth="1"/>
    <col min="7" max="7" width="18.77734375" style="149" bestFit="1" customWidth="1"/>
    <col min="8" max="8" width="15.109375" style="149" bestFit="1" customWidth="1"/>
    <col min="9" max="16384" width="10.33203125" style="148"/>
  </cols>
  <sheetData>
    <row r="1" spans="1:8" ht="14.4" thickBot="1" x14ac:dyDescent="0.35">
      <c r="A1" s="166" t="s">
        <v>312</v>
      </c>
      <c r="B1" s="167" t="s">
        <v>313</v>
      </c>
      <c r="C1" s="167" t="s">
        <v>9</v>
      </c>
      <c r="D1" s="168" t="s">
        <v>314</v>
      </c>
      <c r="E1" s="168" t="s">
        <v>315</v>
      </c>
      <c r="F1" s="168" t="s">
        <v>35</v>
      </c>
      <c r="G1" s="168" t="s">
        <v>316</v>
      </c>
      <c r="H1" s="169" t="s">
        <v>317</v>
      </c>
    </row>
    <row r="2" spans="1:8" ht="14.4" x14ac:dyDescent="0.3">
      <c r="A2" s="162">
        <v>1</v>
      </c>
      <c r="B2" s="163" t="s">
        <v>613</v>
      </c>
      <c r="C2" s="164" t="s">
        <v>279</v>
      </c>
      <c r="D2" s="164"/>
      <c r="E2" s="165">
        <v>1950000000</v>
      </c>
      <c r="F2" s="165">
        <v>700000000</v>
      </c>
      <c r="G2" s="165"/>
      <c r="H2" s="165">
        <v>50000000</v>
      </c>
    </row>
    <row r="3" spans="1:8" ht="14.4" x14ac:dyDescent="0.3">
      <c r="A3" s="70">
        <v>2</v>
      </c>
      <c r="B3" s="152" t="s">
        <v>614</v>
      </c>
      <c r="C3" s="153" t="s">
        <v>280</v>
      </c>
      <c r="D3" s="153"/>
      <c r="E3" s="154">
        <v>1200000000</v>
      </c>
      <c r="F3" s="154">
        <v>1150000000</v>
      </c>
      <c r="G3" s="154"/>
      <c r="H3" s="154">
        <v>125000000</v>
      </c>
    </row>
    <row r="4" spans="1:8" ht="14.4" x14ac:dyDescent="0.3">
      <c r="A4" s="70">
        <v>3</v>
      </c>
      <c r="B4" s="152" t="s">
        <v>615</v>
      </c>
      <c r="C4" s="153" t="s">
        <v>281</v>
      </c>
      <c r="D4" s="153"/>
      <c r="E4" s="154">
        <v>1000000000</v>
      </c>
      <c r="F4" s="154">
        <v>950000000</v>
      </c>
      <c r="G4" s="154"/>
      <c r="H4" s="154">
        <v>125000000</v>
      </c>
    </row>
    <row r="5" spans="1:8" ht="14.4" x14ac:dyDescent="0.3">
      <c r="A5" s="70">
        <v>4</v>
      </c>
      <c r="B5" s="152" t="s">
        <v>616</v>
      </c>
      <c r="C5" s="153" t="s">
        <v>282</v>
      </c>
      <c r="D5" s="153"/>
      <c r="E5" s="154">
        <v>1950000000</v>
      </c>
      <c r="F5" s="154">
        <v>400000000</v>
      </c>
      <c r="G5" s="154"/>
      <c r="H5" s="154">
        <v>125000000</v>
      </c>
    </row>
    <row r="6" spans="1:8" ht="14.4" x14ac:dyDescent="0.3">
      <c r="A6" s="70">
        <v>5</v>
      </c>
      <c r="B6" s="152" t="s">
        <v>617</v>
      </c>
      <c r="C6" s="153" t="s">
        <v>283</v>
      </c>
      <c r="D6" s="153"/>
      <c r="E6" s="154">
        <v>1200000000</v>
      </c>
      <c r="F6" s="154">
        <v>750000000</v>
      </c>
      <c r="G6" s="154"/>
      <c r="H6" s="154">
        <v>100000000</v>
      </c>
    </row>
    <row r="7" spans="1:8" ht="14.4" x14ac:dyDescent="0.3">
      <c r="A7" s="70">
        <v>6</v>
      </c>
      <c r="B7" s="152" t="s">
        <v>618</v>
      </c>
      <c r="C7" s="153" t="s">
        <v>284</v>
      </c>
      <c r="D7" s="153"/>
      <c r="E7" s="154">
        <v>6500000000</v>
      </c>
      <c r="F7" s="154">
        <v>5000000000</v>
      </c>
      <c r="G7" s="154"/>
      <c r="H7" s="154">
        <v>100000000</v>
      </c>
    </row>
    <row r="8" spans="1:8" ht="14.4" x14ac:dyDescent="0.3">
      <c r="A8" s="70">
        <v>7</v>
      </c>
      <c r="B8" s="152" t="s">
        <v>619</v>
      </c>
      <c r="C8" s="153" t="s">
        <v>285</v>
      </c>
      <c r="D8" s="153"/>
      <c r="E8" s="154"/>
      <c r="F8" s="154">
        <v>42106000000</v>
      </c>
      <c r="G8" s="154"/>
      <c r="H8" s="154">
        <v>150000000</v>
      </c>
    </row>
    <row r="9" spans="1:8" ht="14.4" x14ac:dyDescent="0.3">
      <c r="A9" s="70">
        <v>8</v>
      </c>
      <c r="B9" s="152" t="s">
        <v>620</v>
      </c>
      <c r="C9" s="153" t="s">
        <v>286</v>
      </c>
      <c r="D9" s="153"/>
      <c r="E9" s="154">
        <v>3300000000</v>
      </c>
      <c r="F9" s="154">
        <v>600000000</v>
      </c>
      <c r="G9" s="154"/>
      <c r="H9" s="154">
        <v>100000000</v>
      </c>
    </row>
    <row r="10" spans="1:8" ht="14.4" x14ac:dyDescent="0.3">
      <c r="A10" s="70">
        <v>9</v>
      </c>
      <c r="B10" s="152" t="s">
        <v>621</v>
      </c>
      <c r="C10" s="153" t="s">
        <v>289</v>
      </c>
      <c r="D10" s="153"/>
      <c r="E10" s="154"/>
      <c r="F10" s="154">
        <v>420000000</v>
      </c>
      <c r="G10" s="154"/>
      <c r="H10" s="154">
        <v>50000000</v>
      </c>
    </row>
    <row r="11" spans="1:8" ht="14.4" x14ac:dyDescent="0.3">
      <c r="A11" s="70">
        <v>10</v>
      </c>
      <c r="B11" s="152" t="s">
        <v>622</v>
      </c>
      <c r="C11" s="153" t="s">
        <v>290</v>
      </c>
      <c r="D11" s="153"/>
      <c r="E11" s="154"/>
      <c r="F11" s="154">
        <v>16626000000</v>
      </c>
      <c r="G11" s="154">
        <v>58160000000</v>
      </c>
      <c r="H11" s="154">
        <v>500000000</v>
      </c>
    </row>
    <row r="12" spans="1:8" ht="14.4" x14ac:dyDescent="0.3">
      <c r="A12" s="70">
        <v>11</v>
      </c>
      <c r="B12" s="152" t="s">
        <v>623</v>
      </c>
      <c r="C12" s="153" t="s">
        <v>291</v>
      </c>
      <c r="D12" s="153"/>
      <c r="E12" s="154"/>
      <c r="F12" s="154">
        <v>100000000</v>
      </c>
      <c r="G12" s="154">
        <v>600000000</v>
      </c>
      <c r="H12" s="154">
        <v>125000000</v>
      </c>
    </row>
    <row r="13" spans="1:8" ht="14.4" x14ac:dyDescent="0.3">
      <c r="A13" s="70">
        <v>12</v>
      </c>
      <c r="B13" s="152" t="s">
        <v>624</v>
      </c>
      <c r="C13" s="153" t="s">
        <v>292</v>
      </c>
      <c r="D13" s="153"/>
      <c r="E13" s="154"/>
      <c r="F13" s="154">
        <v>100000000</v>
      </c>
      <c r="G13" s="154">
        <v>396000000</v>
      </c>
      <c r="H13" s="154">
        <v>100000000</v>
      </c>
    </row>
    <row r="14" spans="1:8" ht="14.4" x14ac:dyDescent="0.3">
      <c r="A14" s="70">
        <v>13</v>
      </c>
      <c r="B14" s="152" t="s">
        <v>625</v>
      </c>
      <c r="C14" s="153" t="s">
        <v>295</v>
      </c>
      <c r="D14" s="153">
        <v>0</v>
      </c>
      <c r="E14" s="154"/>
      <c r="F14" s="154">
        <v>350000000</v>
      </c>
      <c r="G14" s="154">
        <v>3400000000</v>
      </c>
      <c r="H14" s="154">
        <v>350000000</v>
      </c>
    </row>
    <row r="15" spans="1:8" ht="14.4" x14ac:dyDescent="0.3">
      <c r="A15" s="70">
        <v>14</v>
      </c>
      <c r="B15" s="152" t="s">
        <v>626</v>
      </c>
      <c r="C15" s="153" t="s">
        <v>296</v>
      </c>
      <c r="D15" s="153">
        <v>0</v>
      </c>
      <c r="E15" s="154"/>
      <c r="F15" s="154">
        <v>450000000</v>
      </c>
      <c r="G15" s="154">
        <v>2350000000</v>
      </c>
      <c r="H15" s="154">
        <v>450000000</v>
      </c>
    </row>
    <row r="16" spans="1:8" ht="14.4" x14ac:dyDescent="0.3">
      <c r="A16" s="70">
        <v>15</v>
      </c>
      <c r="B16" s="152" t="s">
        <v>627</v>
      </c>
      <c r="C16" s="153" t="s">
        <v>299</v>
      </c>
      <c r="D16" s="153"/>
      <c r="E16" s="154">
        <v>1000000000</v>
      </c>
      <c r="F16" s="154">
        <v>650000000</v>
      </c>
      <c r="G16" s="154"/>
      <c r="H16" s="154">
        <v>105000000</v>
      </c>
    </row>
    <row r="17" spans="1:8" ht="14.4" x14ac:dyDescent="0.3">
      <c r="A17" s="70">
        <v>16</v>
      </c>
      <c r="B17" s="152" t="s">
        <v>628</v>
      </c>
      <c r="C17" s="153" t="s">
        <v>302</v>
      </c>
      <c r="D17" s="153"/>
      <c r="E17" s="154">
        <v>300000000</v>
      </c>
      <c r="F17" s="154">
        <v>200000000</v>
      </c>
      <c r="G17" s="154"/>
      <c r="H17" s="154">
        <v>100000000</v>
      </c>
    </row>
    <row r="18" spans="1:8" ht="14.4" x14ac:dyDescent="0.3">
      <c r="A18" s="70">
        <v>17</v>
      </c>
      <c r="B18" s="152" t="s">
        <v>629</v>
      </c>
      <c r="C18" s="153" t="s">
        <v>305</v>
      </c>
      <c r="D18" s="153">
        <v>0</v>
      </c>
      <c r="E18" s="154">
        <v>1510000000</v>
      </c>
      <c r="F18" s="154">
        <v>420000000</v>
      </c>
      <c r="G18" s="154"/>
      <c r="H18" s="154">
        <v>200000000</v>
      </c>
    </row>
    <row r="19" spans="1:8" ht="14.4" x14ac:dyDescent="0.3">
      <c r="A19" s="70">
        <v>18</v>
      </c>
      <c r="B19" s="152" t="s">
        <v>630</v>
      </c>
      <c r="C19" s="153" t="s">
        <v>306</v>
      </c>
      <c r="D19" s="153">
        <v>0</v>
      </c>
      <c r="E19" s="154">
        <v>1510000000</v>
      </c>
      <c r="F19" s="154">
        <v>420000000</v>
      </c>
      <c r="G19" s="154"/>
      <c r="H19" s="154">
        <v>175000000</v>
      </c>
    </row>
    <row r="20" spans="1:8" ht="14.4" x14ac:dyDescent="0.3">
      <c r="A20" s="70">
        <v>19</v>
      </c>
      <c r="B20" s="152" t="s">
        <v>631</v>
      </c>
      <c r="C20" s="153" t="s">
        <v>307</v>
      </c>
      <c r="D20" s="153"/>
      <c r="E20" s="154">
        <v>2350000000</v>
      </c>
      <c r="F20" s="154">
        <v>150000000</v>
      </c>
      <c r="G20" s="154"/>
      <c r="H20" s="154">
        <v>150000000</v>
      </c>
    </row>
    <row r="21" spans="1:8" ht="14.4" x14ac:dyDescent="0.3">
      <c r="A21" s="70">
        <v>20</v>
      </c>
      <c r="B21" s="152" t="s">
        <v>632</v>
      </c>
      <c r="C21" s="153" t="s">
        <v>310</v>
      </c>
      <c r="D21" s="153">
        <v>0</v>
      </c>
      <c r="E21" s="154"/>
      <c r="F21" s="154">
        <v>100000000</v>
      </c>
      <c r="G21" s="154"/>
      <c r="H21" s="154">
        <v>70000000</v>
      </c>
    </row>
    <row r="22" spans="1:8" ht="14.4" x14ac:dyDescent="0.3">
      <c r="A22" s="70">
        <v>21</v>
      </c>
      <c r="B22" s="152" t="s">
        <v>633</v>
      </c>
      <c r="C22" s="153" t="s">
        <v>311</v>
      </c>
      <c r="D22" s="153">
        <v>0</v>
      </c>
      <c r="E22" s="154">
        <v>1050000000</v>
      </c>
      <c r="F22" s="154">
        <v>330000000</v>
      </c>
      <c r="G22" s="154"/>
      <c r="H22" s="154">
        <v>75000000</v>
      </c>
    </row>
    <row r="23" spans="1:8" ht="14.4" x14ac:dyDescent="0.3">
      <c r="A23" s="70">
        <v>22</v>
      </c>
      <c r="B23" s="152" t="s">
        <v>634</v>
      </c>
      <c r="C23" s="153" t="s">
        <v>318</v>
      </c>
      <c r="D23" s="153">
        <v>0</v>
      </c>
      <c r="E23" s="154">
        <v>1050000000</v>
      </c>
      <c r="F23" s="154">
        <v>200000000</v>
      </c>
      <c r="G23" s="154"/>
      <c r="H23" s="154">
        <v>200000000</v>
      </c>
    </row>
    <row r="24" spans="1:8" ht="14.4" x14ac:dyDescent="0.3">
      <c r="A24" s="70">
        <v>23</v>
      </c>
      <c r="B24" s="152" t="s">
        <v>635</v>
      </c>
      <c r="C24" s="153" t="s">
        <v>319</v>
      </c>
      <c r="D24" s="153">
        <v>0</v>
      </c>
      <c r="E24" s="154">
        <v>4250000000</v>
      </c>
      <c r="F24" s="154">
        <v>950000000</v>
      </c>
      <c r="G24" s="154"/>
      <c r="H24" s="154">
        <v>350000000</v>
      </c>
    </row>
    <row r="25" spans="1:8" ht="14.4" x14ac:dyDescent="0.3">
      <c r="A25" s="70">
        <v>24</v>
      </c>
      <c r="B25" s="152" t="s">
        <v>636</v>
      </c>
      <c r="C25" s="153" t="s">
        <v>320</v>
      </c>
      <c r="D25" s="153">
        <v>0</v>
      </c>
      <c r="E25" s="154">
        <v>4250000000</v>
      </c>
      <c r="F25" s="154">
        <v>1999375000</v>
      </c>
      <c r="G25" s="154"/>
      <c r="H25" s="154">
        <v>300000000</v>
      </c>
    </row>
    <row r="26" spans="1:8" ht="14.4" x14ac:dyDescent="0.3">
      <c r="A26" s="70">
        <v>25</v>
      </c>
      <c r="B26" s="152" t="s">
        <v>637</v>
      </c>
      <c r="C26" s="153" t="s">
        <v>321</v>
      </c>
      <c r="D26" s="153"/>
      <c r="E26" s="154">
        <v>152330000000</v>
      </c>
      <c r="F26" s="154">
        <v>59765000000</v>
      </c>
      <c r="G26" s="154"/>
      <c r="H26" s="154">
        <v>300000000</v>
      </c>
    </row>
    <row r="27" spans="1:8" ht="14.4" x14ac:dyDescent="0.3">
      <c r="A27" s="70">
        <v>26</v>
      </c>
      <c r="B27" s="152" t="s">
        <v>638</v>
      </c>
      <c r="C27" s="153" t="s">
        <v>322</v>
      </c>
      <c r="D27" s="153">
        <v>0</v>
      </c>
      <c r="E27" s="154">
        <v>50000000</v>
      </c>
      <c r="F27" s="154">
        <v>800000000</v>
      </c>
      <c r="G27" s="154">
        <v>3625000000</v>
      </c>
      <c r="H27" s="154">
        <v>50000000</v>
      </c>
    </row>
    <row r="28" spans="1:8" ht="14.4" x14ac:dyDescent="0.3">
      <c r="A28" s="70">
        <v>27</v>
      </c>
      <c r="B28" s="152" t="s">
        <v>639</v>
      </c>
      <c r="C28" s="153" t="s">
        <v>323</v>
      </c>
      <c r="D28" s="153">
        <v>0</v>
      </c>
      <c r="E28" s="154">
        <v>50000000</v>
      </c>
      <c r="F28" s="154">
        <v>1100000000</v>
      </c>
      <c r="G28" s="154">
        <v>4425000000</v>
      </c>
      <c r="H28" s="154">
        <v>150000000</v>
      </c>
    </row>
    <row r="29" spans="1:8" ht="14.4" x14ac:dyDescent="0.3">
      <c r="A29" s="70">
        <v>28</v>
      </c>
      <c r="B29" s="152" t="s">
        <v>640</v>
      </c>
      <c r="C29" s="153" t="s">
        <v>324</v>
      </c>
      <c r="D29" s="153">
        <v>0</v>
      </c>
      <c r="E29" s="154">
        <v>50000000</v>
      </c>
      <c r="F29" s="154">
        <v>450000000</v>
      </c>
      <c r="G29" s="154">
        <v>5525000000</v>
      </c>
      <c r="H29" s="154">
        <v>225000000</v>
      </c>
    </row>
    <row r="30" spans="1:8" ht="14.4" x14ac:dyDescent="0.3">
      <c r="A30" s="70">
        <v>29</v>
      </c>
      <c r="B30" s="152" t="s">
        <v>641</v>
      </c>
      <c r="C30" s="153" t="s">
        <v>325</v>
      </c>
      <c r="D30" s="153">
        <v>0</v>
      </c>
      <c r="E30" s="154">
        <v>445000000</v>
      </c>
      <c r="F30" s="154">
        <v>330000000</v>
      </c>
      <c r="G30" s="154"/>
      <c r="H30" s="154">
        <v>200000000</v>
      </c>
    </row>
    <row r="31" spans="1:8" ht="14.4" x14ac:dyDescent="0.3">
      <c r="A31" s="70">
        <v>30</v>
      </c>
      <c r="B31" s="152" t="s">
        <v>642</v>
      </c>
      <c r="C31" s="153" t="s">
        <v>326</v>
      </c>
      <c r="D31" s="153"/>
      <c r="E31" s="154"/>
      <c r="F31" s="154">
        <v>250000000</v>
      </c>
      <c r="G31" s="154">
        <v>500000000</v>
      </c>
      <c r="H31" s="154">
        <v>250000000</v>
      </c>
    </row>
    <row r="32" spans="1:8" ht="14.4" x14ac:dyDescent="0.3">
      <c r="A32" s="70">
        <v>31</v>
      </c>
      <c r="B32" s="152" t="s">
        <v>643</v>
      </c>
      <c r="C32" s="153" t="s">
        <v>327</v>
      </c>
      <c r="D32" s="153">
        <v>0</v>
      </c>
      <c r="E32" s="154">
        <v>1800000000</v>
      </c>
      <c r="F32" s="154">
        <v>1400000000</v>
      </c>
      <c r="G32" s="154"/>
      <c r="H32" s="154">
        <v>175000000</v>
      </c>
    </row>
    <row r="33" spans="1:8" ht="14.4" x14ac:dyDescent="0.3">
      <c r="A33" s="70">
        <v>32</v>
      </c>
      <c r="B33" s="152" t="s">
        <v>644</v>
      </c>
      <c r="C33" s="153" t="s">
        <v>328</v>
      </c>
      <c r="D33" s="153">
        <v>0</v>
      </c>
      <c r="E33" s="154">
        <v>3200000000</v>
      </c>
      <c r="F33" s="154">
        <v>1300000000</v>
      </c>
      <c r="G33" s="154"/>
      <c r="H33" s="154">
        <v>125000000</v>
      </c>
    </row>
    <row r="34" spans="1:8" ht="14.4" x14ac:dyDescent="0.3">
      <c r="A34" s="70">
        <v>33</v>
      </c>
      <c r="B34" s="152" t="s">
        <v>645</v>
      </c>
      <c r="C34" s="153" t="s">
        <v>329</v>
      </c>
      <c r="D34" s="153">
        <v>0</v>
      </c>
      <c r="E34" s="154">
        <v>3200000000</v>
      </c>
      <c r="F34" s="154">
        <v>1300000000</v>
      </c>
      <c r="G34" s="154"/>
      <c r="H34" s="154">
        <v>60000000</v>
      </c>
    </row>
    <row r="35" spans="1:8" ht="14.4" x14ac:dyDescent="0.3">
      <c r="A35" s="70">
        <v>34</v>
      </c>
      <c r="B35" s="152" t="s">
        <v>646</v>
      </c>
      <c r="C35" s="153" t="s">
        <v>330</v>
      </c>
      <c r="D35" s="153">
        <v>0</v>
      </c>
      <c r="E35" s="154">
        <v>5000000000</v>
      </c>
      <c r="F35" s="154">
        <v>500000000</v>
      </c>
      <c r="G35" s="154"/>
      <c r="H35" s="154">
        <v>135000000</v>
      </c>
    </row>
    <row r="36" spans="1:8" ht="14.4" x14ac:dyDescent="0.3">
      <c r="A36" s="70">
        <v>35</v>
      </c>
      <c r="B36" s="152" t="s">
        <v>647</v>
      </c>
      <c r="C36" s="153" t="s">
        <v>331</v>
      </c>
      <c r="D36" s="153">
        <v>0</v>
      </c>
      <c r="E36" s="154">
        <v>3200000000</v>
      </c>
      <c r="F36" s="154">
        <v>1300000000</v>
      </c>
      <c r="G36" s="154"/>
      <c r="H36" s="154">
        <v>150000000</v>
      </c>
    </row>
    <row r="37" spans="1:8" ht="14.4" x14ac:dyDescent="0.3">
      <c r="A37" s="70">
        <v>36</v>
      </c>
      <c r="B37" s="152" t="s">
        <v>648</v>
      </c>
      <c r="C37" s="153" t="s">
        <v>332</v>
      </c>
      <c r="D37" s="153"/>
      <c r="E37" s="154">
        <v>5500000000</v>
      </c>
      <c r="F37" s="154">
        <v>600000000</v>
      </c>
      <c r="G37" s="154"/>
      <c r="H37" s="154">
        <v>200000000</v>
      </c>
    </row>
    <row r="38" spans="1:8" ht="14.4" x14ac:dyDescent="0.3">
      <c r="A38" s="70">
        <v>37</v>
      </c>
      <c r="B38" s="152" t="s">
        <v>649</v>
      </c>
      <c r="C38" s="153" t="s">
        <v>333</v>
      </c>
      <c r="D38" s="153">
        <v>0</v>
      </c>
      <c r="E38" s="154">
        <v>2100000000</v>
      </c>
      <c r="F38" s="154">
        <v>1100000000</v>
      </c>
      <c r="G38" s="154"/>
      <c r="H38" s="154">
        <v>75000000</v>
      </c>
    </row>
    <row r="39" spans="1:8" ht="14.4" x14ac:dyDescent="0.3">
      <c r="A39" s="70">
        <v>38</v>
      </c>
      <c r="B39" s="152" t="s">
        <v>650</v>
      </c>
      <c r="C39" s="153" t="s">
        <v>334</v>
      </c>
      <c r="D39" s="153">
        <v>0</v>
      </c>
      <c r="E39" s="154">
        <v>3200000000</v>
      </c>
      <c r="F39" s="154">
        <v>1300000000</v>
      </c>
      <c r="G39" s="154"/>
      <c r="H39" s="154">
        <v>200000000</v>
      </c>
    </row>
    <row r="40" spans="1:8" ht="14.4" x14ac:dyDescent="0.3">
      <c r="A40" s="70">
        <v>39</v>
      </c>
      <c r="B40" s="152" t="s">
        <v>651</v>
      </c>
      <c r="C40" s="153" t="s">
        <v>335</v>
      </c>
      <c r="D40" s="153">
        <v>0</v>
      </c>
      <c r="E40" s="154">
        <v>4500000000</v>
      </c>
      <c r="F40" s="154">
        <v>500000000</v>
      </c>
      <c r="G40" s="154"/>
      <c r="H40" s="154">
        <v>175000000</v>
      </c>
    </row>
    <row r="41" spans="1:8" ht="14.4" x14ac:dyDescent="0.3">
      <c r="A41" s="70">
        <v>40</v>
      </c>
      <c r="B41" s="152" t="s">
        <v>652</v>
      </c>
      <c r="C41" s="153" t="s">
        <v>336</v>
      </c>
      <c r="D41" s="153"/>
      <c r="E41" s="154">
        <v>500000000</v>
      </c>
      <c r="F41" s="154">
        <v>500000000</v>
      </c>
      <c r="G41" s="154"/>
      <c r="H41" s="154">
        <v>250000000</v>
      </c>
    </row>
    <row r="42" spans="1:8" ht="14.4" x14ac:dyDescent="0.3">
      <c r="A42" s="70">
        <v>41</v>
      </c>
      <c r="B42" s="152" t="s">
        <v>653</v>
      </c>
      <c r="C42" s="153" t="s">
        <v>337</v>
      </c>
      <c r="D42" s="153"/>
      <c r="E42" s="154">
        <v>500000000</v>
      </c>
      <c r="F42" s="154">
        <v>300000000</v>
      </c>
      <c r="G42" s="154"/>
      <c r="H42" s="154">
        <v>100000000</v>
      </c>
    </row>
    <row r="43" spans="1:8" ht="14.4" x14ac:dyDescent="0.3">
      <c r="A43" s="70">
        <v>42</v>
      </c>
      <c r="B43" s="152" t="s">
        <v>654</v>
      </c>
      <c r="C43" s="153" t="s">
        <v>338</v>
      </c>
      <c r="D43" s="153"/>
      <c r="E43" s="154"/>
      <c r="F43" s="154">
        <v>400000000</v>
      </c>
      <c r="G43" s="154">
        <v>850000000</v>
      </c>
      <c r="H43" s="154">
        <v>100000000</v>
      </c>
    </row>
    <row r="44" spans="1:8" ht="14.4" x14ac:dyDescent="0.3">
      <c r="A44" s="70">
        <v>43</v>
      </c>
      <c r="B44" s="152" t="s">
        <v>655</v>
      </c>
      <c r="C44" s="153" t="s">
        <v>339</v>
      </c>
      <c r="D44" s="153"/>
      <c r="E44" s="154"/>
      <c r="F44" s="154">
        <v>300000000</v>
      </c>
      <c r="G44" s="154">
        <v>550000000</v>
      </c>
      <c r="H44" s="154">
        <v>150000000</v>
      </c>
    </row>
    <row r="45" spans="1:8" ht="14.4" x14ac:dyDescent="0.3">
      <c r="A45" s="70">
        <v>44</v>
      </c>
      <c r="B45" s="152" t="s">
        <v>656</v>
      </c>
      <c r="C45" s="153" t="s">
        <v>340</v>
      </c>
      <c r="D45" s="153"/>
      <c r="E45" s="154"/>
      <c r="F45" s="154">
        <v>500000000</v>
      </c>
      <c r="G45" s="154">
        <v>1250000000</v>
      </c>
      <c r="H45" s="154">
        <v>100000000</v>
      </c>
    </row>
    <row r="46" spans="1:8" ht="14.4" x14ac:dyDescent="0.3">
      <c r="A46" s="70">
        <v>45</v>
      </c>
      <c r="B46" s="152" t="s">
        <v>657</v>
      </c>
      <c r="C46" s="153" t="s">
        <v>341</v>
      </c>
      <c r="D46" s="153"/>
      <c r="E46" s="154"/>
      <c r="F46" s="154">
        <v>600000000</v>
      </c>
      <c r="G46" s="154">
        <v>1750000000</v>
      </c>
      <c r="H46" s="154">
        <v>225000000</v>
      </c>
    </row>
    <row r="47" spans="1:8" ht="14.4" x14ac:dyDescent="0.3">
      <c r="A47" s="70">
        <v>46</v>
      </c>
      <c r="B47" s="152" t="s">
        <v>658</v>
      </c>
      <c r="C47" s="153" t="s">
        <v>342</v>
      </c>
      <c r="D47" s="153">
        <v>0</v>
      </c>
      <c r="E47" s="154">
        <v>50000000</v>
      </c>
      <c r="F47" s="154">
        <v>550000000</v>
      </c>
      <c r="G47" s="154">
        <v>3075000000</v>
      </c>
      <c r="H47" s="154">
        <v>35000000</v>
      </c>
    </row>
    <row r="48" spans="1:8" ht="14.4" x14ac:dyDescent="0.3">
      <c r="A48" s="70">
        <v>47</v>
      </c>
      <c r="B48" s="152" t="s">
        <v>659</v>
      </c>
      <c r="C48" s="153" t="s">
        <v>343</v>
      </c>
      <c r="D48" s="153">
        <v>0</v>
      </c>
      <c r="E48" s="154">
        <v>50000000</v>
      </c>
      <c r="F48" s="154">
        <v>600000000</v>
      </c>
      <c r="G48" s="154">
        <v>3625000000</v>
      </c>
      <c r="H48" s="154">
        <v>60000000</v>
      </c>
    </row>
    <row r="49" spans="1:8" ht="14.4" x14ac:dyDescent="0.3">
      <c r="A49" s="70">
        <v>48</v>
      </c>
      <c r="B49" s="152" t="s">
        <v>660</v>
      </c>
      <c r="C49" s="153" t="s">
        <v>344</v>
      </c>
      <c r="D49" s="153">
        <v>0</v>
      </c>
      <c r="E49" s="154">
        <v>50000000</v>
      </c>
      <c r="F49" s="154">
        <v>400000000</v>
      </c>
      <c r="G49" s="154">
        <v>4225000000</v>
      </c>
      <c r="H49" s="154">
        <v>155000000</v>
      </c>
    </row>
    <row r="50" spans="1:8" ht="14.4" x14ac:dyDescent="0.3">
      <c r="A50" s="70">
        <v>49</v>
      </c>
      <c r="B50" s="152" t="s">
        <v>661</v>
      </c>
      <c r="C50" s="153" t="s">
        <v>345</v>
      </c>
      <c r="D50" s="153">
        <v>0</v>
      </c>
      <c r="E50" s="154">
        <v>50000000</v>
      </c>
      <c r="F50" s="154">
        <v>450000000</v>
      </c>
      <c r="G50" s="154">
        <v>5525000000</v>
      </c>
      <c r="H50" s="154">
        <v>180000000</v>
      </c>
    </row>
    <row r="51" spans="1:8" ht="14.4" x14ac:dyDescent="0.3">
      <c r="A51" s="70">
        <v>50</v>
      </c>
      <c r="B51" s="152" t="s">
        <v>662</v>
      </c>
      <c r="C51" s="153" t="s">
        <v>346</v>
      </c>
      <c r="D51" s="153">
        <v>0</v>
      </c>
      <c r="E51" s="154">
        <v>50000000</v>
      </c>
      <c r="F51" s="154">
        <v>600000000</v>
      </c>
      <c r="G51" s="154">
        <v>3625000000</v>
      </c>
      <c r="H51" s="154">
        <v>125000000</v>
      </c>
    </row>
    <row r="52" spans="1:8" ht="14.4" x14ac:dyDescent="0.3">
      <c r="A52" s="70">
        <v>51</v>
      </c>
      <c r="B52" s="152" t="s">
        <v>663</v>
      </c>
      <c r="C52" s="153" t="s">
        <v>347</v>
      </c>
      <c r="D52" s="153">
        <v>0</v>
      </c>
      <c r="E52" s="154">
        <v>50000000</v>
      </c>
      <c r="F52" s="154">
        <v>900000000</v>
      </c>
      <c r="G52" s="154">
        <v>4625000000</v>
      </c>
      <c r="H52" s="154">
        <v>275000000</v>
      </c>
    </row>
    <row r="53" spans="1:8" ht="14.4" x14ac:dyDescent="0.3">
      <c r="A53" s="70">
        <v>52</v>
      </c>
      <c r="B53" s="152" t="s">
        <v>664</v>
      </c>
      <c r="C53" s="153" t="s">
        <v>348</v>
      </c>
      <c r="D53" s="153">
        <v>0</v>
      </c>
      <c r="E53" s="154">
        <v>50000000</v>
      </c>
      <c r="F53" s="154">
        <v>600000000</v>
      </c>
      <c r="G53" s="154">
        <v>3625000000</v>
      </c>
      <c r="H53" s="154">
        <v>50000000</v>
      </c>
    </row>
    <row r="54" spans="1:8" ht="14.4" x14ac:dyDescent="0.3">
      <c r="A54" s="70">
        <v>53</v>
      </c>
      <c r="B54" s="152" t="s">
        <v>665</v>
      </c>
      <c r="C54" s="153" t="s">
        <v>349</v>
      </c>
      <c r="D54" s="153">
        <v>0</v>
      </c>
      <c r="E54" s="154">
        <v>50000000</v>
      </c>
      <c r="F54" s="154">
        <v>900000000</v>
      </c>
      <c r="G54" s="154">
        <v>4625000000</v>
      </c>
      <c r="H54" s="154">
        <v>75000000</v>
      </c>
    </row>
    <row r="55" spans="1:8" ht="14.4" x14ac:dyDescent="0.3">
      <c r="A55" s="70">
        <v>54</v>
      </c>
      <c r="B55" s="152" t="s">
        <v>666</v>
      </c>
      <c r="C55" s="153" t="s">
        <v>350</v>
      </c>
      <c r="D55" s="153"/>
      <c r="E55" s="154">
        <v>1310000000</v>
      </c>
      <c r="F55" s="154">
        <v>125000000</v>
      </c>
      <c r="G55" s="154"/>
      <c r="H55" s="154">
        <v>110000000</v>
      </c>
    </row>
    <row r="56" spans="1:8" ht="14.4" x14ac:dyDescent="0.3">
      <c r="A56" s="70">
        <v>55</v>
      </c>
      <c r="B56" s="152" t="s">
        <v>667</v>
      </c>
      <c r="C56" s="153" t="s">
        <v>351</v>
      </c>
      <c r="D56" s="153">
        <v>200000000</v>
      </c>
      <c r="E56" s="154">
        <v>100000000</v>
      </c>
      <c r="F56" s="154">
        <v>200000000</v>
      </c>
      <c r="G56" s="154">
        <v>200000000</v>
      </c>
      <c r="H56" s="154">
        <v>50000000</v>
      </c>
    </row>
    <row r="57" spans="1:8" ht="14.4" x14ac:dyDescent="0.3">
      <c r="A57" s="70">
        <v>56</v>
      </c>
      <c r="B57" s="152" t="s">
        <v>668</v>
      </c>
      <c r="C57" s="153" t="s">
        <v>352</v>
      </c>
      <c r="D57" s="153"/>
      <c r="E57" s="154">
        <v>525000000</v>
      </c>
      <c r="F57" s="154">
        <v>160000000</v>
      </c>
      <c r="G57" s="154"/>
      <c r="H57" s="154">
        <v>130000000</v>
      </c>
    </row>
    <row r="58" spans="1:8" ht="14.4" x14ac:dyDescent="0.3">
      <c r="A58" s="70">
        <v>57</v>
      </c>
      <c r="B58" s="152" t="s">
        <v>669</v>
      </c>
      <c r="C58" s="153" t="s">
        <v>353</v>
      </c>
      <c r="D58" s="153"/>
      <c r="E58" s="154">
        <v>525000000</v>
      </c>
      <c r="F58" s="154">
        <v>400000000</v>
      </c>
      <c r="G58" s="154"/>
      <c r="H58" s="154">
        <v>80000000</v>
      </c>
    </row>
    <row r="59" spans="1:8" ht="14.4" x14ac:dyDescent="0.3">
      <c r="A59" s="70">
        <v>58</v>
      </c>
      <c r="B59" s="152" t="s">
        <v>670</v>
      </c>
      <c r="C59" s="153" t="s">
        <v>354</v>
      </c>
      <c r="D59" s="153">
        <v>200000000</v>
      </c>
      <c r="E59" s="154">
        <v>100000000</v>
      </c>
      <c r="F59" s="154">
        <v>200000000</v>
      </c>
      <c r="G59" s="154">
        <v>200000000</v>
      </c>
      <c r="H59" s="154">
        <v>150000000</v>
      </c>
    </row>
    <row r="60" spans="1:8" ht="14.4" x14ac:dyDescent="0.3">
      <c r="A60" s="70">
        <v>59</v>
      </c>
      <c r="B60" s="152" t="s">
        <v>671</v>
      </c>
      <c r="C60" s="153" t="s">
        <v>355</v>
      </c>
      <c r="D60" s="153"/>
      <c r="E60" s="154">
        <v>250000000</v>
      </c>
      <c r="F60" s="154">
        <v>250000000</v>
      </c>
      <c r="G60" s="154"/>
      <c r="H60" s="154">
        <v>150000000</v>
      </c>
    </row>
    <row r="61" spans="1:8" ht="14.4" x14ac:dyDescent="0.3">
      <c r="A61" s="70">
        <v>60</v>
      </c>
      <c r="B61" s="152" t="s">
        <v>672</v>
      </c>
      <c r="C61" s="153" t="s">
        <v>356</v>
      </c>
      <c r="D61" s="153">
        <v>0</v>
      </c>
      <c r="E61" s="154">
        <v>0</v>
      </c>
      <c r="F61" s="154">
        <v>100000000</v>
      </c>
      <c r="G61" s="154"/>
      <c r="H61" s="154">
        <v>100000000</v>
      </c>
    </row>
    <row r="62" spans="1:8" ht="14.4" x14ac:dyDescent="0.3">
      <c r="A62" s="70">
        <v>61</v>
      </c>
      <c r="B62" s="152" t="s">
        <v>673</v>
      </c>
      <c r="C62" s="153" t="s">
        <v>357</v>
      </c>
      <c r="D62" s="153">
        <v>0</v>
      </c>
      <c r="E62" s="154">
        <v>0</v>
      </c>
      <c r="F62" s="154">
        <v>150000000</v>
      </c>
      <c r="G62" s="154"/>
      <c r="H62" s="154">
        <v>150000000</v>
      </c>
    </row>
    <row r="63" spans="1:8" ht="14.4" x14ac:dyDescent="0.3">
      <c r="A63" s="70">
        <v>62</v>
      </c>
      <c r="B63" s="152" t="s">
        <v>674</v>
      </c>
      <c r="C63" s="153" t="s">
        <v>358</v>
      </c>
      <c r="D63" s="153">
        <v>0</v>
      </c>
      <c r="E63" s="154">
        <v>0</v>
      </c>
      <c r="F63" s="154">
        <v>350000000</v>
      </c>
      <c r="G63" s="154"/>
      <c r="H63" s="154">
        <v>350000000</v>
      </c>
    </row>
    <row r="64" spans="1:8" ht="14.4" x14ac:dyDescent="0.3">
      <c r="A64" s="70">
        <v>63</v>
      </c>
      <c r="B64" s="152" t="s">
        <v>675</v>
      </c>
      <c r="C64" s="153" t="s">
        <v>359</v>
      </c>
      <c r="D64" s="153"/>
      <c r="E64" s="154">
        <v>700000000</v>
      </c>
      <c r="F64" s="154">
        <v>300000000</v>
      </c>
      <c r="G64" s="154"/>
      <c r="H64" s="154">
        <v>150000000</v>
      </c>
    </row>
    <row r="65" spans="1:8" ht="14.4" x14ac:dyDescent="0.3">
      <c r="A65" s="70">
        <v>64</v>
      </c>
      <c r="B65" s="152" t="s">
        <v>676</v>
      </c>
      <c r="C65" s="153" t="s">
        <v>360</v>
      </c>
      <c r="D65" s="153">
        <v>0</v>
      </c>
      <c r="E65" s="154">
        <v>4250000000</v>
      </c>
      <c r="F65" s="154">
        <v>1000000000</v>
      </c>
      <c r="G65" s="154"/>
      <c r="H65" s="154">
        <v>400000000</v>
      </c>
    </row>
    <row r="66" spans="1:8" ht="14.4" x14ac:dyDescent="0.3">
      <c r="A66" s="70">
        <v>65</v>
      </c>
      <c r="B66" s="152" t="s">
        <v>677</v>
      </c>
      <c r="C66" s="153" t="s">
        <v>163</v>
      </c>
      <c r="D66" s="153">
        <v>0</v>
      </c>
      <c r="E66" s="154">
        <v>4250000000</v>
      </c>
      <c r="F66" s="154">
        <v>750000000</v>
      </c>
      <c r="G66" s="154"/>
      <c r="H66" s="154">
        <v>100000000</v>
      </c>
    </row>
    <row r="67" spans="1:8" ht="14.4" x14ac:dyDescent="0.3">
      <c r="A67" s="70">
        <v>66</v>
      </c>
      <c r="B67" s="152" t="s">
        <v>678</v>
      </c>
      <c r="C67" s="153" t="s">
        <v>361</v>
      </c>
      <c r="D67" s="153">
        <v>0</v>
      </c>
      <c r="E67" s="154">
        <v>50000000</v>
      </c>
      <c r="F67" s="154">
        <v>500000000</v>
      </c>
      <c r="G67" s="154">
        <v>4500000000</v>
      </c>
      <c r="H67" s="154">
        <v>150000000</v>
      </c>
    </row>
    <row r="68" spans="1:8" ht="14.4" x14ac:dyDescent="0.3">
      <c r="A68" s="70">
        <v>67</v>
      </c>
      <c r="B68" s="152" t="s">
        <v>679</v>
      </c>
      <c r="C68" s="153" t="s">
        <v>362</v>
      </c>
      <c r="D68" s="153">
        <v>0</v>
      </c>
      <c r="E68" s="154">
        <v>4250000000</v>
      </c>
      <c r="F68" s="154">
        <v>250000000</v>
      </c>
      <c r="G68" s="154"/>
      <c r="H68" s="154">
        <v>100000000</v>
      </c>
    </row>
    <row r="69" spans="1:8" ht="14.4" x14ac:dyDescent="0.3">
      <c r="A69" s="70">
        <v>68</v>
      </c>
      <c r="B69" s="152" t="s">
        <v>680</v>
      </c>
      <c r="C69" s="153" t="s">
        <v>363</v>
      </c>
      <c r="D69" s="153">
        <v>0</v>
      </c>
      <c r="E69" s="154">
        <v>4250000000</v>
      </c>
      <c r="F69" s="154">
        <v>750000000</v>
      </c>
      <c r="G69" s="154"/>
      <c r="H69" s="154">
        <v>200000000</v>
      </c>
    </row>
    <row r="70" spans="1:8" ht="14.4" x14ac:dyDescent="0.3">
      <c r="A70" s="70">
        <v>69</v>
      </c>
      <c r="B70" s="152" t="s">
        <v>678</v>
      </c>
      <c r="C70" s="153" t="s">
        <v>364</v>
      </c>
      <c r="D70" s="153">
        <v>0</v>
      </c>
      <c r="E70" s="154"/>
      <c r="F70" s="154">
        <v>500000000</v>
      </c>
      <c r="G70" s="154"/>
      <c r="H70" s="154">
        <v>175000000</v>
      </c>
    </row>
    <row r="71" spans="1:8" ht="14.4" x14ac:dyDescent="0.3">
      <c r="A71" s="70">
        <v>70</v>
      </c>
      <c r="B71" s="152" t="s">
        <v>681</v>
      </c>
      <c r="C71" s="153" t="s">
        <v>365</v>
      </c>
      <c r="D71" s="153">
        <v>0</v>
      </c>
      <c r="E71" s="154">
        <v>50000000</v>
      </c>
      <c r="F71" s="154">
        <v>500000000</v>
      </c>
      <c r="G71" s="154">
        <v>4000000000</v>
      </c>
      <c r="H71" s="154">
        <v>175000000</v>
      </c>
    </row>
    <row r="72" spans="1:8" ht="14.4" x14ac:dyDescent="0.3">
      <c r="A72" s="70">
        <v>71</v>
      </c>
      <c r="B72" s="152" t="s">
        <v>682</v>
      </c>
      <c r="C72" s="153" t="s">
        <v>366</v>
      </c>
      <c r="D72" s="153">
        <v>0</v>
      </c>
      <c r="E72" s="154">
        <v>4250000000</v>
      </c>
      <c r="F72" s="154">
        <v>998636875</v>
      </c>
      <c r="G72" s="154"/>
      <c r="H72" s="154">
        <v>175000000</v>
      </c>
    </row>
    <row r="73" spans="1:8" ht="14.4" x14ac:dyDescent="0.3">
      <c r="A73" s="70">
        <v>72</v>
      </c>
      <c r="B73" s="152" t="s">
        <v>683</v>
      </c>
      <c r="C73" s="153" t="s">
        <v>367</v>
      </c>
      <c r="D73" s="153">
        <v>0</v>
      </c>
      <c r="E73" s="154">
        <v>4250000000</v>
      </c>
      <c r="F73" s="154">
        <v>1999375000</v>
      </c>
      <c r="G73" s="154"/>
      <c r="H73" s="154">
        <v>100000000</v>
      </c>
    </row>
    <row r="74" spans="1:8" ht="14.4" x14ac:dyDescent="0.3">
      <c r="A74" s="70">
        <v>73</v>
      </c>
      <c r="B74" s="152" t="s">
        <v>684</v>
      </c>
      <c r="C74" s="153" t="s">
        <v>368</v>
      </c>
      <c r="D74" s="153">
        <v>0</v>
      </c>
      <c r="E74" s="154">
        <v>4250000000</v>
      </c>
      <c r="F74" s="154">
        <v>998636875</v>
      </c>
      <c r="G74" s="154"/>
      <c r="H74" s="154">
        <v>175000000</v>
      </c>
    </row>
    <row r="75" spans="1:8" ht="14.4" x14ac:dyDescent="0.3">
      <c r="A75" s="70">
        <v>74</v>
      </c>
      <c r="B75" s="152" t="s">
        <v>685</v>
      </c>
      <c r="C75" s="153" t="s">
        <v>369</v>
      </c>
      <c r="D75" s="153">
        <v>0</v>
      </c>
      <c r="E75" s="154">
        <v>4250000000</v>
      </c>
      <c r="F75" s="154">
        <v>1999375000</v>
      </c>
      <c r="G75" s="154"/>
      <c r="H75" s="154">
        <v>300000000</v>
      </c>
    </row>
    <row r="76" spans="1:8" ht="14.4" x14ac:dyDescent="0.3">
      <c r="A76" s="70">
        <v>75</v>
      </c>
      <c r="B76" s="152" t="s">
        <v>686</v>
      </c>
      <c r="C76" s="153" t="s">
        <v>370</v>
      </c>
      <c r="D76" s="153">
        <v>0</v>
      </c>
      <c r="E76" s="154">
        <v>0</v>
      </c>
      <c r="F76" s="154">
        <v>65000000000</v>
      </c>
      <c r="G76" s="154">
        <v>45000000000</v>
      </c>
      <c r="H76" s="154">
        <v>60000000</v>
      </c>
    </row>
    <row r="77" spans="1:8" ht="14.4" x14ac:dyDescent="0.3">
      <c r="A77" s="70">
        <v>76</v>
      </c>
      <c r="B77" s="152" t="s">
        <v>687</v>
      </c>
      <c r="C77" s="153" t="s">
        <v>371</v>
      </c>
      <c r="D77" s="153">
        <v>0</v>
      </c>
      <c r="E77" s="154">
        <v>0</v>
      </c>
      <c r="F77" s="154">
        <v>24000000000</v>
      </c>
      <c r="G77" s="154">
        <v>21000000000</v>
      </c>
      <c r="H77" s="154">
        <v>40000000</v>
      </c>
    </row>
    <row r="78" spans="1:8" ht="14.4" x14ac:dyDescent="0.3">
      <c r="A78" s="70">
        <v>77</v>
      </c>
      <c r="B78" s="152" t="s">
        <v>688</v>
      </c>
      <c r="C78" s="153" t="s">
        <v>372</v>
      </c>
      <c r="D78" s="153"/>
      <c r="E78" s="154"/>
      <c r="F78" s="154">
        <v>1043000000</v>
      </c>
      <c r="G78" s="154">
        <v>2508000000</v>
      </c>
      <c r="H78" s="154">
        <v>60000000</v>
      </c>
    </row>
    <row r="79" spans="1:8" ht="14.4" x14ac:dyDescent="0.3">
      <c r="A79" s="70">
        <v>78</v>
      </c>
      <c r="B79" s="152" t="s">
        <v>689</v>
      </c>
      <c r="C79" s="153" t="s">
        <v>373</v>
      </c>
      <c r="D79" s="153"/>
      <c r="E79" s="154"/>
      <c r="F79" s="154">
        <v>1156000000</v>
      </c>
      <c r="G79" s="154">
        <v>1578000000</v>
      </c>
      <c r="H79" s="154">
        <v>30000000</v>
      </c>
    </row>
    <row r="80" spans="1:8" ht="14.4" x14ac:dyDescent="0.3">
      <c r="A80" s="70">
        <v>79</v>
      </c>
      <c r="B80" s="152" t="s">
        <v>690</v>
      </c>
      <c r="C80" s="153" t="s">
        <v>374</v>
      </c>
      <c r="D80" s="153"/>
      <c r="E80" s="154">
        <v>110000000</v>
      </c>
      <c r="F80" s="154">
        <v>175000000</v>
      </c>
      <c r="G80" s="154"/>
      <c r="H80" s="154">
        <v>75000000</v>
      </c>
    </row>
    <row r="81" spans="1:8" ht="14.4" x14ac:dyDescent="0.3">
      <c r="A81" s="70">
        <v>80</v>
      </c>
      <c r="B81" s="152" t="s">
        <v>691</v>
      </c>
      <c r="C81" s="153" t="s">
        <v>375</v>
      </c>
      <c r="D81" s="153"/>
      <c r="E81" s="154">
        <v>2000000000</v>
      </c>
      <c r="F81" s="154">
        <v>875000000</v>
      </c>
      <c r="G81" s="154"/>
      <c r="H81" s="154">
        <v>100000000</v>
      </c>
    </row>
    <row r="82" spans="1:8" ht="14.4" x14ac:dyDescent="0.3">
      <c r="A82" s="70">
        <v>81</v>
      </c>
      <c r="B82" s="152" t="s">
        <v>692</v>
      </c>
      <c r="C82" s="153" t="s">
        <v>376</v>
      </c>
      <c r="D82" s="153"/>
      <c r="E82" s="154">
        <v>2000000000</v>
      </c>
      <c r="F82" s="154">
        <v>875000000</v>
      </c>
      <c r="G82" s="154"/>
      <c r="H82" s="154">
        <v>125000000</v>
      </c>
    </row>
    <row r="83" spans="1:8" ht="14.4" x14ac:dyDescent="0.3">
      <c r="A83" s="70">
        <v>82</v>
      </c>
      <c r="B83" s="152" t="s">
        <v>693</v>
      </c>
      <c r="C83" s="153" t="s">
        <v>377</v>
      </c>
      <c r="D83" s="153"/>
      <c r="E83" s="154">
        <v>1200000000</v>
      </c>
      <c r="F83" s="154">
        <v>600000000</v>
      </c>
      <c r="G83" s="154"/>
      <c r="H83" s="154">
        <v>50000000</v>
      </c>
    </row>
    <row r="84" spans="1:8" ht="14.4" x14ac:dyDescent="0.3">
      <c r="A84" s="70">
        <v>83</v>
      </c>
      <c r="B84" s="152" t="s">
        <v>694</v>
      </c>
      <c r="C84" s="153" t="s">
        <v>378</v>
      </c>
      <c r="D84" s="153"/>
      <c r="E84" s="154">
        <v>1800000000</v>
      </c>
      <c r="F84" s="154">
        <v>200000000</v>
      </c>
      <c r="G84" s="154"/>
      <c r="H84" s="154">
        <v>200000000</v>
      </c>
    </row>
    <row r="85" spans="1:8" ht="14.4" x14ac:dyDescent="0.3">
      <c r="A85" s="70">
        <v>84</v>
      </c>
      <c r="B85" s="152" t="s">
        <v>695</v>
      </c>
      <c r="C85" s="153" t="s">
        <v>379</v>
      </c>
      <c r="D85" s="153"/>
      <c r="E85" s="154">
        <v>1200000000</v>
      </c>
      <c r="F85" s="154">
        <v>600000000</v>
      </c>
      <c r="G85" s="154"/>
      <c r="H85" s="154">
        <v>75000000</v>
      </c>
    </row>
    <row r="86" spans="1:8" ht="14.4" x14ac:dyDescent="0.3">
      <c r="A86" s="70">
        <v>85</v>
      </c>
      <c r="B86" s="152" t="s">
        <v>696</v>
      </c>
      <c r="C86" s="153" t="s">
        <v>380</v>
      </c>
      <c r="D86" s="153"/>
      <c r="E86" s="154">
        <v>0</v>
      </c>
      <c r="F86" s="154">
        <v>1920000000</v>
      </c>
      <c r="G86" s="154">
        <v>5987000000</v>
      </c>
      <c r="H86" s="154">
        <v>105000000</v>
      </c>
    </row>
    <row r="87" spans="1:8" ht="14.4" x14ac:dyDescent="0.3">
      <c r="A87" s="70">
        <v>86</v>
      </c>
      <c r="B87" s="152" t="s">
        <v>697</v>
      </c>
      <c r="C87" s="153" t="s">
        <v>381</v>
      </c>
      <c r="D87" s="153"/>
      <c r="E87" s="154"/>
      <c r="F87" s="154">
        <v>1516000000</v>
      </c>
      <c r="G87" s="154">
        <v>3700000000</v>
      </c>
      <c r="H87" s="154">
        <v>120000000</v>
      </c>
    </row>
    <row r="88" spans="1:8" ht="14.4" x14ac:dyDescent="0.3">
      <c r="A88" s="70">
        <v>87</v>
      </c>
      <c r="B88" s="152" t="s">
        <v>698</v>
      </c>
      <c r="C88" s="153" t="s">
        <v>382</v>
      </c>
      <c r="D88" s="153"/>
      <c r="E88" s="154">
        <v>4495000000</v>
      </c>
      <c r="F88" s="154">
        <v>2295000000</v>
      </c>
      <c r="G88" s="154"/>
      <c r="H88" s="154">
        <v>170000000</v>
      </c>
    </row>
    <row r="89" spans="1:8" ht="14.4" x14ac:dyDescent="0.3">
      <c r="A89" s="70">
        <v>88</v>
      </c>
      <c r="B89" s="152" t="s">
        <v>699</v>
      </c>
      <c r="C89" s="153" t="s">
        <v>383</v>
      </c>
      <c r="D89" s="153"/>
      <c r="E89" s="154">
        <v>2500000000</v>
      </c>
      <c r="F89" s="154">
        <v>1995000000</v>
      </c>
      <c r="G89" s="154"/>
      <c r="H89" s="154">
        <v>105000000</v>
      </c>
    </row>
    <row r="90" spans="1:8" ht="14.4" x14ac:dyDescent="0.3">
      <c r="A90" s="70">
        <v>89</v>
      </c>
      <c r="B90" s="152" t="s">
        <v>700</v>
      </c>
      <c r="C90" s="153" t="s">
        <v>384</v>
      </c>
      <c r="D90" s="153"/>
      <c r="E90" s="154"/>
      <c r="F90" s="154">
        <v>1920000000</v>
      </c>
      <c r="G90" s="154">
        <v>5987000000</v>
      </c>
      <c r="H90" s="154">
        <v>105000000</v>
      </c>
    </row>
    <row r="91" spans="1:8" ht="14.4" x14ac:dyDescent="0.3">
      <c r="A91" s="70">
        <v>90</v>
      </c>
      <c r="B91" s="152" t="s">
        <v>701</v>
      </c>
      <c r="C91" s="153" t="s">
        <v>385</v>
      </c>
      <c r="D91" s="153"/>
      <c r="E91" s="154"/>
      <c r="F91" s="154">
        <v>1516000000</v>
      </c>
      <c r="G91" s="154">
        <v>3700000000</v>
      </c>
      <c r="H91" s="154">
        <v>120000000</v>
      </c>
    </row>
    <row r="92" spans="1:8" ht="14.4" x14ac:dyDescent="0.3">
      <c r="A92" s="70">
        <v>91</v>
      </c>
      <c r="B92" s="152" t="s">
        <v>702</v>
      </c>
      <c r="C92" s="153" t="s">
        <v>386</v>
      </c>
      <c r="D92" s="153"/>
      <c r="E92" s="154">
        <v>4495000000</v>
      </c>
      <c r="F92" s="154">
        <v>2295000000</v>
      </c>
      <c r="G92" s="154"/>
      <c r="H92" s="154">
        <v>170000000</v>
      </c>
    </row>
    <row r="93" spans="1:8" ht="14.4" x14ac:dyDescent="0.3">
      <c r="A93" s="70">
        <v>92</v>
      </c>
      <c r="B93" s="152" t="s">
        <v>703</v>
      </c>
      <c r="C93" s="153" t="s">
        <v>387</v>
      </c>
      <c r="D93" s="153"/>
      <c r="E93" s="154">
        <v>2500000000</v>
      </c>
      <c r="F93" s="154">
        <v>1995000000</v>
      </c>
      <c r="G93" s="154"/>
      <c r="H93" s="154">
        <v>105000000</v>
      </c>
    </row>
    <row r="94" spans="1:8" ht="14.4" x14ac:dyDescent="0.3">
      <c r="A94" s="70">
        <v>93</v>
      </c>
      <c r="B94" s="152" t="s">
        <v>704</v>
      </c>
      <c r="C94" s="153" t="s">
        <v>388</v>
      </c>
      <c r="D94" s="153"/>
      <c r="E94" s="154">
        <v>4576000000</v>
      </c>
      <c r="F94" s="154">
        <v>1507000000</v>
      </c>
      <c r="G94" s="154"/>
      <c r="H94" s="154">
        <v>75000000</v>
      </c>
    </row>
    <row r="95" spans="1:8" ht="14.4" x14ac:dyDescent="0.3">
      <c r="A95" s="70">
        <v>94</v>
      </c>
      <c r="B95" s="152" t="s">
        <v>705</v>
      </c>
      <c r="C95" s="153" t="s">
        <v>389</v>
      </c>
      <c r="D95" s="153"/>
      <c r="E95" s="154">
        <v>4055000000</v>
      </c>
      <c r="F95" s="154">
        <v>1597000000</v>
      </c>
      <c r="G95" s="154"/>
      <c r="H95" s="154">
        <v>125000000</v>
      </c>
    </row>
    <row r="96" spans="1:8" ht="14.4" x14ac:dyDescent="0.3">
      <c r="A96" s="70">
        <v>95</v>
      </c>
      <c r="B96" s="152" t="s">
        <v>706</v>
      </c>
      <c r="C96" s="153" t="s">
        <v>390</v>
      </c>
      <c r="D96" s="153">
        <v>0</v>
      </c>
      <c r="E96" s="154">
        <v>2095000000</v>
      </c>
      <c r="F96" s="154">
        <v>320000000</v>
      </c>
      <c r="G96" s="154"/>
      <c r="H96" s="154">
        <v>150000000</v>
      </c>
    </row>
    <row r="97" spans="1:8" ht="14.4" x14ac:dyDescent="0.3">
      <c r="A97" s="70">
        <v>96</v>
      </c>
      <c r="B97" s="152" t="s">
        <v>707</v>
      </c>
      <c r="C97" s="153" t="s">
        <v>391</v>
      </c>
      <c r="D97" s="153">
        <v>0</v>
      </c>
      <c r="E97" s="154">
        <v>0</v>
      </c>
      <c r="F97" s="154">
        <v>734000000</v>
      </c>
      <c r="G97" s="154">
        <v>6139000000</v>
      </c>
      <c r="H97" s="154">
        <v>90000000</v>
      </c>
    </row>
    <row r="98" spans="1:8" ht="14.4" x14ac:dyDescent="0.3">
      <c r="A98" s="70">
        <v>97</v>
      </c>
      <c r="B98" s="152" t="s">
        <v>708</v>
      </c>
      <c r="C98" s="153" t="s">
        <v>392</v>
      </c>
      <c r="D98" s="153">
        <v>0</v>
      </c>
      <c r="E98" s="154">
        <v>0</v>
      </c>
      <c r="F98" s="154">
        <v>392000000</v>
      </c>
      <c r="G98" s="154">
        <v>6935000000</v>
      </c>
      <c r="H98" s="154">
        <v>90000000</v>
      </c>
    </row>
    <row r="99" spans="1:8" ht="14.4" x14ac:dyDescent="0.3">
      <c r="A99" s="70">
        <v>98</v>
      </c>
      <c r="B99" s="152" t="s">
        <v>709</v>
      </c>
      <c r="C99" s="153" t="s">
        <v>393</v>
      </c>
      <c r="D99" s="153">
        <v>0</v>
      </c>
      <c r="E99" s="154">
        <v>275000000</v>
      </c>
      <c r="F99" s="154">
        <v>125000000</v>
      </c>
      <c r="G99" s="154"/>
      <c r="H99" s="154">
        <v>110000000</v>
      </c>
    </row>
    <row r="100" spans="1:8" ht="14.4" x14ac:dyDescent="0.3">
      <c r="A100" s="70">
        <v>99</v>
      </c>
      <c r="B100" s="152" t="s">
        <v>710</v>
      </c>
      <c r="C100" s="153" t="s">
        <v>394</v>
      </c>
      <c r="D100" s="153">
        <v>0</v>
      </c>
      <c r="E100" s="154">
        <v>400000000</v>
      </c>
      <c r="F100" s="154">
        <v>225000000</v>
      </c>
      <c r="G100" s="154"/>
      <c r="H100" s="154">
        <v>200000000</v>
      </c>
    </row>
    <row r="101" spans="1:8" ht="14.4" x14ac:dyDescent="0.3">
      <c r="A101" s="70">
        <v>100</v>
      </c>
      <c r="B101" s="152" t="s">
        <v>711</v>
      </c>
      <c r="C101" s="153" t="s">
        <v>395</v>
      </c>
      <c r="D101" s="153"/>
      <c r="E101" s="154">
        <v>0</v>
      </c>
      <c r="F101" s="154">
        <v>185000000</v>
      </c>
      <c r="G101" s="154">
        <v>433000000</v>
      </c>
      <c r="H101" s="154">
        <v>200000000</v>
      </c>
    </row>
    <row r="102" spans="1:8" ht="14.4" x14ac:dyDescent="0.3">
      <c r="A102" s="70">
        <v>101</v>
      </c>
      <c r="B102" s="152" t="s">
        <v>712</v>
      </c>
      <c r="C102" s="153" t="s">
        <v>396</v>
      </c>
      <c r="D102" s="153"/>
      <c r="E102" s="154"/>
      <c r="F102" s="154">
        <v>100000000</v>
      </c>
      <c r="G102" s="154">
        <v>490000000</v>
      </c>
      <c r="H102" s="154">
        <v>100000000</v>
      </c>
    </row>
    <row r="103" spans="1:8" ht="14.4" x14ac:dyDescent="0.3">
      <c r="A103" s="70">
        <v>102</v>
      </c>
      <c r="B103" s="152" t="s">
        <v>713</v>
      </c>
      <c r="C103" s="153" t="s">
        <v>397</v>
      </c>
      <c r="D103" s="153">
        <v>57000000</v>
      </c>
      <c r="E103" s="154"/>
      <c r="F103" s="154">
        <v>51000000</v>
      </c>
      <c r="G103" s="154">
        <v>57000000</v>
      </c>
      <c r="H103" s="154">
        <v>50000000</v>
      </c>
    </row>
    <row r="104" spans="1:8" ht="14.4" x14ac:dyDescent="0.3">
      <c r="A104" s="70">
        <v>103</v>
      </c>
      <c r="B104" s="152" t="s">
        <v>714</v>
      </c>
      <c r="C104" s="153" t="s">
        <v>398</v>
      </c>
      <c r="D104" s="153"/>
      <c r="E104" s="154">
        <v>200000000</v>
      </c>
      <c r="F104" s="154">
        <v>240000000</v>
      </c>
      <c r="G104" s="154"/>
      <c r="H104" s="154">
        <v>125000000</v>
      </c>
    </row>
    <row r="105" spans="1:8" ht="14.4" x14ac:dyDescent="0.3">
      <c r="A105" s="70">
        <v>104</v>
      </c>
      <c r="B105" s="152" t="s">
        <v>715</v>
      </c>
      <c r="C105" s="153" t="s">
        <v>399</v>
      </c>
      <c r="D105" s="153">
        <v>0</v>
      </c>
      <c r="E105" s="154">
        <v>0</v>
      </c>
      <c r="F105" s="154">
        <v>250000000</v>
      </c>
      <c r="G105" s="154"/>
      <c r="H105" s="154">
        <v>100000000</v>
      </c>
    </row>
    <row r="106" spans="1:8" ht="14.4" x14ac:dyDescent="0.3">
      <c r="A106" s="70">
        <v>105</v>
      </c>
      <c r="B106" s="152" t="s">
        <v>716</v>
      </c>
      <c r="C106" s="153" t="s">
        <v>400</v>
      </c>
      <c r="D106" s="153"/>
      <c r="E106" s="154">
        <v>355000000</v>
      </c>
      <c r="F106" s="154">
        <v>250000000</v>
      </c>
      <c r="G106" s="154"/>
      <c r="H106" s="154">
        <v>200000000</v>
      </c>
    </row>
    <row r="107" spans="1:8" ht="14.4" x14ac:dyDescent="0.3">
      <c r="A107" s="70">
        <v>106</v>
      </c>
      <c r="B107" s="152" t="s">
        <v>717</v>
      </c>
      <c r="C107" s="153" t="s">
        <v>401</v>
      </c>
      <c r="D107" s="153">
        <v>0</v>
      </c>
      <c r="E107" s="154">
        <v>1500000000</v>
      </c>
      <c r="F107" s="154">
        <v>150000000</v>
      </c>
      <c r="G107" s="154"/>
      <c r="H107" s="154">
        <v>150000000</v>
      </c>
    </row>
    <row r="108" spans="1:8" ht="14.4" x14ac:dyDescent="0.3">
      <c r="A108" s="70">
        <v>107</v>
      </c>
      <c r="B108" s="152" t="s">
        <v>718</v>
      </c>
      <c r="C108" s="153" t="s">
        <v>402</v>
      </c>
      <c r="D108" s="153">
        <v>0</v>
      </c>
      <c r="E108" s="154">
        <v>525000000</v>
      </c>
      <c r="F108" s="154">
        <v>125000000</v>
      </c>
      <c r="G108" s="154"/>
      <c r="H108" s="154">
        <v>50000000</v>
      </c>
    </row>
    <row r="109" spans="1:8" ht="14.4" x14ac:dyDescent="0.3">
      <c r="A109" s="70">
        <v>108</v>
      </c>
      <c r="B109" s="152" t="s">
        <v>719</v>
      </c>
      <c r="C109" s="153" t="s">
        <v>403</v>
      </c>
      <c r="D109" s="153">
        <v>0</v>
      </c>
      <c r="E109" s="154">
        <v>900000000</v>
      </c>
      <c r="F109" s="154">
        <v>400000000</v>
      </c>
      <c r="G109" s="154"/>
      <c r="H109" s="154">
        <v>215000000</v>
      </c>
    </row>
    <row r="110" spans="1:8" ht="14.4" x14ac:dyDescent="0.3">
      <c r="A110" s="70">
        <v>109</v>
      </c>
      <c r="B110" s="152" t="s">
        <v>720</v>
      </c>
      <c r="C110" s="153" t="s">
        <v>404</v>
      </c>
      <c r="D110" s="153">
        <v>0</v>
      </c>
      <c r="E110" s="154">
        <v>650000000</v>
      </c>
      <c r="F110" s="154">
        <v>250000000</v>
      </c>
      <c r="G110" s="154"/>
      <c r="H110" s="154">
        <v>130000000</v>
      </c>
    </row>
    <row r="111" spans="1:8" ht="14.4" x14ac:dyDescent="0.3">
      <c r="A111" s="70">
        <v>110</v>
      </c>
      <c r="B111" s="152" t="s">
        <v>721</v>
      </c>
      <c r="C111" s="153" t="s">
        <v>405</v>
      </c>
      <c r="D111" s="153">
        <v>0</v>
      </c>
      <c r="E111" s="154">
        <v>325000000</v>
      </c>
      <c r="F111" s="154">
        <v>200000000</v>
      </c>
      <c r="G111" s="154"/>
      <c r="H111" s="154">
        <v>75000000</v>
      </c>
    </row>
    <row r="112" spans="1:8" ht="14.4" x14ac:dyDescent="0.3">
      <c r="A112" s="70">
        <v>111</v>
      </c>
      <c r="B112" s="152" t="s">
        <v>722</v>
      </c>
      <c r="C112" s="153" t="s">
        <v>406</v>
      </c>
      <c r="D112" s="153">
        <v>0</v>
      </c>
      <c r="E112" s="154">
        <v>1300000000</v>
      </c>
      <c r="F112" s="154">
        <v>200000000</v>
      </c>
      <c r="G112" s="154"/>
      <c r="H112" s="154">
        <v>150000000</v>
      </c>
    </row>
    <row r="113" spans="1:8" ht="14.4" x14ac:dyDescent="0.3">
      <c r="A113" s="70">
        <v>112</v>
      </c>
      <c r="B113" s="152" t="s">
        <v>723</v>
      </c>
      <c r="C113" s="153" t="s">
        <v>407</v>
      </c>
      <c r="D113" s="153">
        <v>0</v>
      </c>
      <c r="E113" s="154">
        <v>650000000</v>
      </c>
      <c r="F113" s="154">
        <v>650000000</v>
      </c>
      <c r="G113" s="154"/>
      <c r="H113" s="154">
        <v>200000000</v>
      </c>
    </row>
    <row r="114" spans="1:8" ht="14.4" x14ac:dyDescent="0.3">
      <c r="A114" s="70">
        <v>113</v>
      </c>
      <c r="B114" s="152" t="s">
        <v>724</v>
      </c>
      <c r="C114" s="153" t="s">
        <v>408</v>
      </c>
      <c r="D114" s="153">
        <v>0</v>
      </c>
      <c r="E114" s="154">
        <v>325000000</v>
      </c>
      <c r="F114" s="154">
        <v>325000000</v>
      </c>
      <c r="G114" s="154"/>
      <c r="H114" s="154">
        <v>175000000</v>
      </c>
    </row>
    <row r="115" spans="1:8" ht="14.4" x14ac:dyDescent="0.3">
      <c r="A115" s="70">
        <v>114</v>
      </c>
      <c r="B115" s="152" t="s">
        <v>725</v>
      </c>
      <c r="C115" s="153" t="s">
        <v>409</v>
      </c>
      <c r="D115" s="153"/>
      <c r="E115" s="154"/>
      <c r="F115" s="154">
        <v>125000000</v>
      </c>
      <c r="G115" s="154">
        <v>310000000</v>
      </c>
      <c r="H115" s="154">
        <v>125000000</v>
      </c>
    </row>
    <row r="116" spans="1:8" ht="14.4" x14ac:dyDescent="0.3">
      <c r="A116" s="70">
        <v>115</v>
      </c>
      <c r="B116" s="152" t="s">
        <v>726</v>
      </c>
      <c r="C116" s="153" t="s">
        <v>410</v>
      </c>
      <c r="D116" s="153">
        <v>0</v>
      </c>
      <c r="E116" s="154">
        <v>0</v>
      </c>
      <c r="F116" s="154">
        <v>225000000</v>
      </c>
      <c r="G116" s="154"/>
      <c r="H116" s="154">
        <v>225000000</v>
      </c>
    </row>
    <row r="117" spans="1:8" ht="14.4" x14ac:dyDescent="0.3">
      <c r="A117" s="70">
        <v>116</v>
      </c>
      <c r="B117" s="152" t="s">
        <v>727</v>
      </c>
      <c r="C117" s="152" t="s">
        <v>411</v>
      </c>
      <c r="D117" s="153">
        <v>0</v>
      </c>
      <c r="E117" s="154">
        <v>0</v>
      </c>
      <c r="F117" s="154">
        <v>70000000</v>
      </c>
      <c r="G117" s="154"/>
      <c r="H117" s="154">
        <v>70000000</v>
      </c>
    </row>
    <row r="118" spans="1:8" ht="14.4" x14ac:dyDescent="0.3">
      <c r="A118" s="70">
        <v>117</v>
      </c>
      <c r="B118" s="152" t="s">
        <v>728</v>
      </c>
      <c r="C118" s="152" t="s">
        <v>412</v>
      </c>
      <c r="D118" s="153">
        <v>0</v>
      </c>
      <c r="E118" s="154">
        <v>0</v>
      </c>
      <c r="F118" s="154">
        <v>125000000</v>
      </c>
      <c r="G118" s="154"/>
      <c r="H118" s="154">
        <v>125000000</v>
      </c>
    </row>
    <row r="119" spans="1:8" ht="14.4" x14ac:dyDescent="0.3">
      <c r="A119" s="70">
        <v>118</v>
      </c>
      <c r="B119" s="152" t="s">
        <v>729</v>
      </c>
      <c r="C119" s="152" t="s">
        <v>413</v>
      </c>
      <c r="D119" s="153">
        <v>0</v>
      </c>
      <c r="E119" s="154">
        <v>0</v>
      </c>
      <c r="F119" s="154">
        <v>175000000</v>
      </c>
      <c r="G119" s="154"/>
      <c r="H119" s="154">
        <v>175000000</v>
      </c>
    </row>
    <row r="120" spans="1:8" ht="14.4" x14ac:dyDescent="0.3">
      <c r="A120" s="70">
        <v>119</v>
      </c>
      <c r="B120" s="152" t="s">
        <v>730</v>
      </c>
      <c r="C120" s="152" t="s">
        <v>414</v>
      </c>
      <c r="D120" s="153"/>
      <c r="E120" s="154">
        <v>697000000</v>
      </c>
      <c r="F120" s="154">
        <v>77000000</v>
      </c>
      <c r="G120" s="154"/>
      <c r="H120" s="154">
        <v>80000000</v>
      </c>
    </row>
    <row r="121" spans="1:8" ht="14.4" x14ac:dyDescent="0.3">
      <c r="A121" s="70">
        <v>120</v>
      </c>
      <c r="B121" s="152" t="s">
        <v>731</v>
      </c>
      <c r="C121" s="152" t="s">
        <v>415</v>
      </c>
      <c r="D121" s="153"/>
      <c r="E121" s="154">
        <v>174000000</v>
      </c>
      <c r="F121" s="154">
        <v>80000000</v>
      </c>
      <c r="G121" s="154"/>
      <c r="H121" s="154">
        <v>60000000</v>
      </c>
    </row>
    <row r="122" spans="1:8" ht="14.4" x14ac:dyDescent="0.3">
      <c r="A122" s="70">
        <v>121</v>
      </c>
      <c r="B122" s="152" t="s">
        <v>732</v>
      </c>
      <c r="C122" s="152" t="s">
        <v>416</v>
      </c>
      <c r="D122" s="153">
        <v>0</v>
      </c>
      <c r="E122" s="154"/>
      <c r="F122" s="154">
        <v>10000000000</v>
      </c>
      <c r="G122" s="154"/>
      <c r="H122" s="154">
        <v>150000000</v>
      </c>
    </row>
    <row r="123" spans="1:8" ht="14.4" x14ac:dyDescent="0.3">
      <c r="A123" s="70">
        <v>122</v>
      </c>
      <c r="B123" s="152" t="s">
        <v>733</v>
      </c>
      <c r="C123" s="152" t="s">
        <v>417</v>
      </c>
      <c r="D123" s="153"/>
      <c r="E123" s="154">
        <v>100000000</v>
      </c>
      <c r="F123" s="154">
        <v>100000000</v>
      </c>
      <c r="G123" s="154"/>
      <c r="H123" s="154">
        <v>100000000</v>
      </c>
    </row>
    <row r="124" spans="1:8" ht="14.4" x14ac:dyDescent="0.3">
      <c r="A124" s="70">
        <v>123</v>
      </c>
      <c r="B124" s="152" t="s">
        <v>734</v>
      </c>
      <c r="C124" s="152" t="s">
        <v>418</v>
      </c>
      <c r="D124" s="153">
        <v>0</v>
      </c>
      <c r="E124" s="154"/>
      <c r="F124" s="154">
        <v>145000000</v>
      </c>
      <c r="G124" s="154">
        <v>175000000</v>
      </c>
      <c r="H124" s="154">
        <v>145000000</v>
      </c>
    </row>
    <row r="125" spans="1:8" ht="14.4" x14ac:dyDescent="0.3">
      <c r="A125" s="70">
        <v>124</v>
      </c>
      <c r="B125" s="152" t="s">
        <v>735</v>
      </c>
      <c r="C125" s="152" t="s">
        <v>419</v>
      </c>
      <c r="D125" s="153"/>
      <c r="E125" s="154">
        <v>1225000000</v>
      </c>
      <c r="F125" s="154">
        <v>100000000</v>
      </c>
      <c r="G125" s="154"/>
      <c r="H125" s="154">
        <v>75000000</v>
      </c>
    </row>
    <row r="126" spans="1:8" ht="14.4" x14ac:dyDescent="0.3">
      <c r="A126" s="70">
        <v>125</v>
      </c>
      <c r="B126" s="152" t="s">
        <v>736</v>
      </c>
      <c r="C126" s="152" t="s">
        <v>420</v>
      </c>
      <c r="D126" s="153"/>
      <c r="E126" s="154">
        <v>325000000</v>
      </c>
      <c r="F126" s="154">
        <v>100000000</v>
      </c>
      <c r="G126" s="154"/>
      <c r="H126" s="154">
        <v>75000000</v>
      </c>
    </row>
    <row r="127" spans="1:8" ht="14.4" x14ac:dyDescent="0.3">
      <c r="A127" s="70">
        <v>126</v>
      </c>
      <c r="B127" s="152" t="s">
        <v>737</v>
      </c>
      <c r="C127" s="152" t="s">
        <v>421</v>
      </c>
      <c r="D127" s="153"/>
      <c r="E127" s="154">
        <v>1000000000</v>
      </c>
      <c r="F127" s="154">
        <v>225000000</v>
      </c>
      <c r="G127" s="154"/>
      <c r="H127" s="154">
        <v>175000000</v>
      </c>
    </row>
    <row r="128" spans="1:8" ht="14.4" x14ac:dyDescent="0.3">
      <c r="A128" s="70">
        <v>127</v>
      </c>
      <c r="B128" s="152" t="s">
        <v>738</v>
      </c>
      <c r="C128" s="152" t="s">
        <v>187</v>
      </c>
      <c r="D128" s="153"/>
      <c r="E128" s="154">
        <v>700000000</v>
      </c>
      <c r="F128" s="154">
        <v>300000000</v>
      </c>
      <c r="G128" s="154"/>
      <c r="H128" s="154">
        <v>300000000</v>
      </c>
    </row>
    <row r="129" spans="1:8" ht="14.4" x14ac:dyDescent="0.3">
      <c r="A129" s="70">
        <v>128</v>
      </c>
      <c r="B129" s="152" t="s">
        <v>739</v>
      </c>
      <c r="C129" s="152" t="s">
        <v>422</v>
      </c>
      <c r="D129" s="153"/>
      <c r="E129" s="154">
        <v>425000000</v>
      </c>
      <c r="F129" s="154">
        <v>150000000</v>
      </c>
      <c r="G129" s="154"/>
      <c r="H129" s="154">
        <v>150000000</v>
      </c>
    </row>
    <row r="130" spans="1:8" ht="14.4" x14ac:dyDescent="0.3">
      <c r="A130" s="70">
        <v>129</v>
      </c>
      <c r="B130" s="152" t="s">
        <v>740</v>
      </c>
      <c r="C130" s="152" t="s">
        <v>423</v>
      </c>
      <c r="D130" s="153"/>
      <c r="E130" s="154"/>
      <c r="F130" s="154">
        <v>600000000</v>
      </c>
      <c r="G130" s="154">
        <v>800000000</v>
      </c>
      <c r="H130" s="154">
        <v>140000000</v>
      </c>
    </row>
    <row r="131" spans="1:8" ht="14.4" x14ac:dyDescent="0.3">
      <c r="A131" s="70">
        <v>130</v>
      </c>
      <c r="B131" s="152" t="s">
        <v>741</v>
      </c>
      <c r="C131" s="152" t="s">
        <v>424</v>
      </c>
      <c r="D131" s="153">
        <v>0</v>
      </c>
      <c r="E131" s="154">
        <v>0</v>
      </c>
      <c r="F131" s="154">
        <v>85000000</v>
      </c>
      <c r="G131" s="154"/>
      <c r="H131" s="154">
        <v>85000000</v>
      </c>
    </row>
    <row r="132" spans="1:8" ht="14.4" x14ac:dyDescent="0.3">
      <c r="A132" s="70">
        <v>131</v>
      </c>
      <c r="B132" s="152" t="s">
        <v>742</v>
      </c>
      <c r="C132" s="155" t="s">
        <v>425</v>
      </c>
      <c r="D132" s="153"/>
      <c r="E132" s="154"/>
      <c r="F132" s="154">
        <v>50000000</v>
      </c>
      <c r="G132" s="154"/>
      <c r="H132" s="154">
        <v>50000000</v>
      </c>
    </row>
    <row r="133" spans="1:8" ht="14.4" x14ac:dyDescent="0.3">
      <c r="A133" s="70">
        <v>132</v>
      </c>
      <c r="B133" s="152" t="s">
        <v>743</v>
      </c>
      <c r="C133" s="152" t="s">
        <v>426</v>
      </c>
      <c r="D133" s="153"/>
      <c r="E133" s="154">
        <v>700000000</v>
      </c>
      <c r="F133" s="154">
        <v>200000000</v>
      </c>
      <c r="G133" s="154"/>
      <c r="H133" s="154">
        <v>100000000</v>
      </c>
    </row>
    <row r="134" spans="1:8" ht="14.4" x14ac:dyDescent="0.3">
      <c r="A134" s="70">
        <v>133</v>
      </c>
      <c r="B134" s="152" t="s">
        <v>744</v>
      </c>
      <c r="C134" s="152" t="s">
        <v>427</v>
      </c>
      <c r="D134" s="153"/>
      <c r="E134" s="154">
        <v>290000000</v>
      </c>
      <c r="F134" s="154">
        <v>205000000</v>
      </c>
      <c r="G134" s="154"/>
      <c r="H134" s="154">
        <v>100000000</v>
      </c>
    </row>
    <row r="135" spans="1:8" ht="14.4" x14ac:dyDescent="0.3">
      <c r="A135" s="70">
        <v>134</v>
      </c>
      <c r="B135" s="152" t="s">
        <v>745</v>
      </c>
      <c r="C135" s="152" t="s">
        <v>428</v>
      </c>
      <c r="D135" s="153">
        <v>0</v>
      </c>
      <c r="E135" s="154">
        <v>300000000</v>
      </c>
      <c r="F135" s="154">
        <v>250000000</v>
      </c>
      <c r="G135" s="154"/>
      <c r="H135" s="154">
        <v>120000000</v>
      </c>
    </row>
    <row r="136" spans="1:8" ht="14.4" x14ac:dyDescent="0.3">
      <c r="A136" s="70">
        <v>135</v>
      </c>
      <c r="B136" s="152" t="s">
        <v>746</v>
      </c>
      <c r="C136" s="152" t="s">
        <v>429</v>
      </c>
      <c r="D136" s="153">
        <v>0</v>
      </c>
      <c r="E136" s="154">
        <v>345000000</v>
      </c>
      <c r="F136" s="154">
        <v>115000000</v>
      </c>
      <c r="G136" s="154"/>
      <c r="H136" s="154">
        <v>115000000</v>
      </c>
    </row>
    <row r="137" spans="1:8" ht="14.4" x14ac:dyDescent="0.3">
      <c r="A137" s="70">
        <v>136</v>
      </c>
      <c r="B137" s="152" t="s">
        <v>747</v>
      </c>
      <c r="C137" s="152" t="s">
        <v>430</v>
      </c>
      <c r="D137" s="153"/>
      <c r="E137" s="154">
        <v>700000000</v>
      </c>
      <c r="F137" s="154">
        <v>100000000</v>
      </c>
      <c r="G137" s="154"/>
      <c r="H137" s="154">
        <v>50000000</v>
      </c>
    </row>
    <row r="138" spans="1:8" ht="14.4" x14ac:dyDescent="0.3">
      <c r="A138" s="70">
        <v>137</v>
      </c>
      <c r="B138" s="152" t="s">
        <v>748</v>
      </c>
      <c r="C138" s="152" t="s">
        <v>431</v>
      </c>
      <c r="D138" s="153"/>
      <c r="E138" s="154">
        <v>560000000</v>
      </c>
      <c r="F138" s="154">
        <v>140000000</v>
      </c>
      <c r="G138" s="154"/>
      <c r="H138" s="154">
        <v>50000000</v>
      </c>
    </row>
    <row r="139" spans="1:8" ht="14.4" x14ac:dyDescent="0.3">
      <c r="A139" s="70">
        <v>138</v>
      </c>
      <c r="B139" s="152" t="s">
        <v>749</v>
      </c>
      <c r="C139" s="152" t="s">
        <v>185</v>
      </c>
      <c r="D139" s="153">
        <v>0</v>
      </c>
      <c r="E139" s="154">
        <v>1000000000</v>
      </c>
      <c r="F139" s="154">
        <v>600000000</v>
      </c>
      <c r="G139" s="154"/>
      <c r="H139" s="154">
        <v>200000000</v>
      </c>
    </row>
    <row r="140" spans="1:8" ht="14.4" x14ac:dyDescent="0.3">
      <c r="A140" s="70">
        <v>139</v>
      </c>
      <c r="B140" s="152" t="s">
        <v>750</v>
      </c>
      <c r="C140" s="152" t="s">
        <v>432</v>
      </c>
      <c r="D140" s="153">
        <v>0</v>
      </c>
      <c r="E140" s="154">
        <v>500000000</v>
      </c>
      <c r="F140" s="154">
        <v>500000000</v>
      </c>
      <c r="G140" s="154"/>
      <c r="H140" s="154">
        <v>200000000</v>
      </c>
    </row>
    <row r="141" spans="1:8" ht="14.4" x14ac:dyDescent="0.3">
      <c r="A141" s="70">
        <v>140</v>
      </c>
      <c r="B141" s="152" t="s">
        <v>751</v>
      </c>
      <c r="C141" s="152" t="s">
        <v>433</v>
      </c>
      <c r="D141" s="153"/>
      <c r="E141" s="154">
        <v>50000000</v>
      </c>
      <c r="F141" s="154">
        <v>200000000</v>
      </c>
      <c r="G141" s="154"/>
      <c r="H141" s="154">
        <v>200000000</v>
      </c>
    </row>
    <row r="142" spans="1:8" ht="14.4" x14ac:dyDescent="0.3">
      <c r="A142" s="70">
        <v>141</v>
      </c>
      <c r="B142" s="152" t="s">
        <v>752</v>
      </c>
      <c r="C142" s="152" t="s">
        <v>434</v>
      </c>
      <c r="D142" s="153">
        <v>0</v>
      </c>
      <c r="E142" s="154"/>
      <c r="F142" s="154">
        <v>600000000</v>
      </c>
      <c r="G142" s="154">
        <v>2800000000</v>
      </c>
      <c r="H142" s="154">
        <v>600000000</v>
      </c>
    </row>
    <row r="143" spans="1:8" ht="14.4" x14ac:dyDescent="0.3">
      <c r="A143" s="70">
        <v>142</v>
      </c>
      <c r="B143" s="152" t="s">
        <v>753</v>
      </c>
      <c r="C143" s="152" t="s">
        <v>435</v>
      </c>
      <c r="D143" s="153">
        <v>0</v>
      </c>
      <c r="E143" s="154">
        <v>800000000</v>
      </c>
      <c r="F143" s="154">
        <v>250000000</v>
      </c>
      <c r="G143" s="154"/>
      <c r="H143" s="154">
        <v>120000000</v>
      </c>
    </row>
    <row r="144" spans="1:8" ht="14.4" x14ac:dyDescent="0.3">
      <c r="A144" s="70">
        <v>143</v>
      </c>
      <c r="B144" s="152" t="s">
        <v>754</v>
      </c>
      <c r="C144" s="152" t="s">
        <v>436</v>
      </c>
      <c r="D144" s="153">
        <v>0</v>
      </c>
      <c r="E144" s="154">
        <v>490000000</v>
      </c>
      <c r="F144" s="154">
        <v>310000000</v>
      </c>
      <c r="G144" s="154"/>
      <c r="H144" s="154">
        <v>75000000</v>
      </c>
    </row>
    <row r="145" spans="1:8" ht="14.4" x14ac:dyDescent="0.3">
      <c r="A145" s="70">
        <v>144</v>
      </c>
      <c r="B145" s="152" t="s">
        <v>755</v>
      </c>
      <c r="C145" s="152" t="s">
        <v>437</v>
      </c>
      <c r="D145" s="153"/>
      <c r="E145" s="154">
        <v>607000000</v>
      </c>
      <c r="F145" s="154">
        <v>257000000</v>
      </c>
      <c r="G145" s="154"/>
      <c r="H145" s="154">
        <v>125000000</v>
      </c>
    </row>
    <row r="146" spans="1:8" ht="14.4" x14ac:dyDescent="0.3">
      <c r="A146" s="70">
        <v>145</v>
      </c>
      <c r="B146" s="152" t="s">
        <v>756</v>
      </c>
      <c r="C146" s="152" t="s">
        <v>438</v>
      </c>
      <c r="D146" s="153"/>
      <c r="E146" s="154">
        <v>607000000</v>
      </c>
      <c r="F146" s="154">
        <v>250000000</v>
      </c>
      <c r="G146" s="154"/>
      <c r="H146" s="154">
        <v>125000000</v>
      </c>
    </row>
    <row r="147" spans="1:8" ht="14.4" x14ac:dyDescent="0.3">
      <c r="A147" s="70">
        <v>146</v>
      </c>
      <c r="B147" s="152" t="s">
        <v>757</v>
      </c>
      <c r="C147" s="152" t="s">
        <v>439</v>
      </c>
      <c r="D147" s="153"/>
      <c r="E147" s="154">
        <v>607000000</v>
      </c>
      <c r="F147" s="154">
        <v>300000000</v>
      </c>
      <c r="G147" s="154"/>
      <c r="H147" s="154">
        <v>210000000</v>
      </c>
    </row>
    <row r="148" spans="1:8" ht="14.4" x14ac:dyDescent="0.3">
      <c r="A148" s="70">
        <v>147</v>
      </c>
      <c r="B148" s="152" t="s">
        <v>758</v>
      </c>
      <c r="C148" s="152" t="s">
        <v>440</v>
      </c>
      <c r="D148" s="153"/>
      <c r="E148" s="154">
        <v>607000000</v>
      </c>
      <c r="F148" s="154">
        <v>100000000</v>
      </c>
      <c r="G148" s="154"/>
      <c r="H148" s="154">
        <v>100000000</v>
      </c>
    </row>
    <row r="149" spans="1:8" ht="14.4" x14ac:dyDescent="0.3">
      <c r="A149" s="70">
        <v>148</v>
      </c>
      <c r="B149" s="152" t="s">
        <v>759</v>
      </c>
      <c r="C149" s="152" t="s">
        <v>441</v>
      </c>
      <c r="D149" s="153">
        <v>0</v>
      </c>
      <c r="E149" s="154">
        <v>607000000</v>
      </c>
      <c r="F149" s="154">
        <v>100000000</v>
      </c>
      <c r="G149" s="154"/>
      <c r="H149" s="154">
        <v>100000000</v>
      </c>
    </row>
    <row r="150" spans="1:8" ht="14.4" x14ac:dyDescent="0.3">
      <c r="A150" s="70">
        <v>149</v>
      </c>
      <c r="B150" s="152" t="s">
        <v>760</v>
      </c>
      <c r="C150" s="152" t="s">
        <v>442</v>
      </c>
      <c r="D150" s="153">
        <v>0</v>
      </c>
      <c r="E150" s="154">
        <v>0</v>
      </c>
      <c r="F150" s="154">
        <v>75000000</v>
      </c>
      <c r="G150" s="154"/>
      <c r="H150" s="154">
        <v>75000000</v>
      </c>
    </row>
    <row r="151" spans="1:8" ht="14.4" x14ac:dyDescent="0.3">
      <c r="A151" s="70">
        <v>150</v>
      </c>
      <c r="B151" s="152" t="s">
        <v>761</v>
      </c>
      <c r="C151" s="152" t="s">
        <v>443</v>
      </c>
      <c r="D151" s="153">
        <v>0</v>
      </c>
      <c r="E151" s="154">
        <v>0</v>
      </c>
      <c r="F151" s="154">
        <v>150000000</v>
      </c>
      <c r="G151" s="154"/>
      <c r="H151" s="154">
        <v>150000000</v>
      </c>
    </row>
    <row r="152" spans="1:8" ht="14.4" x14ac:dyDescent="0.3">
      <c r="A152" s="70">
        <v>151</v>
      </c>
      <c r="B152" s="152" t="s">
        <v>762</v>
      </c>
      <c r="C152" s="152" t="s">
        <v>148</v>
      </c>
      <c r="D152" s="153">
        <v>0</v>
      </c>
      <c r="E152" s="154">
        <v>0</v>
      </c>
      <c r="F152" s="154">
        <v>150000000</v>
      </c>
      <c r="G152" s="154"/>
      <c r="H152" s="154">
        <v>150000000</v>
      </c>
    </row>
    <row r="153" spans="1:8" ht="14.4" x14ac:dyDescent="0.3">
      <c r="A153" s="70">
        <v>152</v>
      </c>
      <c r="B153" s="152" t="s">
        <v>763</v>
      </c>
      <c r="C153" s="152" t="s">
        <v>444</v>
      </c>
      <c r="D153" s="153">
        <v>0</v>
      </c>
      <c r="E153" s="154">
        <v>0</v>
      </c>
      <c r="F153" s="154">
        <v>100000000</v>
      </c>
      <c r="G153" s="154"/>
      <c r="H153" s="154">
        <v>100000000</v>
      </c>
    </row>
    <row r="154" spans="1:8" ht="14.4" x14ac:dyDescent="0.3">
      <c r="A154" s="70">
        <v>153</v>
      </c>
      <c r="B154" s="152" t="s">
        <v>764</v>
      </c>
      <c r="C154" s="152" t="s">
        <v>445</v>
      </c>
      <c r="D154" s="153">
        <v>0</v>
      </c>
      <c r="E154" s="154">
        <v>0</v>
      </c>
      <c r="F154" s="154">
        <v>550000000</v>
      </c>
      <c r="G154" s="154"/>
      <c r="H154" s="154">
        <v>550000000</v>
      </c>
    </row>
    <row r="155" spans="1:8" ht="14.4" x14ac:dyDescent="0.3">
      <c r="A155" s="70">
        <v>154</v>
      </c>
      <c r="B155" s="152" t="s">
        <v>765</v>
      </c>
      <c r="C155" s="152" t="s">
        <v>446</v>
      </c>
      <c r="D155" s="153">
        <v>0</v>
      </c>
      <c r="E155" s="154">
        <v>0</v>
      </c>
      <c r="F155" s="154">
        <v>225000000</v>
      </c>
      <c r="G155" s="154"/>
      <c r="H155" s="154">
        <v>225000000</v>
      </c>
    </row>
    <row r="156" spans="1:8" ht="14.4" x14ac:dyDescent="0.3">
      <c r="A156" s="70">
        <v>155</v>
      </c>
      <c r="B156" s="152" t="s">
        <v>766</v>
      </c>
      <c r="C156" s="152" t="s">
        <v>447</v>
      </c>
      <c r="D156" s="153"/>
      <c r="E156" s="154">
        <v>70000000</v>
      </c>
      <c r="F156" s="154">
        <v>300000000</v>
      </c>
      <c r="G156" s="154">
        <v>1580000000</v>
      </c>
      <c r="H156" s="154">
        <v>175000000</v>
      </c>
    </row>
    <row r="157" spans="1:8" ht="14.4" x14ac:dyDescent="0.3">
      <c r="A157" s="70">
        <v>156</v>
      </c>
      <c r="B157" s="152" t="s">
        <v>767</v>
      </c>
      <c r="C157" s="152" t="s">
        <v>448</v>
      </c>
      <c r="D157" s="153">
        <v>0</v>
      </c>
      <c r="E157" s="154">
        <v>482000000</v>
      </c>
      <c r="F157" s="154">
        <v>318000000</v>
      </c>
      <c r="G157" s="154"/>
      <c r="H157" s="154">
        <v>100000000</v>
      </c>
    </row>
    <row r="158" spans="1:8" ht="14.4" x14ac:dyDescent="0.3">
      <c r="A158" s="70">
        <v>157</v>
      </c>
      <c r="B158" s="152" t="s">
        <v>768</v>
      </c>
      <c r="C158" s="152" t="s">
        <v>449</v>
      </c>
      <c r="D158" s="153">
        <v>0</v>
      </c>
      <c r="E158" s="154">
        <v>0</v>
      </c>
      <c r="F158" s="154">
        <v>100000000</v>
      </c>
      <c r="G158" s="154"/>
      <c r="H158" s="154">
        <v>41776653</v>
      </c>
    </row>
    <row r="159" spans="1:8" ht="14.4" x14ac:dyDescent="0.3">
      <c r="A159" s="70">
        <v>158</v>
      </c>
      <c r="B159" s="152" t="s">
        <v>769</v>
      </c>
      <c r="C159" s="152" t="s">
        <v>450</v>
      </c>
      <c r="D159" s="153">
        <v>0</v>
      </c>
      <c r="E159" s="154">
        <v>100000000</v>
      </c>
      <c r="F159" s="154">
        <v>382000000</v>
      </c>
      <c r="G159" s="154"/>
      <c r="H159" s="154">
        <v>120000000</v>
      </c>
    </row>
    <row r="160" spans="1:8" ht="14.4" x14ac:dyDescent="0.3">
      <c r="A160" s="70">
        <v>159</v>
      </c>
      <c r="B160" s="152" t="s">
        <v>770</v>
      </c>
      <c r="C160" s="152" t="s">
        <v>451</v>
      </c>
      <c r="D160" s="153">
        <v>0</v>
      </c>
      <c r="E160" s="154">
        <v>0</v>
      </c>
      <c r="F160" s="154">
        <v>100000000</v>
      </c>
      <c r="G160" s="154"/>
      <c r="H160" s="154">
        <v>25000000</v>
      </c>
    </row>
    <row r="161" spans="1:8" ht="14.4" x14ac:dyDescent="0.3">
      <c r="A161" s="70">
        <v>160</v>
      </c>
      <c r="B161" s="152" t="s">
        <v>771</v>
      </c>
      <c r="C161" s="152" t="s">
        <v>452</v>
      </c>
      <c r="D161" s="153"/>
      <c r="E161" s="154"/>
      <c r="F161" s="154">
        <v>1427000000</v>
      </c>
      <c r="G161" s="154">
        <v>4800000000</v>
      </c>
      <c r="H161" s="154">
        <v>250000000</v>
      </c>
    </row>
    <row r="162" spans="1:8" ht="14.4" x14ac:dyDescent="0.3">
      <c r="A162" s="70">
        <v>161</v>
      </c>
      <c r="B162" s="152" t="s">
        <v>772</v>
      </c>
      <c r="C162" s="152" t="s">
        <v>453</v>
      </c>
      <c r="D162" s="153"/>
      <c r="E162" s="154"/>
      <c r="F162" s="154">
        <v>800000000</v>
      </c>
      <c r="G162" s="154">
        <v>3000000000</v>
      </c>
      <c r="H162" s="154">
        <v>200000000</v>
      </c>
    </row>
    <row r="163" spans="1:8" ht="14.4" x14ac:dyDescent="0.3">
      <c r="A163" s="70">
        <v>162</v>
      </c>
      <c r="B163" s="152" t="s">
        <v>773</v>
      </c>
      <c r="C163" s="152" t="s">
        <v>454</v>
      </c>
      <c r="D163" s="153"/>
      <c r="E163" s="154"/>
      <c r="F163" s="154">
        <v>1000000000</v>
      </c>
      <c r="G163" s="154">
        <v>2000000000</v>
      </c>
      <c r="H163" s="154">
        <v>100000000</v>
      </c>
    </row>
    <row r="164" spans="1:8" ht="14.4" x14ac:dyDescent="0.3">
      <c r="A164" s="70">
        <v>163</v>
      </c>
      <c r="B164" s="152" t="s">
        <v>774</v>
      </c>
      <c r="C164" s="152" t="s">
        <v>455</v>
      </c>
      <c r="D164" s="153"/>
      <c r="E164" s="154">
        <v>180000000</v>
      </c>
      <c r="F164" s="154">
        <v>320000000</v>
      </c>
      <c r="G164" s="154"/>
      <c r="H164" s="154">
        <v>200000000</v>
      </c>
    </row>
    <row r="165" spans="1:8" ht="14.4" x14ac:dyDescent="0.3">
      <c r="A165" s="70">
        <v>164</v>
      </c>
      <c r="B165" s="152" t="s">
        <v>775</v>
      </c>
      <c r="C165" s="152" t="s">
        <v>456</v>
      </c>
      <c r="D165" s="153">
        <v>0</v>
      </c>
      <c r="E165" s="154">
        <v>605000000</v>
      </c>
      <c r="F165" s="154">
        <v>200000000</v>
      </c>
      <c r="G165" s="154"/>
      <c r="H165" s="154">
        <v>200000000</v>
      </c>
    </row>
    <row r="166" spans="1:8" ht="14.4" x14ac:dyDescent="0.3">
      <c r="A166" s="70">
        <v>165</v>
      </c>
      <c r="B166" s="152" t="s">
        <v>776</v>
      </c>
      <c r="C166" s="152" t="s">
        <v>457</v>
      </c>
      <c r="D166" s="153">
        <v>0</v>
      </c>
      <c r="E166" s="154">
        <v>405000000</v>
      </c>
      <c r="F166" s="154">
        <v>200000000</v>
      </c>
      <c r="G166" s="154"/>
      <c r="H166" s="154">
        <v>100000000</v>
      </c>
    </row>
    <row r="167" spans="1:8" ht="14.4" x14ac:dyDescent="0.3">
      <c r="A167" s="70">
        <v>166</v>
      </c>
      <c r="B167" s="152" t="s">
        <v>777</v>
      </c>
      <c r="C167" s="152" t="s">
        <v>458</v>
      </c>
      <c r="D167" s="153"/>
      <c r="E167" s="154">
        <v>405000000</v>
      </c>
      <c r="F167" s="154">
        <v>200000000</v>
      </c>
      <c r="G167" s="154"/>
      <c r="H167" s="154">
        <v>100000000</v>
      </c>
    </row>
    <row r="168" spans="1:8" ht="14.4" x14ac:dyDescent="0.3">
      <c r="A168" s="70">
        <v>167</v>
      </c>
      <c r="B168" s="152" t="s">
        <v>778</v>
      </c>
      <c r="C168" s="152" t="s">
        <v>459</v>
      </c>
      <c r="D168" s="153"/>
      <c r="E168" s="154"/>
      <c r="F168" s="154">
        <v>20000000000</v>
      </c>
      <c r="G168" s="154">
        <v>80000000000</v>
      </c>
      <c r="H168" s="154">
        <v>150000000</v>
      </c>
    </row>
    <row r="169" spans="1:8" ht="14.4" x14ac:dyDescent="0.3">
      <c r="A169" s="70">
        <v>168</v>
      </c>
      <c r="B169" s="152" t="s">
        <v>779</v>
      </c>
      <c r="C169" s="152" t="s">
        <v>460</v>
      </c>
      <c r="D169" s="153"/>
      <c r="E169" s="154">
        <v>225000000</v>
      </c>
      <c r="F169" s="154">
        <v>160000000</v>
      </c>
      <c r="G169" s="154"/>
      <c r="H169" s="154">
        <v>100000000</v>
      </c>
    </row>
    <row r="170" spans="1:8" ht="14.4" x14ac:dyDescent="0.3">
      <c r="A170" s="70">
        <v>169</v>
      </c>
      <c r="B170" s="152" t="s">
        <v>780</v>
      </c>
      <c r="C170" s="152" t="s">
        <v>461</v>
      </c>
      <c r="D170" s="153">
        <v>0</v>
      </c>
      <c r="E170" s="154">
        <v>517100000</v>
      </c>
      <c r="F170" s="154">
        <v>268800000</v>
      </c>
      <c r="G170" s="154"/>
      <c r="H170" s="154">
        <v>50000000</v>
      </c>
    </row>
    <row r="171" spans="1:8" ht="14.4" x14ac:dyDescent="0.3">
      <c r="A171" s="70">
        <v>170</v>
      </c>
      <c r="B171" s="152" t="s">
        <v>781</v>
      </c>
      <c r="C171" s="152" t="s">
        <v>462</v>
      </c>
      <c r="D171" s="153">
        <v>0</v>
      </c>
      <c r="E171" s="154">
        <v>517100000</v>
      </c>
      <c r="F171" s="154">
        <v>290100000</v>
      </c>
      <c r="G171" s="154"/>
      <c r="H171" s="154">
        <v>50000000</v>
      </c>
    </row>
    <row r="172" spans="1:8" ht="14.4" x14ac:dyDescent="0.3">
      <c r="A172" s="70">
        <v>171</v>
      </c>
      <c r="B172" s="152" t="s">
        <v>782</v>
      </c>
      <c r="C172" s="152" t="s">
        <v>463</v>
      </c>
      <c r="D172" s="153">
        <v>0</v>
      </c>
      <c r="E172" s="154">
        <v>517100000</v>
      </c>
      <c r="F172" s="154">
        <v>285300000</v>
      </c>
      <c r="G172" s="154"/>
      <c r="H172" s="154">
        <v>165000000</v>
      </c>
    </row>
    <row r="173" spans="1:8" ht="14.4" x14ac:dyDescent="0.3">
      <c r="A173" s="70">
        <v>172</v>
      </c>
      <c r="B173" s="152" t="s">
        <v>783</v>
      </c>
      <c r="C173" s="152" t="s">
        <v>464</v>
      </c>
      <c r="D173" s="153">
        <v>0</v>
      </c>
      <c r="E173" s="154">
        <v>353200000</v>
      </c>
      <c r="F173" s="154">
        <v>163900000</v>
      </c>
      <c r="G173" s="154"/>
      <c r="H173" s="154">
        <v>100000000</v>
      </c>
    </row>
    <row r="174" spans="1:8" ht="14.4" x14ac:dyDescent="0.3">
      <c r="A174" s="70">
        <v>173</v>
      </c>
      <c r="B174" s="152" t="s">
        <v>784</v>
      </c>
      <c r="C174" s="152" t="s">
        <v>465</v>
      </c>
      <c r="D174" s="153">
        <v>0</v>
      </c>
      <c r="E174" s="154">
        <v>517100000</v>
      </c>
      <c r="F174" s="154">
        <v>268800000</v>
      </c>
      <c r="G174" s="154"/>
      <c r="H174" s="154">
        <v>100000000</v>
      </c>
    </row>
    <row r="175" spans="1:8" ht="14.4" x14ac:dyDescent="0.3">
      <c r="A175" s="70">
        <v>174</v>
      </c>
      <c r="B175" s="152" t="s">
        <v>785</v>
      </c>
      <c r="C175" s="152" t="s">
        <v>466</v>
      </c>
      <c r="D175" s="153">
        <v>0</v>
      </c>
      <c r="E175" s="154">
        <v>517100000</v>
      </c>
      <c r="F175" s="154">
        <v>290100000</v>
      </c>
      <c r="G175" s="154"/>
      <c r="H175" s="154">
        <v>100000000</v>
      </c>
    </row>
    <row r="176" spans="1:8" ht="14.4" x14ac:dyDescent="0.3">
      <c r="A176" s="70">
        <v>175</v>
      </c>
      <c r="B176" s="152" t="s">
        <v>786</v>
      </c>
      <c r="C176" s="152" t="s">
        <v>467</v>
      </c>
      <c r="D176" s="153">
        <v>60000000</v>
      </c>
      <c r="E176" s="154">
        <v>25000000</v>
      </c>
      <c r="F176" s="154">
        <v>120000000</v>
      </c>
      <c r="G176" s="154">
        <v>120000000</v>
      </c>
      <c r="H176" s="154">
        <v>120000000</v>
      </c>
    </row>
    <row r="177" spans="1:8" ht="14.4" x14ac:dyDescent="0.3">
      <c r="A177" s="70">
        <v>176</v>
      </c>
      <c r="B177" s="152" t="s">
        <v>787</v>
      </c>
      <c r="C177" s="152" t="s">
        <v>468</v>
      </c>
      <c r="D177" s="153">
        <v>0</v>
      </c>
      <c r="E177" s="154">
        <v>545600000</v>
      </c>
      <c r="F177" s="154">
        <v>110200000</v>
      </c>
      <c r="G177" s="154"/>
      <c r="H177" s="154">
        <v>50000000</v>
      </c>
    </row>
    <row r="178" spans="1:8" ht="14.4" x14ac:dyDescent="0.3">
      <c r="A178" s="70">
        <v>177</v>
      </c>
      <c r="B178" s="152" t="s">
        <v>788</v>
      </c>
      <c r="C178" s="152" t="s">
        <v>469</v>
      </c>
      <c r="D178" s="153">
        <v>0</v>
      </c>
      <c r="E178" s="154">
        <v>60000000</v>
      </c>
      <c r="F178" s="154">
        <v>138700000</v>
      </c>
      <c r="G178" s="154"/>
      <c r="H178" s="154">
        <v>60000000</v>
      </c>
    </row>
    <row r="179" spans="1:8" ht="14.4" x14ac:dyDescent="0.3">
      <c r="A179" s="70">
        <v>178</v>
      </c>
      <c r="B179" s="152" t="s">
        <v>789</v>
      </c>
      <c r="C179" s="152" t="s">
        <v>470</v>
      </c>
      <c r="D179" s="153">
        <v>0</v>
      </c>
      <c r="E179" s="154">
        <v>353200000</v>
      </c>
      <c r="F179" s="154">
        <v>192400000</v>
      </c>
      <c r="G179" s="154"/>
      <c r="H179" s="154">
        <v>75000000</v>
      </c>
    </row>
    <row r="180" spans="1:8" ht="14.4" x14ac:dyDescent="0.3">
      <c r="A180" s="70">
        <v>179</v>
      </c>
      <c r="B180" s="152" t="s">
        <v>790</v>
      </c>
      <c r="C180" s="152" t="s">
        <v>471</v>
      </c>
      <c r="D180" s="153"/>
      <c r="E180" s="154"/>
      <c r="F180" s="154">
        <v>200000000</v>
      </c>
      <c r="G180" s="154">
        <v>575000000</v>
      </c>
      <c r="H180" s="154">
        <v>125000000</v>
      </c>
    </row>
    <row r="181" spans="1:8" ht="14.4" x14ac:dyDescent="0.3">
      <c r="A181" s="70">
        <v>180</v>
      </c>
      <c r="B181" s="152" t="s">
        <v>791</v>
      </c>
      <c r="C181" s="152" t="s">
        <v>472</v>
      </c>
      <c r="D181" s="153"/>
      <c r="E181" s="154"/>
      <c r="F181" s="154">
        <v>200000000</v>
      </c>
      <c r="G181" s="154">
        <v>800000000</v>
      </c>
      <c r="H181" s="154">
        <v>150000000</v>
      </c>
    </row>
    <row r="182" spans="1:8" ht="14.4" x14ac:dyDescent="0.3">
      <c r="A182" s="70">
        <v>181</v>
      </c>
      <c r="B182" s="152" t="s">
        <v>792</v>
      </c>
      <c r="C182" s="152" t="s">
        <v>473</v>
      </c>
      <c r="D182" s="153">
        <v>50000000</v>
      </c>
      <c r="E182" s="154">
        <v>110000000</v>
      </c>
      <c r="F182" s="154">
        <v>50000000</v>
      </c>
      <c r="G182" s="154">
        <v>50000000</v>
      </c>
      <c r="H182" s="154">
        <v>50000000</v>
      </c>
    </row>
    <row r="183" spans="1:8" ht="14.4" x14ac:dyDescent="0.3">
      <c r="A183" s="70">
        <v>182</v>
      </c>
      <c r="B183" s="152" t="s">
        <v>793</v>
      </c>
      <c r="C183" s="152" t="s">
        <v>474</v>
      </c>
      <c r="D183" s="153"/>
      <c r="E183" s="154">
        <v>1330000000</v>
      </c>
      <c r="F183" s="154">
        <v>445000000</v>
      </c>
      <c r="G183" s="154"/>
      <c r="H183" s="154">
        <v>200000000</v>
      </c>
    </row>
    <row r="184" spans="1:8" ht="14.4" x14ac:dyDescent="0.3">
      <c r="A184" s="70">
        <v>183</v>
      </c>
      <c r="B184" s="152" t="s">
        <v>794</v>
      </c>
      <c r="C184" s="152" t="s">
        <v>475</v>
      </c>
      <c r="D184" s="153"/>
      <c r="E184" s="154">
        <v>490000000</v>
      </c>
      <c r="F184" s="154">
        <v>310000000</v>
      </c>
      <c r="G184" s="154"/>
      <c r="H184" s="154">
        <v>75000000</v>
      </c>
    </row>
    <row r="185" spans="1:8" ht="14.4" x14ac:dyDescent="0.3">
      <c r="A185" s="70">
        <v>184</v>
      </c>
      <c r="B185" s="152" t="s">
        <v>795</v>
      </c>
      <c r="C185" s="152" t="s">
        <v>476</v>
      </c>
      <c r="D185" s="153"/>
      <c r="E185" s="154">
        <v>1050000000</v>
      </c>
      <c r="F185" s="154">
        <v>280000000</v>
      </c>
      <c r="G185" s="154"/>
      <c r="H185" s="154">
        <v>280000000</v>
      </c>
    </row>
    <row r="186" spans="1:8" ht="14.4" x14ac:dyDescent="0.3">
      <c r="A186" s="70">
        <v>185</v>
      </c>
      <c r="B186" s="152" t="s">
        <v>796</v>
      </c>
      <c r="C186" s="152" t="s">
        <v>477</v>
      </c>
      <c r="D186" s="153">
        <v>0</v>
      </c>
      <c r="E186" s="154"/>
      <c r="F186" s="154">
        <v>95000000</v>
      </c>
      <c r="G186" s="154"/>
      <c r="H186" s="154">
        <v>95000000</v>
      </c>
    </row>
    <row r="187" spans="1:8" ht="14.4" x14ac:dyDescent="0.3">
      <c r="A187" s="70">
        <v>186</v>
      </c>
      <c r="B187" s="152" t="s">
        <v>797</v>
      </c>
      <c r="C187" s="152" t="s">
        <v>478</v>
      </c>
      <c r="D187" s="153"/>
      <c r="E187" s="154">
        <v>600000000</v>
      </c>
      <c r="F187" s="154">
        <v>200000000</v>
      </c>
      <c r="G187" s="154"/>
      <c r="H187" s="154">
        <v>65000000</v>
      </c>
    </row>
    <row r="188" spans="1:8" ht="14.4" x14ac:dyDescent="0.3">
      <c r="A188" s="70">
        <v>187</v>
      </c>
      <c r="B188" s="152" t="s">
        <v>798</v>
      </c>
      <c r="C188" s="152" t="s">
        <v>479</v>
      </c>
      <c r="D188" s="153"/>
      <c r="E188" s="154">
        <v>300000000</v>
      </c>
      <c r="F188" s="154">
        <v>300000000</v>
      </c>
      <c r="G188" s="154"/>
      <c r="H188" s="154">
        <v>125000000</v>
      </c>
    </row>
    <row r="189" spans="1:8" ht="14.4" x14ac:dyDescent="0.3">
      <c r="A189" s="70">
        <v>188</v>
      </c>
      <c r="B189" s="152" t="s">
        <v>799</v>
      </c>
      <c r="C189" s="152" t="s">
        <v>480</v>
      </c>
      <c r="D189" s="153"/>
      <c r="E189" s="154">
        <v>1600000000</v>
      </c>
      <c r="F189" s="154">
        <v>150000000</v>
      </c>
      <c r="G189" s="154"/>
      <c r="H189" s="154">
        <v>150000000</v>
      </c>
    </row>
    <row r="190" spans="1:8" ht="14.4" x14ac:dyDescent="0.3">
      <c r="A190" s="70">
        <v>189</v>
      </c>
      <c r="B190" s="152" t="s">
        <v>800</v>
      </c>
      <c r="C190" s="152" t="s">
        <v>481</v>
      </c>
      <c r="D190" s="153">
        <v>0</v>
      </c>
      <c r="E190" s="154">
        <v>0</v>
      </c>
      <c r="F190" s="154">
        <v>10000000000</v>
      </c>
      <c r="G190" s="154"/>
      <c r="H190" s="154">
        <v>150000000</v>
      </c>
    </row>
    <row r="191" spans="1:8" ht="14.4" x14ac:dyDescent="0.3">
      <c r="A191" s="70">
        <v>190</v>
      </c>
      <c r="B191" s="152" t="s">
        <v>801</v>
      </c>
      <c r="C191" s="152" t="s">
        <v>482</v>
      </c>
      <c r="D191" s="153">
        <v>0</v>
      </c>
      <c r="E191" s="154">
        <v>0</v>
      </c>
      <c r="F191" s="154">
        <v>19000000000</v>
      </c>
      <c r="G191" s="154">
        <v>29000000000</v>
      </c>
      <c r="H191" s="154">
        <v>87500000</v>
      </c>
    </row>
    <row r="192" spans="1:8" ht="14.4" x14ac:dyDescent="0.3">
      <c r="A192" s="70">
        <v>191</v>
      </c>
      <c r="B192" s="152" t="s">
        <v>802</v>
      </c>
      <c r="C192" s="152" t="s">
        <v>483</v>
      </c>
      <c r="D192" s="153">
        <v>0</v>
      </c>
      <c r="E192" s="154">
        <v>0</v>
      </c>
      <c r="F192" s="154">
        <v>40000000000</v>
      </c>
      <c r="G192" s="154">
        <v>80000000000</v>
      </c>
      <c r="H192" s="154">
        <v>122500000</v>
      </c>
    </row>
    <row r="193" spans="1:8" ht="14.4" x14ac:dyDescent="0.3">
      <c r="A193" s="70">
        <v>192</v>
      </c>
      <c r="B193" s="152" t="s">
        <v>803</v>
      </c>
      <c r="C193" s="152" t="s">
        <v>484</v>
      </c>
      <c r="D193" s="153">
        <v>0</v>
      </c>
      <c r="E193" s="154">
        <v>0</v>
      </c>
      <c r="F193" s="154">
        <v>38500000000</v>
      </c>
      <c r="G193" s="154">
        <v>75000000000</v>
      </c>
      <c r="H193" s="154">
        <v>65000000</v>
      </c>
    </row>
    <row r="194" spans="1:8" ht="14.4" x14ac:dyDescent="0.3">
      <c r="A194" s="70">
        <v>193</v>
      </c>
      <c r="B194" s="152" t="s">
        <v>804</v>
      </c>
      <c r="C194" s="152" t="s">
        <v>485</v>
      </c>
      <c r="D194" s="153">
        <v>0</v>
      </c>
      <c r="E194" s="154">
        <v>0</v>
      </c>
      <c r="F194" s="154">
        <v>100000000</v>
      </c>
      <c r="G194" s="154"/>
      <c r="H194" s="154">
        <v>100000000</v>
      </c>
    </row>
    <row r="195" spans="1:8" ht="14.4" x14ac:dyDescent="0.3">
      <c r="A195" s="70">
        <v>194</v>
      </c>
      <c r="B195" s="152" t="s">
        <v>805</v>
      </c>
      <c r="C195" s="152" t="s">
        <v>486</v>
      </c>
      <c r="D195" s="153">
        <v>0</v>
      </c>
      <c r="E195" s="154">
        <v>0</v>
      </c>
      <c r="F195" s="154">
        <v>150000000</v>
      </c>
      <c r="G195" s="154">
        <v>0</v>
      </c>
      <c r="H195" s="154">
        <v>150000000</v>
      </c>
    </row>
    <row r="196" spans="1:8" ht="14.4" x14ac:dyDescent="0.3">
      <c r="A196" s="70">
        <v>195</v>
      </c>
      <c r="B196" s="152" t="s">
        <v>806</v>
      </c>
      <c r="C196" s="152" t="s">
        <v>487</v>
      </c>
      <c r="D196" s="153"/>
      <c r="E196" s="154"/>
      <c r="F196" s="154">
        <v>100000000</v>
      </c>
      <c r="G196" s="154"/>
      <c r="H196" s="154">
        <v>100000000</v>
      </c>
    </row>
    <row r="197" spans="1:8" ht="14.4" x14ac:dyDescent="0.3">
      <c r="A197" s="70">
        <v>196</v>
      </c>
      <c r="B197" s="152" t="s">
        <v>807</v>
      </c>
      <c r="C197" s="152" t="s">
        <v>157</v>
      </c>
      <c r="D197" s="153"/>
      <c r="E197" s="154"/>
      <c r="F197" s="154">
        <v>100000000</v>
      </c>
      <c r="G197" s="154"/>
      <c r="H197" s="154">
        <v>120000000</v>
      </c>
    </row>
    <row r="198" spans="1:8" ht="14.4" x14ac:dyDescent="0.3">
      <c r="A198" s="70">
        <v>197</v>
      </c>
      <c r="B198" s="152" t="s">
        <v>808</v>
      </c>
      <c r="C198" s="152" t="s">
        <v>488</v>
      </c>
      <c r="D198" s="153"/>
      <c r="E198" s="154"/>
      <c r="F198" s="154">
        <v>100000000</v>
      </c>
      <c r="G198" s="154"/>
      <c r="H198" s="154">
        <v>100000000</v>
      </c>
    </row>
    <row r="199" spans="1:8" ht="14.4" x14ac:dyDescent="0.3">
      <c r="A199" s="70">
        <v>198</v>
      </c>
      <c r="B199" s="152" t="s">
        <v>809</v>
      </c>
      <c r="C199" s="152" t="s">
        <v>489</v>
      </c>
      <c r="D199" s="153"/>
      <c r="E199" s="154"/>
      <c r="F199" s="154">
        <v>100000000</v>
      </c>
      <c r="G199" s="154"/>
      <c r="H199" s="154">
        <v>100000000</v>
      </c>
    </row>
    <row r="200" spans="1:8" ht="14.4" x14ac:dyDescent="0.3">
      <c r="A200" s="70">
        <v>199</v>
      </c>
      <c r="B200" s="152" t="s">
        <v>810</v>
      </c>
      <c r="C200" s="152" t="s">
        <v>490</v>
      </c>
      <c r="D200" s="153"/>
      <c r="E200" s="154">
        <v>0</v>
      </c>
      <c r="F200" s="154">
        <v>164000000</v>
      </c>
      <c r="G200" s="154"/>
      <c r="H200" s="154">
        <v>150000000</v>
      </c>
    </row>
    <row r="201" spans="1:8" ht="14.4" x14ac:dyDescent="0.3">
      <c r="A201" s="70">
        <v>200</v>
      </c>
      <c r="B201" s="152" t="s">
        <v>811</v>
      </c>
      <c r="C201" s="152" t="s">
        <v>491</v>
      </c>
      <c r="D201" s="153"/>
      <c r="E201" s="154">
        <v>0</v>
      </c>
      <c r="F201" s="154">
        <v>251000000</v>
      </c>
      <c r="G201" s="154"/>
      <c r="H201" s="154">
        <v>45000000</v>
      </c>
    </row>
    <row r="202" spans="1:8" ht="14.4" x14ac:dyDescent="0.3">
      <c r="A202" s="70">
        <v>201</v>
      </c>
      <c r="B202" s="152" t="s">
        <v>812</v>
      </c>
      <c r="C202" s="152" t="s">
        <v>492</v>
      </c>
      <c r="D202" s="153"/>
      <c r="E202" s="154">
        <v>0</v>
      </c>
      <c r="F202" s="154">
        <v>270000000</v>
      </c>
      <c r="G202" s="154"/>
      <c r="H202" s="154">
        <v>50000000</v>
      </c>
    </row>
    <row r="203" spans="1:8" ht="14.4" x14ac:dyDescent="0.3">
      <c r="A203" s="70">
        <v>202</v>
      </c>
      <c r="B203" s="152" t="s">
        <v>813</v>
      </c>
      <c r="C203" s="152" t="s">
        <v>493</v>
      </c>
      <c r="D203" s="153"/>
      <c r="E203" s="154">
        <v>600000000</v>
      </c>
      <c r="F203" s="154">
        <v>800000000</v>
      </c>
      <c r="G203" s="154"/>
      <c r="H203" s="154">
        <v>150000000</v>
      </c>
    </row>
    <row r="204" spans="1:8" ht="14.4" x14ac:dyDescent="0.3">
      <c r="A204" s="70">
        <v>203</v>
      </c>
      <c r="B204" s="152" t="s">
        <v>814</v>
      </c>
      <c r="C204" s="152" t="s">
        <v>494</v>
      </c>
      <c r="D204" s="153"/>
      <c r="E204" s="154">
        <v>130000000</v>
      </c>
      <c r="F204" s="154">
        <v>125000000</v>
      </c>
      <c r="G204" s="154"/>
      <c r="H204" s="154">
        <v>125000000</v>
      </c>
    </row>
    <row r="205" spans="1:8" ht="14.4" x14ac:dyDescent="0.3">
      <c r="A205" s="70">
        <v>204</v>
      </c>
      <c r="B205" s="152" t="s">
        <v>815</v>
      </c>
      <c r="C205" s="152" t="s">
        <v>495</v>
      </c>
      <c r="D205" s="153"/>
      <c r="E205" s="154">
        <v>82000000</v>
      </c>
      <c r="F205" s="154">
        <v>125000000</v>
      </c>
      <c r="G205" s="154"/>
      <c r="H205" s="154">
        <v>125000000</v>
      </c>
    </row>
    <row r="206" spans="1:8" ht="14.4" x14ac:dyDescent="0.3">
      <c r="A206" s="70">
        <v>205</v>
      </c>
      <c r="B206" s="152" t="s">
        <v>816</v>
      </c>
      <c r="C206" s="152" t="s">
        <v>496</v>
      </c>
      <c r="D206" s="153"/>
      <c r="E206" s="154">
        <v>528000000</v>
      </c>
      <c r="F206" s="154">
        <v>400000000</v>
      </c>
      <c r="G206" s="154"/>
      <c r="H206" s="154">
        <v>300000000</v>
      </c>
    </row>
    <row r="207" spans="1:8" ht="14.4" x14ac:dyDescent="0.3">
      <c r="A207" s="70">
        <v>206</v>
      </c>
      <c r="B207" s="152" t="s">
        <v>817</v>
      </c>
      <c r="C207" s="152" t="s">
        <v>497</v>
      </c>
      <c r="D207" s="153"/>
      <c r="E207" s="154">
        <v>393000000</v>
      </c>
      <c r="F207" s="154">
        <v>135000000</v>
      </c>
      <c r="G207" s="154"/>
      <c r="H207" s="154">
        <v>55000000</v>
      </c>
    </row>
    <row r="208" spans="1:8" ht="14.4" x14ac:dyDescent="0.3">
      <c r="A208" s="70">
        <v>207</v>
      </c>
      <c r="B208" s="152" t="s">
        <v>818</v>
      </c>
      <c r="C208" s="152" t="s">
        <v>498</v>
      </c>
      <c r="D208" s="153"/>
      <c r="E208" s="154">
        <v>928000000</v>
      </c>
      <c r="F208" s="154">
        <v>132000000</v>
      </c>
      <c r="G208" s="154"/>
      <c r="H208" s="154">
        <v>100000000</v>
      </c>
    </row>
    <row r="209" spans="1:8" ht="14.4" x14ac:dyDescent="0.3">
      <c r="A209" s="70">
        <v>208</v>
      </c>
      <c r="B209" s="152" t="s">
        <v>819</v>
      </c>
      <c r="C209" s="152" t="s">
        <v>167</v>
      </c>
      <c r="D209" s="153"/>
      <c r="E209" s="154"/>
      <c r="F209" s="154">
        <v>100000000</v>
      </c>
      <c r="G209" s="154"/>
      <c r="H209" s="154">
        <v>100000000</v>
      </c>
    </row>
    <row r="210" spans="1:8" ht="14.4" x14ac:dyDescent="0.3">
      <c r="A210" s="70">
        <v>209</v>
      </c>
      <c r="B210" s="152" t="s">
        <v>820</v>
      </c>
      <c r="C210" s="152" t="s">
        <v>499</v>
      </c>
      <c r="D210" s="153">
        <v>0</v>
      </c>
      <c r="E210" s="154">
        <v>2500000000</v>
      </c>
      <c r="F210" s="154">
        <v>1300000000</v>
      </c>
      <c r="G210" s="154"/>
      <c r="H210" s="154">
        <v>150000000</v>
      </c>
    </row>
    <row r="211" spans="1:8" ht="14.4" x14ac:dyDescent="0.3">
      <c r="A211" s="70">
        <v>210</v>
      </c>
      <c r="B211" s="152" t="s">
        <v>821</v>
      </c>
      <c r="C211" s="152" t="s">
        <v>500</v>
      </c>
      <c r="D211" s="153"/>
      <c r="E211" s="154">
        <v>150000000</v>
      </c>
      <c r="F211" s="154">
        <v>100000000</v>
      </c>
      <c r="G211" s="154"/>
      <c r="H211" s="154">
        <v>100000000</v>
      </c>
    </row>
    <row r="212" spans="1:8" ht="14.4" x14ac:dyDescent="0.3">
      <c r="A212" s="70">
        <v>211</v>
      </c>
      <c r="B212" s="152" t="s">
        <v>822</v>
      </c>
      <c r="C212" s="152" t="s">
        <v>501</v>
      </c>
      <c r="D212" s="153"/>
      <c r="E212" s="154"/>
      <c r="F212" s="154">
        <v>200000000</v>
      </c>
      <c r="G212" s="154"/>
      <c r="H212" s="154">
        <v>125000000</v>
      </c>
    </row>
    <row r="213" spans="1:8" ht="14.4" x14ac:dyDescent="0.3">
      <c r="A213" s="70">
        <v>212</v>
      </c>
      <c r="B213" s="152" t="s">
        <v>823</v>
      </c>
      <c r="C213" s="152" t="s">
        <v>502</v>
      </c>
      <c r="D213" s="153"/>
      <c r="E213" s="154">
        <v>400000000</v>
      </c>
      <c r="F213" s="154">
        <v>100000000</v>
      </c>
      <c r="G213" s="154"/>
      <c r="H213" s="154">
        <v>75000000</v>
      </c>
    </row>
    <row r="214" spans="1:8" ht="14.4" x14ac:dyDescent="0.3">
      <c r="A214" s="70">
        <v>213</v>
      </c>
      <c r="B214" s="152" t="s">
        <v>824</v>
      </c>
      <c r="C214" s="152" t="s">
        <v>503</v>
      </c>
      <c r="D214" s="153">
        <v>0</v>
      </c>
      <c r="E214" s="154">
        <v>0</v>
      </c>
      <c r="F214" s="154">
        <v>100000000</v>
      </c>
      <c r="G214" s="154"/>
      <c r="H214" s="154">
        <v>100000000</v>
      </c>
    </row>
    <row r="215" spans="1:8" ht="14.4" x14ac:dyDescent="0.3">
      <c r="A215" s="70">
        <v>214</v>
      </c>
      <c r="B215" s="152" t="s">
        <v>825</v>
      </c>
      <c r="C215" s="152" t="s">
        <v>504</v>
      </c>
      <c r="D215" s="153"/>
      <c r="E215" s="154"/>
      <c r="F215" s="154">
        <v>60000000</v>
      </c>
      <c r="G215" s="154"/>
      <c r="H215" s="154">
        <v>60000000</v>
      </c>
    </row>
    <row r="216" spans="1:8" ht="14.4" x14ac:dyDescent="0.3">
      <c r="A216" s="70">
        <v>215</v>
      </c>
      <c r="B216" s="152" t="s">
        <v>826</v>
      </c>
      <c r="C216" s="152" t="s">
        <v>505</v>
      </c>
      <c r="D216" s="153"/>
      <c r="E216" s="154"/>
      <c r="F216" s="154">
        <v>100000000</v>
      </c>
      <c r="G216" s="154"/>
      <c r="H216" s="154">
        <v>100000000</v>
      </c>
    </row>
    <row r="217" spans="1:8" ht="14.4" x14ac:dyDescent="0.3">
      <c r="A217" s="70">
        <v>216</v>
      </c>
      <c r="B217" s="152" t="s">
        <v>827</v>
      </c>
      <c r="C217" s="152" t="s">
        <v>506</v>
      </c>
      <c r="D217" s="153"/>
      <c r="E217" s="154"/>
      <c r="F217" s="154">
        <v>170000000</v>
      </c>
      <c r="G217" s="154"/>
      <c r="H217" s="154">
        <v>170000000</v>
      </c>
    </row>
    <row r="218" spans="1:8" ht="14.4" x14ac:dyDescent="0.3">
      <c r="A218" s="70">
        <v>217</v>
      </c>
      <c r="B218" s="152" t="s">
        <v>828</v>
      </c>
      <c r="C218" s="152" t="s">
        <v>507</v>
      </c>
      <c r="D218" s="153">
        <v>0</v>
      </c>
      <c r="E218" s="154">
        <v>0</v>
      </c>
      <c r="F218" s="154">
        <v>500000000</v>
      </c>
      <c r="G218" s="154">
        <v>4125000000</v>
      </c>
      <c r="H218" s="154">
        <v>150000000</v>
      </c>
    </row>
    <row r="219" spans="1:8" ht="14.4" x14ac:dyDescent="0.3">
      <c r="A219" s="70">
        <v>218</v>
      </c>
      <c r="B219" s="152" t="s">
        <v>829</v>
      </c>
      <c r="C219" s="152" t="s">
        <v>508</v>
      </c>
      <c r="D219" s="153"/>
      <c r="E219" s="154">
        <v>1600000000</v>
      </c>
      <c r="F219" s="154">
        <v>150000000</v>
      </c>
      <c r="G219" s="154"/>
      <c r="H219" s="154">
        <v>150000000</v>
      </c>
    </row>
    <row r="220" spans="1:8" ht="14.4" x14ac:dyDescent="0.3">
      <c r="A220" s="70">
        <v>219</v>
      </c>
      <c r="B220" s="152" t="s">
        <v>830</v>
      </c>
      <c r="C220" s="152" t="s">
        <v>509</v>
      </c>
      <c r="D220" s="153"/>
      <c r="E220" s="154"/>
      <c r="F220" s="154">
        <v>1454000000</v>
      </c>
      <c r="G220" s="154">
        <v>9847000000</v>
      </c>
      <c r="H220" s="154">
        <v>450000000</v>
      </c>
    </row>
    <row r="221" spans="1:8" ht="14.4" x14ac:dyDescent="0.3">
      <c r="A221" s="70">
        <v>220</v>
      </c>
      <c r="B221" s="152" t="s">
        <v>831</v>
      </c>
      <c r="C221" s="152" t="s">
        <v>510</v>
      </c>
      <c r="D221" s="153">
        <v>0</v>
      </c>
      <c r="E221" s="154">
        <v>0</v>
      </c>
      <c r="F221" s="154">
        <v>1217000000</v>
      </c>
      <c r="G221" s="154">
        <v>8630000000</v>
      </c>
      <c r="H221" s="154">
        <v>425000000</v>
      </c>
    </row>
    <row r="222" spans="1:8" ht="14.4" x14ac:dyDescent="0.3">
      <c r="A222" s="70">
        <v>221</v>
      </c>
      <c r="B222" s="152" t="s">
        <v>832</v>
      </c>
      <c r="C222" s="152" t="s">
        <v>511</v>
      </c>
      <c r="D222" s="153"/>
      <c r="E222" s="154"/>
      <c r="F222" s="154">
        <v>1430000000</v>
      </c>
      <c r="G222" s="154">
        <v>7200000000</v>
      </c>
      <c r="H222" s="154">
        <v>225000000</v>
      </c>
    </row>
    <row r="223" spans="1:8" ht="14.4" x14ac:dyDescent="0.3">
      <c r="A223" s="70">
        <v>222</v>
      </c>
      <c r="B223" s="152" t="s">
        <v>833</v>
      </c>
      <c r="C223" s="152" t="s">
        <v>512</v>
      </c>
      <c r="D223" s="153"/>
      <c r="E223" s="154"/>
      <c r="F223" s="154">
        <v>1200000000</v>
      </c>
      <c r="G223" s="154">
        <v>9600000000</v>
      </c>
      <c r="H223" s="154">
        <v>450000000</v>
      </c>
    </row>
    <row r="224" spans="1:8" ht="14.4" x14ac:dyDescent="0.3">
      <c r="A224" s="70">
        <v>223</v>
      </c>
      <c r="B224" s="152" t="s">
        <v>834</v>
      </c>
      <c r="C224" s="152" t="s">
        <v>513</v>
      </c>
      <c r="D224" s="153">
        <v>0</v>
      </c>
      <c r="E224" s="154">
        <v>0</v>
      </c>
      <c r="F224" s="154">
        <v>1200000000</v>
      </c>
      <c r="G224" s="154">
        <v>8400000000</v>
      </c>
      <c r="H224" s="154">
        <v>475000000</v>
      </c>
    </row>
    <row r="225" spans="1:8" ht="14.4" x14ac:dyDescent="0.3">
      <c r="A225" s="70">
        <v>224</v>
      </c>
      <c r="B225" s="152" t="s">
        <v>835</v>
      </c>
      <c r="C225" s="152" t="s">
        <v>514</v>
      </c>
      <c r="D225" s="153"/>
      <c r="E225" s="154"/>
      <c r="F225" s="154">
        <v>1200000000</v>
      </c>
      <c r="G225" s="154">
        <v>7200000000</v>
      </c>
      <c r="H225" s="154">
        <v>375000000</v>
      </c>
    </row>
    <row r="226" spans="1:8" ht="14.4" x14ac:dyDescent="0.3">
      <c r="A226" s="70">
        <v>225</v>
      </c>
      <c r="B226" s="152" t="s">
        <v>836</v>
      </c>
      <c r="C226" s="152" t="s">
        <v>515</v>
      </c>
      <c r="D226" s="153"/>
      <c r="E226" s="154"/>
      <c r="F226" s="154">
        <v>711000000</v>
      </c>
      <c r="G226" s="154">
        <v>6489000000</v>
      </c>
      <c r="H226" s="154">
        <v>225000000</v>
      </c>
    </row>
    <row r="227" spans="1:8" ht="14.4" x14ac:dyDescent="0.3">
      <c r="A227" s="70">
        <v>226</v>
      </c>
      <c r="B227" s="152" t="s">
        <v>837</v>
      </c>
      <c r="C227" s="152" t="s">
        <v>159</v>
      </c>
      <c r="D227" s="153">
        <v>0</v>
      </c>
      <c r="E227" s="154">
        <v>1025000000</v>
      </c>
      <c r="F227" s="154">
        <v>400000000</v>
      </c>
      <c r="G227" s="154"/>
      <c r="H227" s="154">
        <v>255000000</v>
      </c>
    </row>
    <row r="228" spans="1:8" ht="14.4" x14ac:dyDescent="0.3">
      <c r="A228" s="70">
        <v>227</v>
      </c>
      <c r="B228" s="152" t="s">
        <v>838</v>
      </c>
      <c r="C228" s="152" t="s">
        <v>516</v>
      </c>
      <c r="D228" s="153"/>
      <c r="E228" s="154">
        <v>75000000</v>
      </c>
      <c r="F228" s="154">
        <v>110000000</v>
      </c>
      <c r="G228" s="154"/>
      <c r="H228" s="154">
        <v>110000000</v>
      </c>
    </row>
    <row r="229" spans="1:8" ht="14.4" x14ac:dyDescent="0.3">
      <c r="A229" s="70">
        <v>228</v>
      </c>
      <c r="B229" s="152" t="s">
        <v>839</v>
      </c>
      <c r="C229" s="152" t="s">
        <v>517</v>
      </c>
      <c r="D229" s="153">
        <v>0</v>
      </c>
      <c r="E229" s="154">
        <v>796000000</v>
      </c>
      <c r="F229" s="154">
        <v>511000000</v>
      </c>
      <c r="G229" s="154"/>
      <c r="H229" s="154">
        <v>300000000</v>
      </c>
    </row>
    <row r="230" spans="1:8" ht="14.4" x14ac:dyDescent="0.3">
      <c r="A230" s="70">
        <v>229</v>
      </c>
      <c r="B230" s="152" t="s">
        <v>840</v>
      </c>
      <c r="C230" s="152" t="s">
        <v>518</v>
      </c>
      <c r="D230" s="153"/>
      <c r="E230" s="154">
        <v>665000000</v>
      </c>
      <c r="F230" s="154">
        <v>200000000</v>
      </c>
      <c r="G230" s="154"/>
      <c r="H230" s="154">
        <v>200000000</v>
      </c>
    </row>
    <row r="231" spans="1:8" ht="14.4" x14ac:dyDescent="0.3">
      <c r="A231" s="70">
        <v>230</v>
      </c>
      <c r="B231" s="152" t="s">
        <v>841</v>
      </c>
      <c r="C231" s="152" t="s">
        <v>519</v>
      </c>
      <c r="D231" s="153"/>
      <c r="E231" s="154">
        <v>50000000</v>
      </c>
      <c r="F231" s="154">
        <v>100000000</v>
      </c>
      <c r="G231" s="154"/>
      <c r="H231" s="154">
        <v>75000000</v>
      </c>
    </row>
    <row r="232" spans="1:8" ht="14.4" x14ac:dyDescent="0.3">
      <c r="A232" s="70">
        <v>231</v>
      </c>
      <c r="B232" s="152" t="s">
        <v>842</v>
      </c>
      <c r="C232" s="152" t="s">
        <v>520</v>
      </c>
      <c r="D232" s="153"/>
      <c r="E232" s="154">
        <v>745000000</v>
      </c>
      <c r="F232" s="154">
        <v>300000000</v>
      </c>
      <c r="G232" s="154"/>
      <c r="H232" s="154">
        <v>150000000</v>
      </c>
    </row>
    <row r="233" spans="1:8" ht="14.4" x14ac:dyDescent="0.3">
      <c r="A233" s="70">
        <v>232</v>
      </c>
      <c r="B233" s="152" t="s">
        <v>843</v>
      </c>
      <c r="C233" s="152" t="s">
        <v>521</v>
      </c>
      <c r="D233" s="153">
        <v>0</v>
      </c>
      <c r="E233" s="154">
        <v>800000000</v>
      </c>
      <c r="F233" s="154">
        <v>250000000</v>
      </c>
      <c r="G233" s="154"/>
      <c r="H233" s="154">
        <v>250000000</v>
      </c>
    </row>
    <row r="234" spans="1:8" ht="14.4" x14ac:dyDescent="0.3">
      <c r="A234" s="70">
        <v>233</v>
      </c>
      <c r="B234" s="152" t="s">
        <v>844</v>
      </c>
      <c r="C234" s="152" t="s">
        <v>522</v>
      </c>
      <c r="D234" s="153">
        <v>0</v>
      </c>
      <c r="E234" s="154">
        <v>600000000</v>
      </c>
      <c r="F234" s="154">
        <v>200000000</v>
      </c>
      <c r="G234" s="154"/>
      <c r="H234" s="154">
        <v>150000000</v>
      </c>
    </row>
    <row r="235" spans="1:8" ht="14.4" x14ac:dyDescent="0.3">
      <c r="A235" s="70">
        <v>234</v>
      </c>
      <c r="B235" s="152" t="s">
        <v>845</v>
      </c>
      <c r="C235" s="152" t="s">
        <v>523</v>
      </c>
      <c r="D235" s="153">
        <v>0</v>
      </c>
      <c r="E235" s="154">
        <v>925000000</v>
      </c>
      <c r="F235" s="154">
        <v>200000000</v>
      </c>
      <c r="G235" s="154"/>
      <c r="H235" s="154">
        <v>175000000</v>
      </c>
    </row>
    <row r="236" spans="1:8" ht="14.4" x14ac:dyDescent="0.3">
      <c r="A236" s="70">
        <v>235</v>
      </c>
      <c r="B236" s="152" t="s">
        <v>846</v>
      </c>
      <c r="C236" s="152" t="s">
        <v>524</v>
      </c>
      <c r="D236" s="153"/>
      <c r="E236" s="154">
        <v>1045000000</v>
      </c>
      <c r="F236" s="154">
        <v>400000000</v>
      </c>
      <c r="G236" s="154"/>
      <c r="H236" s="154">
        <v>250000000</v>
      </c>
    </row>
    <row r="237" spans="1:8" s="150" customFormat="1" ht="14.4" x14ac:dyDescent="0.3">
      <c r="A237" s="156">
        <v>236</v>
      </c>
      <c r="B237" s="152" t="s">
        <v>847</v>
      </c>
      <c r="C237" s="157" t="s">
        <v>525</v>
      </c>
      <c r="D237" s="158">
        <v>0</v>
      </c>
      <c r="E237" s="159">
        <v>0</v>
      </c>
      <c r="F237" s="159">
        <v>150000000</v>
      </c>
      <c r="G237" s="159"/>
      <c r="H237" s="159">
        <v>150000000</v>
      </c>
    </row>
    <row r="238" spans="1:8" ht="14.4" x14ac:dyDescent="0.3">
      <c r="A238" s="70">
        <v>237</v>
      </c>
      <c r="B238" s="152" t="s">
        <v>848</v>
      </c>
      <c r="C238" s="152" t="s">
        <v>526</v>
      </c>
      <c r="D238" s="153">
        <v>0</v>
      </c>
      <c r="E238" s="154">
        <v>0</v>
      </c>
      <c r="F238" s="154">
        <v>225000000</v>
      </c>
      <c r="G238" s="154"/>
      <c r="H238" s="154">
        <v>225000000</v>
      </c>
    </row>
    <row r="239" spans="1:8" ht="14.4" x14ac:dyDescent="0.3">
      <c r="A239" s="70">
        <v>238</v>
      </c>
      <c r="B239" s="152" t="s">
        <v>849</v>
      </c>
      <c r="C239" s="152" t="s">
        <v>527</v>
      </c>
      <c r="D239" s="153">
        <v>0</v>
      </c>
      <c r="E239" s="154">
        <v>0</v>
      </c>
      <c r="F239" s="154">
        <v>225000000</v>
      </c>
      <c r="G239" s="154"/>
      <c r="H239" s="154">
        <v>225000000</v>
      </c>
    </row>
    <row r="240" spans="1:8" ht="14.4" x14ac:dyDescent="0.3">
      <c r="A240" s="70">
        <v>239</v>
      </c>
      <c r="B240" s="152" t="s">
        <v>850</v>
      </c>
      <c r="C240" s="152" t="s">
        <v>528</v>
      </c>
      <c r="D240" s="153">
        <v>0</v>
      </c>
      <c r="E240" s="154">
        <v>0</v>
      </c>
      <c r="F240" s="154">
        <v>1000000000</v>
      </c>
      <c r="G240" s="154">
        <v>8184000000</v>
      </c>
      <c r="H240" s="154">
        <v>185000000</v>
      </c>
    </row>
    <row r="241" spans="1:8" ht="14.4" x14ac:dyDescent="0.3">
      <c r="A241" s="70">
        <v>240</v>
      </c>
      <c r="B241" s="152" t="s">
        <v>851</v>
      </c>
      <c r="C241" s="152" t="s">
        <v>529</v>
      </c>
      <c r="D241" s="153">
        <v>0</v>
      </c>
      <c r="E241" s="154">
        <v>0</v>
      </c>
      <c r="F241" s="154">
        <v>500000000</v>
      </c>
      <c r="G241" s="154">
        <v>4222000000</v>
      </c>
      <c r="H241" s="154">
        <v>120000000</v>
      </c>
    </row>
    <row r="242" spans="1:8" ht="14.4" x14ac:dyDescent="0.3">
      <c r="A242" s="70">
        <v>241</v>
      </c>
      <c r="B242" s="152" t="s">
        <v>852</v>
      </c>
      <c r="C242" s="152" t="s">
        <v>530</v>
      </c>
      <c r="D242" s="153"/>
      <c r="E242" s="154"/>
      <c r="F242" s="154">
        <v>400000000</v>
      </c>
      <c r="G242" s="154">
        <v>1700000000</v>
      </c>
      <c r="H242" s="154">
        <v>400000000</v>
      </c>
    </row>
    <row r="243" spans="1:8" ht="14.4" x14ac:dyDescent="0.3">
      <c r="A243" s="70">
        <v>242</v>
      </c>
      <c r="B243" s="152" t="s">
        <v>853</v>
      </c>
      <c r="C243" s="152" t="s">
        <v>531</v>
      </c>
      <c r="D243" s="153">
        <v>0</v>
      </c>
      <c r="E243" s="154">
        <v>0</v>
      </c>
      <c r="F243" s="154">
        <v>500000000</v>
      </c>
      <c r="G243" s="154">
        <v>2776000000</v>
      </c>
      <c r="H243" s="154">
        <v>230000000</v>
      </c>
    </row>
    <row r="244" spans="1:8" ht="14.4" x14ac:dyDescent="0.3">
      <c r="A244" s="70">
        <v>243</v>
      </c>
      <c r="B244" s="152" t="s">
        <v>854</v>
      </c>
      <c r="C244" s="152" t="s">
        <v>186</v>
      </c>
      <c r="D244" s="153">
        <v>0</v>
      </c>
      <c r="E244" s="154">
        <v>0</v>
      </c>
      <c r="F244" s="154">
        <v>1000000000</v>
      </c>
      <c r="G244" s="154">
        <v>8184000000</v>
      </c>
      <c r="H244" s="154">
        <v>300000000</v>
      </c>
    </row>
    <row r="245" spans="1:8" ht="14.4" x14ac:dyDescent="0.3">
      <c r="A245" s="70">
        <v>244</v>
      </c>
      <c r="B245" s="152" t="s">
        <v>855</v>
      </c>
      <c r="C245" s="152" t="s">
        <v>532</v>
      </c>
      <c r="D245" s="153">
        <v>0</v>
      </c>
      <c r="E245" s="154">
        <v>0</v>
      </c>
      <c r="F245" s="154">
        <v>500000000</v>
      </c>
      <c r="G245" s="154">
        <v>3567000000</v>
      </c>
      <c r="H245" s="154">
        <v>350000000</v>
      </c>
    </row>
    <row r="246" spans="1:8" ht="14.4" x14ac:dyDescent="0.3">
      <c r="A246" s="70">
        <v>245</v>
      </c>
      <c r="B246" s="152" t="s">
        <v>856</v>
      </c>
      <c r="C246" s="152" t="s">
        <v>533</v>
      </c>
      <c r="D246" s="153">
        <v>0</v>
      </c>
      <c r="E246" s="154">
        <v>0</v>
      </c>
      <c r="F246" s="154">
        <v>1000000000</v>
      </c>
      <c r="G246" s="154">
        <v>8184000000</v>
      </c>
      <c r="H246" s="154">
        <v>125000000</v>
      </c>
    </row>
    <row r="247" spans="1:8" ht="14.4" x14ac:dyDescent="0.3">
      <c r="A247" s="70">
        <v>246</v>
      </c>
      <c r="B247" s="152" t="s">
        <v>857</v>
      </c>
      <c r="C247" s="152" t="s">
        <v>534</v>
      </c>
      <c r="D247" s="153">
        <v>0</v>
      </c>
      <c r="E247" s="154">
        <v>0</v>
      </c>
      <c r="F247" s="154">
        <v>500000000</v>
      </c>
      <c r="G247" s="154">
        <v>4222000000</v>
      </c>
      <c r="H247" s="154">
        <v>75000000</v>
      </c>
    </row>
    <row r="248" spans="1:8" ht="14.4" x14ac:dyDescent="0.3">
      <c r="A248" s="70">
        <v>247</v>
      </c>
      <c r="B248" s="152" t="s">
        <v>858</v>
      </c>
      <c r="C248" s="152" t="s">
        <v>535</v>
      </c>
      <c r="D248" s="153">
        <v>0</v>
      </c>
      <c r="E248" s="154">
        <v>0</v>
      </c>
      <c r="F248" s="154">
        <v>500000000</v>
      </c>
      <c r="G248" s="154">
        <v>2100000000</v>
      </c>
      <c r="H248" s="154">
        <v>400000000</v>
      </c>
    </row>
    <row r="249" spans="1:8" ht="14.4" x14ac:dyDescent="0.3">
      <c r="A249" s="70">
        <v>248</v>
      </c>
      <c r="B249" s="152" t="s">
        <v>859</v>
      </c>
      <c r="C249" s="152" t="s">
        <v>536</v>
      </c>
      <c r="D249" s="153">
        <v>0</v>
      </c>
      <c r="E249" s="154"/>
      <c r="F249" s="154">
        <v>87000000</v>
      </c>
      <c r="G249" s="154">
        <v>178000000</v>
      </c>
      <c r="H249" s="154">
        <v>110000000</v>
      </c>
    </row>
    <row r="250" spans="1:8" ht="14.4" x14ac:dyDescent="0.3">
      <c r="A250" s="70">
        <v>249</v>
      </c>
      <c r="B250" s="152" t="s">
        <v>860</v>
      </c>
      <c r="C250" s="152" t="s">
        <v>537</v>
      </c>
      <c r="D250" s="153"/>
      <c r="E250" s="154">
        <v>2172000000</v>
      </c>
      <c r="F250" s="154">
        <v>272000000</v>
      </c>
      <c r="G250" s="154"/>
      <c r="H250" s="154">
        <v>225000000</v>
      </c>
    </row>
    <row r="251" spans="1:8" ht="14.4" x14ac:dyDescent="0.3">
      <c r="A251" s="70">
        <v>250</v>
      </c>
      <c r="B251" s="152" t="s">
        <v>861</v>
      </c>
      <c r="C251" s="152" t="s">
        <v>538</v>
      </c>
      <c r="D251" s="153">
        <v>0</v>
      </c>
      <c r="E251" s="154">
        <v>8000000000</v>
      </c>
      <c r="F251" s="154">
        <v>2465000000</v>
      </c>
      <c r="G251" s="154"/>
      <c r="H251" s="154">
        <v>225000000</v>
      </c>
    </row>
    <row r="252" spans="1:8" ht="14.4" x14ac:dyDescent="0.3">
      <c r="A252" s="70">
        <v>251</v>
      </c>
      <c r="B252" s="152" t="s">
        <v>862</v>
      </c>
      <c r="C252" s="152" t="s">
        <v>539</v>
      </c>
      <c r="D252" s="153">
        <v>0</v>
      </c>
      <c r="E252" s="154">
        <v>7000000000</v>
      </c>
      <c r="F252" s="154">
        <v>1516000000</v>
      </c>
      <c r="G252" s="154"/>
      <c r="H252" s="154">
        <v>50000000</v>
      </c>
    </row>
    <row r="253" spans="1:8" ht="14.4" x14ac:dyDescent="0.3">
      <c r="A253" s="70">
        <v>252</v>
      </c>
      <c r="B253" s="152" t="s">
        <v>863</v>
      </c>
      <c r="C253" s="152" t="s">
        <v>540</v>
      </c>
      <c r="D253" s="153">
        <v>0</v>
      </c>
      <c r="E253" s="154">
        <v>9000000000</v>
      </c>
      <c r="F253" s="154">
        <v>2000000000</v>
      </c>
      <c r="G253" s="154"/>
      <c r="H253" s="154">
        <v>475000000</v>
      </c>
    </row>
    <row r="254" spans="1:8" ht="14.4" x14ac:dyDescent="0.3">
      <c r="A254" s="70">
        <v>253</v>
      </c>
      <c r="B254" s="152" t="s">
        <v>864</v>
      </c>
      <c r="C254" s="152" t="s">
        <v>541</v>
      </c>
      <c r="D254" s="153">
        <v>0</v>
      </c>
      <c r="E254" s="154">
        <v>8000000000</v>
      </c>
      <c r="F254" s="154">
        <v>1000000000</v>
      </c>
      <c r="G254" s="154"/>
      <c r="H254" s="154">
        <v>100000000</v>
      </c>
    </row>
    <row r="255" spans="1:8" ht="14.4" x14ac:dyDescent="0.3">
      <c r="A255" s="70">
        <v>254</v>
      </c>
      <c r="B255" s="152" t="s">
        <v>865</v>
      </c>
      <c r="C255" s="152" t="s">
        <v>542</v>
      </c>
      <c r="D255" s="153"/>
      <c r="E255" s="154">
        <v>1191000000</v>
      </c>
      <c r="F255" s="154">
        <v>301000000</v>
      </c>
      <c r="G255" s="154"/>
      <c r="H255" s="154">
        <v>200000000</v>
      </c>
    </row>
    <row r="256" spans="1:8" ht="14.4" x14ac:dyDescent="0.3">
      <c r="A256" s="70">
        <v>255</v>
      </c>
      <c r="B256" s="152" t="s">
        <v>866</v>
      </c>
      <c r="C256" s="152" t="s">
        <v>543</v>
      </c>
      <c r="D256" s="153"/>
      <c r="E256" s="154">
        <v>0</v>
      </c>
      <c r="F256" s="154">
        <v>150000000</v>
      </c>
      <c r="G256" s="154"/>
      <c r="H256" s="154">
        <v>150000000</v>
      </c>
    </row>
    <row r="257" spans="1:8" ht="14.4" x14ac:dyDescent="0.3">
      <c r="A257" s="70">
        <v>256</v>
      </c>
      <c r="B257" s="152" t="s">
        <v>867</v>
      </c>
      <c r="C257" s="152" t="s">
        <v>544</v>
      </c>
      <c r="D257" s="153"/>
      <c r="E257" s="154">
        <v>190000000</v>
      </c>
      <c r="F257" s="154">
        <v>100000000</v>
      </c>
      <c r="G257" s="154"/>
      <c r="H257" s="154">
        <v>100000000</v>
      </c>
    </row>
    <row r="258" spans="1:8" ht="14.4" x14ac:dyDescent="0.3">
      <c r="A258" s="70">
        <v>257</v>
      </c>
      <c r="B258" s="152" t="s">
        <v>868</v>
      </c>
      <c r="C258" s="152" t="s">
        <v>545</v>
      </c>
      <c r="D258" s="153"/>
      <c r="E258" s="154"/>
      <c r="F258" s="154">
        <v>150000000</v>
      </c>
      <c r="G258" s="154"/>
      <c r="H258" s="154">
        <v>150000000</v>
      </c>
    </row>
    <row r="259" spans="1:8" ht="14.4" x14ac:dyDescent="0.3">
      <c r="A259" s="70">
        <v>258</v>
      </c>
      <c r="B259" s="152" t="s">
        <v>869</v>
      </c>
      <c r="C259" s="152" t="s">
        <v>546</v>
      </c>
      <c r="D259" s="153"/>
      <c r="E259" s="154">
        <v>250000000</v>
      </c>
      <c r="F259" s="154">
        <v>200000000</v>
      </c>
      <c r="G259" s="154"/>
      <c r="H259" s="154">
        <v>150000000</v>
      </c>
    </row>
    <row r="260" spans="1:8" ht="14.4" x14ac:dyDescent="0.3">
      <c r="A260" s="70">
        <v>259</v>
      </c>
      <c r="B260" s="152" t="s">
        <v>870</v>
      </c>
      <c r="C260" s="152" t="s">
        <v>547</v>
      </c>
      <c r="D260" s="153">
        <v>0</v>
      </c>
      <c r="E260" s="154">
        <v>300000000</v>
      </c>
      <c r="F260" s="154">
        <v>300000000</v>
      </c>
      <c r="G260" s="154"/>
      <c r="H260" s="154">
        <v>110000000</v>
      </c>
    </row>
    <row r="261" spans="1:8" ht="14.4" x14ac:dyDescent="0.3">
      <c r="A261" s="70">
        <v>260</v>
      </c>
      <c r="B261" s="152" t="s">
        <v>871</v>
      </c>
      <c r="C261" s="152" t="s">
        <v>548</v>
      </c>
      <c r="D261" s="153">
        <v>90000000</v>
      </c>
      <c r="E261" s="154">
        <v>75000000</v>
      </c>
      <c r="F261" s="154">
        <v>90000000</v>
      </c>
      <c r="G261" s="154">
        <v>90000000</v>
      </c>
      <c r="H261" s="154">
        <v>50000000</v>
      </c>
    </row>
    <row r="262" spans="1:8" ht="14.4" x14ac:dyDescent="0.3">
      <c r="A262" s="70">
        <v>261</v>
      </c>
      <c r="B262" s="152" t="s">
        <v>872</v>
      </c>
      <c r="C262" s="152" t="s">
        <v>549</v>
      </c>
      <c r="D262" s="153"/>
      <c r="E262" s="154"/>
      <c r="F262" s="154">
        <v>150000000</v>
      </c>
      <c r="G262" s="154">
        <v>750000000</v>
      </c>
      <c r="H262" s="154">
        <v>150000000</v>
      </c>
    </row>
    <row r="263" spans="1:8" ht="14.4" x14ac:dyDescent="0.3">
      <c r="A263" s="70">
        <v>262</v>
      </c>
      <c r="B263" s="152" t="s">
        <v>873</v>
      </c>
      <c r="C263" s="152" t="s">
        <v>550</v>
      </c>
      <c r="D263" s="153"/>
      <c r="E263" s="154"/>
      <c r="F263" s="154">
        <v>300000000</v>
      </c>
      <c r="G263" s="154"/>
      <c r="H263" s="154">
        <v>100000000</v>
      </c>
    </row>
    <row r="264" spans="1:8" ht="14.4" x14ac:dyDescent="0.3">
      <c r="A264" s="70">
        <v>263</v>
      </c>
      <c r="B264" s="152" t="s">
        <v>874</v>
      </c>
      <c r="C264" s="152" t="s">
        <v>551</v>
      </c>
      <c r="D264" s="153"/>
      <c r="E264" s="154">
        <v>280000000</v>
      </c>
      <c r="F264" s="154">
        <v>110000000</v>
      </c>
      <c r="G264" s="154"/>
      <c r="H264" s="154">
        <v>95000000</v>
      </c>
    </row>
    <row r="265" spans="1:8" ht="14.4" x14ac:dyDescent="0.3">
      <c r="A265" s="70">
        <v>264</v>
      </c>
      <c r="B265" s="152" t="s">
        <v>875</v>
      </c>
      <c r="C265" s="152" t="s">
        <v>552</v>
      </c>
      <c r="D265" s="153">
        <v>0</v>
      </c>
      <c r="E265" s="154"/>
      <c r="F265" s="154">
        <v>36000000</v>
      </c>
      <c r="G265" s="154">
        <v>142000000</v>
      </c>
      <c r="H265" s="154">
        <v>100000000</v>
      </c>
    </row>
    <row r="266" spans="1:8" ht="14.4" x14ac:dyDescent="0.3">
      <c r="A266" s="70">
        <v>265</v>
      </c>
      <c r="B266" s="152" t="s">
        <v>876</v>
      </c>
      <c r="C266" s="152" t="s">
        <v>553</v>
      </c>
      <c r="D266" s="153"/>
      <c r="E266" s="154">
        <v>600000000</v>
      </c>
      <c r="F266" s="154">
        <v>300000000</v>
      </c>
      <c r="G266" s="154"/>
      <c r="H266" s="154">
        <v>100000000</v>
      </c>
    </row>
    <row r="267" spans="1:8" ht="14.4" x14ac:dyDescent="0.3">
      <c r="A267" s="70">
        <v>266</v>
      </c>
      <c r="B267" s="152" t="s">
        <v>877</v>
      </c>
      <c r="C267" s="152" t="s">
        <v>188</v>
      </c>
      <c r="D267" s="153">
        <v>0</v>
      </c>
      <c r="E267" s="154">
        <v>900000000</v>
      </c>
      <c r="F267" s="154">
        <v>300000000</v>
      </c>
      <c r="G267" s="154"/>
      <c r="H267" s="154">
        <v>200000000</v>
      </c>
    </row>
    <row r="268" spans="1:8" ht="14.4" x14ac:dyDescent="0.3">
      <c r="A268" s="70">
        <v>267</v>
      </c>
      <c r="B268" s="152" t="s">
        <v>878</v>
      </c>
      <c r="C268" s="152" t="s">
        <v>554</v>
      </c>
      <c r="D268" s="153"/>
      <c r="E268" s="154"/>
      <c r="F268" s="154">
        <v>85000000</v>
      </c>
      <c r="G268" s="154">
        <v>189000000</v>
      </c>
      <c r="H268" s="154">
        <v>85000000</v>
      </c>
    </row>
    <row r="269" spans="1:8" ht="14.4" x14ac:dyDescent="0.3">
      <c r="A269" s="70">
        <v>268</v>
      </c>
      <c r="B269" s="152" t="s">
        <v>879</v>
      </c>
      <c r="C269" s="152" t="s">
        <v>155</v>
      </c>
      <c r="D269" s="153">
        <v>5000000</v>
      </c>
      <c r="E269" s="154">
        <v>25000000</v>
      </c>
      <c r="F269" s="154">
        <v>5000000</v>
      </c>
      <c r="G269" s="154">
        <v>5000000</v>
      </c>
      <c r="H269" s="154">
        <v>30000000</v>
      </c>
    </row>
    <row r="270" spans="1:8" ht="14.4" x14ac:dyDescent="0.3">
      <c r="A270" s="70">
        <v>269</v>
      </c>
      <c r="B270" s="152" t="s">
        <v>880</v>
      </c>
      <c r="C270" s="152" t="s">
        <v>555</v>
      </c>
      <c r="D270" s="153">
        <v>0</v>
      </c>
      <c r="E270" s="154">
        <v>2500000000</v>
      </c>
      <c r="F270" s="154">
        <v>1300000000</v>
      </c>
      <c r="G270" s="154"/>
      <c r="H270" s="154">
        <v>125000000</v>
      </c>
    </row>
    <row r="271" spans="1:8" ht="14.4" x14ac:dyDescent="0.3">
      <c r="A271" s="70">
        <v>270</v>
      </c>
      <c r="B271" s="152" t="s">
        <v>881</v>
      </c>
      <c r="C271" s="152" t="s">
        <v>556</v>
      </c>
      <c r="D271" s="153">
        <v>0</v>
      </c>
      <c r="E271" s="154">
        <v>1000000000</v>
      </c>
      <c r="F271" s="154">
        <v>750000000</v>
      </c>
      <c r="G271" s="154"/>
      <c r="H271" s="154">
        <v>100000000</v>
      </c>
    </row>
    <row r="272" spans="1:8" ht="14.4" x14ac:dyDescent="0.3">
      <c r="A272" s="70">
        <v>271</v>
      </c>
      <c r="B272" s="152" t="s">
        <v>882</v>
      </c>
      <c r="C272" s="152" t="s">
        <v>557</v>
      </c>
      <c r="D272" s="153">
        <v>0</v>
      </c>
      <c r="E272" s="154">
        <v>0</v>
      </c>
      <c r="F272" s="154">
        <v>500000000</v>
      </c>
      <c r="G272" s="154">
        <v>2400000000</v>
      </c>
      <c r="H272" s="154">
        <v>100000000</v>
      </c>
    </row>
    <row r="273" spans="1:8" ht="14.4" x14ac:dyDescent="0.3">
      <c r="A273" s="70">
        <v>272</v>
      </c>
      <c r="B273" s="152" t="s">
        <v>883</v>
      </c>
      <c r="C273" s="152" t="s">
        <v>558</v>
      </c>
      <c r="D273" s="153"/>
      <c r="E273" s="154"/>
      <c r="F273" s="154">
        <v>1000000000</v>
      </c>
      <c r="G273" s="154">
        <v>3800000000</v>
      </c>
      <c r="H273" s="154">
        <v>500000000</v>
      </c>
    </row>
    <row r="274" spans="1:8" ht="14.4" x14ac:dyDescent="0.3">
      <c r="A274" s="70">
        <v>273</v>
      </c>
      <c r="B274" s="152" t="s">
        <v>884</v>
      </c>
      <c r="C274" s="152" t="s">
        <v>559</v>
      </c>
      <c r="D274" s="153"/>
      <c r="E274" s="154"/>
      <c r="F274" s="154">
        <v>1427000000</v>
      </c>
      <c r="G274" s="154">
        <v>4800000000</v>
      </c>
      <c r="H274" s="154">
        <v>500000000</v>
      </c>
    </row>
    <row r="275" spans="1:8" ht="14.4" x14ac:dyDescent="0.3">
      <c r="A275" s="70">
        <v>274</v>
      </c>
      <c r="B275" s="152" t="s">
        <v>885</v>
      </c>
      <c r="C275" s="152" t="s">
        <v>560</v>
      </c>
      <c r="D275" s="153"/>
      <c r="E275" s="154"/>
      <c r="F275" s="154">
        <v>1000000000</v>
      </c>
      <c r="G275" s="154">
        <v>3800000000</v>
      </c>
      <c r="H275" s="154">
        <v>500000000</v>
      </c>
    </row>
    <row r="276" spans="1:8" ht="14.4" x14ac:dyDescent="0.3">
      <c r="A276" s="70">
        <v>275</v>
      </c>
      <c r="B276" s="152" t="s">
        <v>886</v>
      </c>
      <c r="C276" s="152" t="s">
        <v>561</v>
      </c>
      <c r="D276" s="153"/>
      <c r="E276" s="154"/>
      <c r="F276" s="154">
        <v>1800000000</v>
      </c>
      <c r="G276" s="154">
        <v>2000000000</v>
      </c>
      <c r="H276" s="154">
        <v>400000000</v>
      </c>
    </row>
    <row r="277" spans="1:8" ht="14.4" x14ac:dyDescent="0.3">
      <c r="A277" s="70">
        <v>276</v>
      </c>
      <c r="B277" s="152" t="s">
        <v>887</v>
      </c>
      <c r="C277" s="152" t="s">
        <v>562</v>
      </c>
      <c r="D277" s="153"/>
      <c r="E277" s="154">
        <v>600000000</v>
      </c>
      <c r="F277" s="154">
        <v>767000000</v>
      </c>
      <c r="G277" s="154"/>
      <c r="H277" s="154">
        <v>100000000</v>
      </c>
    </row>
    <row r="278" spans="1:8" ht="14.4" x14ac:dyDescent="0.3">
      <c r="A278" s="70">
        <v>277</v>
      </c>
      <c r="B278" s="152" t="s">
        <v>888</v>
      </c>
      <c r="C278" s="152" t="s">
        <v>563</v>
      </c>
      <c r="D278" s="153">
        <v>0</v>
      </c>
      <c r="E278" s="154">
        <v>30000000</v>
      </c>
      <c r="F278" s="154">
        <v>300000000</v>
      </c>
      <c r="G278" s="154"/>
      <c r="H278" s="154">
        <v>300000000</v>
      </c>
    </row>
    <row r="279" spans="1:8" ht="14.4" x14ac:dyDescent="0.3">
      <c r="A279" s="70">
        <v>278</v>
      </c>
      <c r="B279" s="152" t="s">
        <v>889</v>
      </c>
      <c r="C279" s="152" t="s">
        <v>564</v>
      </c>
      <c r="D279" s="153">
        <v>0</v>
      </c>
      <c r="E279" s="154">
        <v>0</v>
      </c>
      <c r="F279" s="154">
        <v>200000000</v>
      </c>
      <c r="G279" s="154">
        <v>1200000000</v>
      </c>
      <c r="H279" s="154">
        <v>175000000</v>
      </c>
    </row>
    <row r="280" spans="1:8" ht="14.4" x14ac:dyDescent="0.3">
      <c r="A280" s="70">
        <v>279</v>
      </c>
      <c r="B280" s="152" t="s">
        <v>890</v>
      </c>
      <c r="C280" s="152" t="s">
        <v>565</v>
      </c>
      <c r="D280" s="153">
        <v>0</v>
      </c>
      <c r="E280" s="154">
        <v>0</v>
      </c>
      <c r="F280" s="154">
        <v>200000000</v>
      </c>
      <c r="G280" s="154">
        <v>1000000000</v>
      </c>
      <c r="H280" s="154">
        <v>175000000</v>
      </c>
    </row>
    <row r="281" spans="1:8" ht="14.4" x14ac:dyDescent="0.3">
      <c r="A281" s="70">
        <v>280</v>
      </c>
      <c r="B281" s="152" t="s">
        <v>891</v>
      </c>
      <c r="C281" s="152" t="s">
        <v>566</v>
      </c>
      <c r="D281" s="153">
        <v>0</v>
      </c>
      <c r="E281" s="154">
        <v>0</v>
      </c>
      <c r="F281" s="154">
        <v>150000000</v>
      </c>
      <c r="G281" s="154">
        <v>940000000</v>
      </c>
      <c r="H281" s="154">
        <v>150000000</v>
      </c>
    </row>
    <row r="282" spans="1:8" ht="14.4" x14ac:dyDescent="0.3">
      <c r="A282" s="70">
        <v>281</v>
      </c>
      <c r="B282" s="152" t="s">
        <v>892</v>
      </c>
      <c r="C282" s="152" t="s">
        <v>567</v>
      </c>
      <c r="D282" s="153">
        <v>0</v>
      </c>
      <c r="E282" s="154">
        <v>0</v>
      </c>
      <c r="F282" s="154">
        <v>240000000</v>
      </c>
      <c r="G282" s="154">
        <v>959000000</v>
      </c>
      <c r="H282" s="154">
        <v>85000000</v>
      </c>
    </row>
    <row r="283" spans="1:8" ht="14.4" x14ac:dyDescent="0.3">
      <c r="A283" s="70">
        <v>282</v>
      </c>
      <c r="B283" s="152" t="s">
        <v>893</v>
      </c>
      <c r="C283" s="152" t="s">
        <v>568</v>
      </c>
      <c r="D283" s="153">
        <v>0</v>
      </c>
      <c r="E283" s="154">
        <v>1249000000</v>
      </c>
      <c r="F283" s="154">
        <v>208000000</v>
      </c>
      <c r="G283" s="154"/>
      <c r="H283" s="154">
        <v>100000000</v>
      </c>
    </row>
    <row r="284" spans="1:8" ht="14.4" x14ac:dyDescent="0.3">
      <c r="A284" s="70">
        <v>283</v>
      </c>
      <c r="B284" s="152">
        <v>272383405</v>
      </c>
      <c r="C284" s="152" t="s">
        <v>569</v>
      </c>
      <c r="D284" s="153"/>
      <c r="E284" s="154">
        <v>900000000</v>
      </c>
      <c r="F284" s="154">
        <v>250000000</v>
      </c>
      <c r="G284" s="154"/>
      <c r="H284" s="154">
        <v>175000000</v>
      </c>
    </row>
    <row r="285" spans="1:8" ht="14.4" x14ac:dyDescent="0.3">
      <c r="A285" s="70">
        <v>284</v>
      </c>
      <c r="B285" s="152" t="s">
        <v>894</v>
      </c>
      <c r="C285" s="152" t="s">
        <v>570</v>
      </c>
      <c r="D285" s="153"/>
      <c r="E285" s="154">
        <v>375000000</v>
      </c>
      <c r="F285" s="154">
        <v>75000000</v>
      </c>
      <c r="G285" s="154"/>
      <c r="H285" s="154">
        <v>75000000</v>
      </c>
    </row>
    <row r="286" spans="1:8" ht="14.4" x14ac:dyDescent="0.3">
      <c r="A286" s="70">
        <v>285</v>
      </c>
      <c r="B286" s="152" t="s">
        <v>895</v>
      </c>
      <c r="C286" s="152" t="s">
        <v>571</v>
      </c>
      <c r="D286" s="153"/>
      <c r="E286" s="154">
        <v>275000000</v>
      </c>
      <c r="F286" s="154">
        <v>75000000</v>
      </c>
      <c r="G286" s="154"/>
      <c r="H286" s="154">
        <v>75000000</v>
      </c>
    </row>
    <row r="287" spans="1:8" ht="14.4" x14ac:dyDescent="0.3">
      <c r="A287" s="70">
        <v>286</v>
      </c>
      <c r="B287" s="152" t="s">
        <v>896</v>
      </c>
      <c r="C287" s="152" t="s">
        <v>572</v>
      </c>
      <c r="D287" s="153"/>
      <c r="E287" s="154">
        <v>1100000000</v>
      </c>
      <c r="F287" s="154">
        <v>450000000</v>
      </c>
      <c r="G287" s="154"/>
      <c r="H287" s="154">
        <v>175000000</v>
      </c>
    </row>
    <row r="288" spans="1:8" ht="14.4" x14ac:dyDescent="0.3">
      <c r="A288" s="70">
        <v>287</v>
      </c>
      <c r="B288" s="152" t="s">
        <v>897</v>
      </c>
      <c r="C288" s="152" t="s">
        <v>573</v>
      </c>
      <c r="D288" s="153">
        <v>0</v>
      </c>
      <c r="E288" s="154">
        <v>0</v>
      </c>
      <c r="F288" s="154">
        <v>47163000000</v>
      </c>
      <c r="G288" s="154">
        <v>102823000000</v>
      </c>
      <c r="H288" s="154">
        <v>100000000</v>
      </c>
    </row>
    <row r="289" spans="1:8" ht="14.4" x14ac:dyDescent="0.3">
      <c r="A289" s="70">
        <v>288</v>
      </c>
      <c r="B289" s="152" t="s">
        <v>898</v>
      </c>
      <c r="C289" s="152" t="s">
        <v>574</v>
      </c>
      <c r="D289" s="153">
        <v>0</v>
      </c>
      <c r="E289" s="154">
        <v>0</v>
      </c>
      <c r="F289" s="154">
        <v>44649000000</v>
      </c>
      <c r="G289" s="154">
        <v>77130000000</v>
      </c>
      <c r="H289" s="154">
        <v>50000000</v>
      </c>
    </row>
    <row r="290" spans="1:8" ht="14.4" x14ac:dyDescent="0.3">
      <c r="A290" s="70">
        <v>289</v>
      </c>
      <c r="B290" s="152" t="s">
        <v>899</v>
      </c>
      <c r="C290" s="152" t="s">
        <v>575</v>
      </c>
      <c r="D290" s="153">
        <v>0</v>
      </c>
      <c r="E290" s="154">
        <v>0</v>
      </c>
      <c r="F290" s="154">
        <v>40000000000</v>
      </c>
      <c r="G290" s="154">
        <v>110000000000</v>
      </c>
      <c r="H290" s="154">
        <v>150000000</v>
      </c>
    </row>
    <row r="291" spans="1:8" ht="14.4" x14ac:dyDescent="0.3">
      <c r="A291" s="70">
        <v>290</v>
      </c>
      <c r="B291" s="152" t="s">
        <v>900</v>
      </c>
      <c r="C291" s="152" t="s">
        <v>576</v>
      </c>
      <c r="D291" s="153">
        <v>0</v>
      </c>
      <c r="E291" s="154">
        <v>0</v>
      </c>
      <c r="F291" s="154">
        <v>43000000000</v>
      </c>
      <c r="G291" s="154">
        <v>78000000000</v>
      </c>
      <c r="H291" s="154">
        <v>150000000</v>
      </c>
    </row>
    <row r="292" spans="1:8" ht="14.4" x14ac:dyDescent="0.3">
      <c r="A292" s="70">
        <v>291</v>
      </c>
      <c r="B292" s="152" t="s">
        <v>901</v>
      </c>
      <c r="C292" s="152" t="s">
        <v>577</v>
      </c>
      <c r="D292" s="153">
        <v>0</v>
      </c>
      <c r="E292" s="154">
        <v>0</v>
      </c>
      <c r="F292" s="154">
        <v>40000000000</v>
      </c>
      <c r="G292" s="154">
        <v>38000000000</v>
      </c>
      <c r="H292" s="154">
        <v>75000000</v>
      </c>
    </row>
    <row r="293" spans="1:8" ht="14.4" x14ac:dyDescent="0.3">
      <c r="A293" s="70">
        <v>292</v>
      </c>
      <c r="B293" s="152" t="s">
        <v>902</v>
      </c>
      <c r="C293" s="152" t="s">
        <v>578</v>
      </c>
      <c r="D293" s="153">
        <v>0</v>
      </c>
      <c r="E293" s="154">
        <v>0</v>
      </c>
      <c r="F293" s="154">
        <v>7671000000</v>
      </c>
      <c r="G293" s="154">
        <v>11833000000</v>
      </c>
      <c r="H293" s="154">
        <v>80000000</v>
      </c>
    </row>
    <row r="294" spans="1:8" ht="14.4" x14ac:dyDescent="0.3">
      <c r="A294" s="70">
        <v>293</v>
      </c>
      <c r="B294" s="152" t="s">
        <v>903</v>
      </c>
      <c r="C294" s="152" t="s">
        <v>579</v>
      </c>
      <c r="D294" s="153">
        <v>0</v>
      </c>
      <c r="E294" s="154">
        <v>2887000000</v>
      </c>
      <c r="F294" s="154">
        <v>575000000</v>
      </c>
      <c r="G294" s="154"/>
      <c r="H294" s="154">
        <v>575000000</v>
      </c>
    </row>
    <row r="295" spans="1:8" ht="14.4" x14ac:dyDescent="0.3">
      <c r="A295" s="70">
        <v>294</v>
      </c>
      <c r="B295" s="152" t="s">
        <v>904</v>
      </c>
      <c r="C295" s="152" t="s">
        <v>580</v>
      </c>
      <c r="D295" s="153">
        <v>0</v>
      </c>
      <c r="E295" s="154">
        <v>0</v>
      </c>
      <c r="F295" s="154">
        <v>500000000</v>
      </c>
      <c r="G295" s="154">
        <v>5479000000</v>
      </c>
      <c r="H295" s="154">
        <v>225000000</v>
      </c>
    </row>
    <row r="296" spans="1:8" ht="14.4" x14ac:dyDescent="0.3">
      <c r="A296" s="70">
        <v>295</v>
      </c>
      <c r="B296" s="152" t="s">
        <v>905</v>
      </c>
      <c r="C296" s="152" t="s">
        <v>581</v>
      </c>
      <c r="D296" s="153">
        <v>0</v>
      </c>
      <c r="E296" s="154">
        <v>0</v>
      </c>
      <c r="F296" s="154">
        <v>500000000</v>
      </c>
      <c r="G296" s="154">
        <v>2920000000</v>
      </c>
      <c r="H296" s="154">
        <v>200000000</v>
      </c>
    </row>
    <row r="297" spans="1:8" ht="14.4" x14ac:dyDescent="0.3">
      <c r="A297" s="70">
        <v>296</v>
      </c>
      <c r="B297" s="152" t="s">
        <v>906</v>
      </c>
      <c r="C297" s="152" t="s">
        <v>582</v>
      </c>
      <c r="D297" s="153">
        <v>0</v>
      </c>
      <c r="E297" s="154">
        <v>525000000</v>
      </c>
      <c r="F297" s="154">
        <v>150000000</v>
      </c>
      <c r="G297" s="154"/>
      <c r="H297" s="154">
        <v>100000000</v>
      </c>
    </row>
    <row r="298" spans="1:8" ht="14.4" x14ac:dyDescent="0.3">
      <c r="A298" s="70">
        <v>297</v>
      </c>
      <c r="B298" s="152" t="s">
        <v>907</v>
      </c>
      <c r="C298" s="152" t="s">
        <v>583</v>
      </c>
      <c r="D298" s="153"/>
      <c r="E298" s="154"/>
      <c r="F298" s="154">
        <v>250000000</v>
      </c>
      <c r="G298" s="154">
        <v>2920000000</v>
      </c>
      <c r="H298" s="154">
        <v>75000000</v>
      </c>
    </row>
    <row r="299" spans="1:8" ht="14.4" x14ac:dyDescent="0.3">
      <c r="A299" s="70">
        <v>298</v>
      </c>
      <c r="B299" s="152" t="s">
        <v>908</v>
      </c>
      <c r="C299" s="152" t="s">
        <v>584</v>
      </c>
      <c r="D299" s="153"/>
      <c r="E299" s="154">
        <v>1800000000</v>
      </c>
      <c r="F299" s="154">
        <v>312000000</v>
      </c>
      <c r="G299" s="154"/>
      <c r="H299" s="154">
        <v>50000000</v>
      </c>
    </row>
    <row r="300" spans="1:8" ht="14.4" x14ac:dyDescent="0.3">
      <c r="A300" s="70">
        <v>299</v>
      </c>
      <c r="B300" s="152" t="s">
        <v>909</v>
      </c>
      <c r="C300" s="152" t="s">
        <v>585</v>
      </c>
      <c r="D300" s="153"/>
      <c r="E300" s="154"/>
      <c r="F300" s="154">
        <v>1225000000</v>
      </c>
      <c r="G300" s="154">
        <v>3065000000</v>
      </c>
      <c r="H300" s="154">
        <v>175000000</v>
      </c>
    </row>
    <row r="301" spans="1:8" ht="14.4" x14ac:dyDescent="0.3">
      <c r="A301" s="70">
        <v>300</v>
      </c>
      <c r="B301" s="152" t="s">
        <v>910</v>
      </c>
      <c r="C301" s="152" t="s">
        <v>586</v>
      </c>
      <c r="D301" s="153"/>
      <c r="E301" s="154"/>
      <c r="F301" s="154">
        <v>520000000</v>
      </c>
      <c r="G301" s="154">
        <v>2550000000</v>
      </c>
      <c r="H301" s="154">
        <v>150000000</v>
      </c>
    </row>
    <row r="302" spans="1:8" ht="14.4" x14ac:dyDescent="0.3">
      <c r="A302" s="70">
        <v>301</v>
      </c>
      <c r="B302" s="152" t="s">
        <v>911</v>
      </c>
      <c r="C302" s="152" t="s">
        <v>587</v>
      </c>
      <c r="D302" s="153"/>
      <c r="E302" s="154"/>
      <c r="F302" s="154">
        <v>300000000</v>
      </c>
      <c r="G302" s="154">
        <v>2500000000</v>
      </c>
      <c r="H302" s="154">
        <v>75000000</v>
      </c>
    </row>
    <row r="303" spans="1:8" ht="14.4" x14ac:dyDescent="0.3">
      <c r="A303" s="70">
        <v>302</v>
      </c>
      <c r="B303" s="152" t="s">
        <v>912</v>
      </c>
      <c r="C303" s="152" t="s">
        <v>588</v>
      </c>
      <c r="D303" s="153"/>
      <c r="E303" s="154"/>
      <c r="F303" s="154">
        <v>300000000</v>
      </c>
      <c r="G303" s="154">
        <v>1300000000</v>
      </c>
      <c r="H303" s="154">
        <v>75000000</v>
      </c>
    </row>
    <row r="304" spans="1:8" ht="14.4" x14ac:dyDescent="0.3">
      <c r="A304" s="70">
        <v>303</v>
      </c>
      <c r="B304" s="152" t="s">
        <v>913</v>
      </c>
      <c r="C304" s="152" t="s">
        <v>589</v>
      </c>
      <c r="D304" s="153"/>
      <c r="E304" s="154"/>
      <c r="F304" s="154">
        <v>150000000</v>
      </c>
      <c r="G304" s="154">
        <v>403000000</v>
      </c>
      <c r="H304" s="154">
        <v>225000000</v>
      </c>
    </row>
    <row r="305" spans="1:8" ht="14.4" x14ac:dyDescent="0.3">
      <c r="A305" s="70">
        <v>304</v>
      </c>
      <c r="B305" s="152" t="s">
        <v>914</v>
      </c>
      <c r="C305" s="152" t="s">
        <v>590</v>
      </c>
      <c r="D305" s="153"/>
      <c r="E305" s="154"/>
      <c r="F305" s="154">
        <v>150000000</v>
      </c>
      <c r="G305" s="154">
        <v>259000000</v>
      </c>
      <c r="H305" s="154">
        <v>75000000</v>
      </c>
    </row>
    <row r="306" spans="1:8" ht="14.4" x14ac:dyDescent="0.3">
      <c r="A306" s="70">
        <v>305</v>
      </c>
      <c r="B306" s="152" t="s">
        <v>915</v>
      </c>
      <c r="C306" s="152" t="s">
        <v>591</v>
      </c>
      <c r="D306" s="153">
        <v>0</v>
      </c>
      <c r="E306" s="154">
        <v>95500000</v>
      </c>
      <c r="F306" s="154">
        <v>300000000</v>
      </c>
      <c r="G306" s="154"/>
      <c r="H306" s="154">
        <v>150000000</v>
      </c>
    </row>
    <row r="307" spans="1:8" ht="14.4" x14ac:dyDescent="0.3">
      <c r="A307" s="70">
        <v>306</v>
      </c>
      <c r="B307" s="152" t="s">
        <v>916</v>
      </c>
      <c r="C307" s="152" t="s">
        <v>592</v>
      </c>
      <c r="D307" s="153"/>
      <c r="E307" s="154">
        <v>800000000</v>
      </c>
      <c r="F307" s="154">
        <v>600000000</v>
      </c>
      <c r="G307" s="154"/>
      <c r="H307" s="154">
        <v>325000000</v>
      </c>
    </row>
    <row r="308" spans="1:8" ht="14.4" x14ac:dyDescent="0.3">
      <c r="A308" s="70">
        <v>307</v>
      </c>
      <c r="B308" s="152" t="s">
        <v>917</v>
      </c>
      <c r="C308" s="152" t="s">
        <v>593</v>
      </c>
      <c r="D308" s="153">
        <v>0</v>
      </c>
      <c r="E308" s="154">
        <v>250000000</v>
      </c>
      <c r="F308" s="154">
        <v>100000000</v>
      </c>
      <c r="G308" s="154"/>
      <c r="H308" s="154">
        <v>100000000</v>
      </c>
    </row>
    <row r="309" spans="1:8" ht="14.4" x14ac:dyDescent="0.3">
      <c r="A309" s="70">
        <v>308</v>
      </c>
      <c r="B309" s="152" t="s">
        <v>918</v>
      </c>
      <c r="C309" s="152" t="s">
        <v>594</v>
      </c>
      <c r="D309" s="153">
        <v>0</v>
      </c>
      <c r="E309" s="154">
        <v>1050000000</v>
      </c>
      <c r="F309" s="154">
        <v>140000000</v>
      </c>
      <c r="G309" s="154"/>
      <c r="H309" s="154">
        <v>70000000</v>
      </c>
    </row>
    <row r="310" spans="1:8" ht="14.4" x14ac:dyDescent="0.3">
      <c r="A310" s="70">
        <v>309</v>
      </c>
      <c r="B310" s="152" t="s">
        <v>919</v>
      </c>
      <c r="C310" s="152" t="s">
        <v>595</v>
      </c>
      <c r="D310" s="153"/>
      <c r="E310" s="154">
        <v>1600000000</v>
      </c>
      <c r="F310" s="154">
        <v>800000000</v>
      </c>
      <c r="G310" s="154"/>
      <c r="H310" s="154">
        <v>250000000</v>
      </c>
    </row>
    <row r="311" spans="1:8" ht="14.4" x14ac:dyDescent="0.3">
      <c r="A311" s="70">
        <v>310</v>
      </c>
      <c r="B311" s="152" t="s">
        <v>920</v>
      </c>
      <c r="C311" s="152" t="s">
        <v>596</v>
      </c>
      <c r="D311" s="153">
        <v>0</v>
      </c>
      <c r="E311" s="154">
        <v>3400000000</v>
      </c>
      <c r="F311" s="154">
        <v>600000000</v>
      </c>
      <c r="G311" s="154"/>
      <c r="H311" s="154">
        <v>150000000</v>
      </c>
    </row>
    <row r="312" spans="1:8" ht="14.4" x14ac:dyDescent="0.3">
      <c r="A312" s="70">
        <v>311</v>
      </c>
      <c r="B312" s="152" t="s">
        <v>921</v>
      </c>
      <c r="C312" s="152" t="s">
        <v>597</v>
      </c>
      <c r="D312" s="153"/>
      <c r="E312" s="154"/>
      <c r="F312" s="154">
        <v>137000000</v>
      </c>
      <c r="G312" s="154"/>
      <c r="H312" s="154">
        <v>75000000</v>
      </c>
    </row>
    <row r="313" spans="1:8" ht="14.4" x14ac:dyDescent="0.3">
      <c r="A313" s="70">
        <v>312</v>
      </c>
      <c r="B313" s="152" t="s">
        <v>922</v>
      </c>
      <c r="C313" s="152" t="s">
        <v>598</v>
      </c>
      <c r="D313" s="153">
        <v>0</v>
      </c>
      <c r="E313" s="154">
        <v>0</v>
      </c>
      <c r="F313" s="154">
        <v>273900000</v>
      </c>
      <c r="G313" s="154"/>
      <c r="H313" s="154">
        <v>240000000</v>
      </c>
    </row>
    <row r="314" spans="1:8" ht="14.4" x14ac:dyDescent="0.3">
      <c r="A314" s="70">
        <v>313</v>
      </c>
      <c r="B314" s="152" t="s">
        <v>923</v>
      </c>
      <c r="C314" s="152" t="s">
        <v>599</v>
      </c>
      <c r="D314" s="153"/>
      <c r="E314" s="154">
        <v>1100000000</v>
      </c>
      <c r="F314" s="154">
        <v>150000000</v>
      </c>
      <c r="G314" s="154"/>
      <c r="H314" s="154">
        <v>200000000</v>
      </c>
    </row>
    <row r="315" spans="1:8" ht="14.4" x14ac:dyDescent="0.3">
      <c r="A315" s="70">
        <v>314</v>
      </c>
      <c r="B315" s="152" t="s">
        <v>924</v>
      </c>
      <c r="C315" s="152" t="s">
        <v>600</v>
      </c>
      <c r="D315" s="153"/>
      <c r="E315" s="154">
        <v>100000000</v>
      </c>
      <c r="F315" s="154">
        <v>150000000</v>
      </c>
      <c r="G315" s="154"/>
      <c r="H315" s="154">
        <v>150000000</v>
      </c>
    </row>
    <row r="316" spans="1:8" ht="14.4" x14ac:dyDescent="0.3">
      <c r="A316" s="70">
        <v>315</v>
      </c>
      <c r="B316" s="152" t="s">
        <v>925</v>
      </c>
      <c r="C316" s="160" t="s">
        <v>601</v>
      </c>
      <c r="D316" s="153"/>
      <c r="E316" s="154">
        <v>40000000</v>
      </c>
      <c r="F316" s="154">
        <v>60000000</v>
      </c>
      <c r="G316" s="154"/>
      <c r="H316" s="154">
        <v>100000000</v>
      </c>
    </row>
    <row r="317" spans="1:8" ht="14.4" x14ac:dyDescent="0.3">
      <c r="A317" s="70">
        <v>316</v>
      </c>
      <c r="B317" s="152" t="s">
        <v>926</v>
      </c>
      <c r="C317" s="161" t="s">
        <v>602</v>
      </c>
      <c r="D317" s="153">
        <v>0</v>
      </c>
      <c r="E317" s="154">
        <v>65000000000</v>
      </c>
      <c r="F317" s="154">
        <v>10000000000</v>
      </c>
      <c r="G317" s="154"/>
      <c r="H317" s="154">
        <v>100000000</v>
      </c>
    </row>
    <row r="318" spans="1:8" ht="14.4" x14ac:dyDescent="0.3">
      <c r="A318" s="70">
        <v>317</v>
      </c>
      <c r="B318" s="152" t="s">
        <v>927</v>
      </c>
      <c r="C318" s="152" t="s">
        <v>603</v>
      </c>
      <c r="D318" s="153">
        <v>0</v>
      </c>
      <c r="E318" s="154"/>
      <c r="F318" s="154">
        <v>30000000000</v>
      </c>
      <c r="G318" s="154">
        <v>85000000000</v>
      </c>
      <c r="H318" s="154">
        <v>100000000</v>
      </c>
    </row>
    <row r="319" spans="1:8" ht="13.8" x14ac:dyDescent="0.3">
      <c r="A319" s="152">
        <v>318</v>
      </c>
      <c r="B319" s="152" t="s">
        <v>928</v>
      </c>
      <c r="C319" s="152" t="s">
        <v>604</v>
      </c>
      <c r="D319" s="154">
        <v>0</v>
      </c>
      <c r="E319" s="154">
        <v>290000000</v>
      </c>
      <c r="F319" s="154">
        <v>275000000</v>
      </c>
      <c r="G319" s="154"/>
      <c r="H319" s="154">
        <v>275000000</v>
      </c>
    </row>
    <row r="320" spans="1:8" ht="14.4" x14ac:dyDescent="0.3">
      <c r="A320" s="70">
        <v>319</v>
      </c>
      <c r="B320" s="152" t="s">
        <v>929</v>
      </c>
      <c r="C320" s="152" t="s">
        <v>605</v>
      </c>
      <c r="D320" s="153"/>
      <c r="E320" s="154"/>
      <c r="F320" s="154">
        <v>30000000000</v>
      </c>
      <c r="G320" s="154">
        <v>60000000000</v>
      </c>
      <c r="H320" s="154">
        <v>90000000</v>
      </c>
    </row>
    <row r="321" spans="1:8" ht="14.4" x14ac:dyDescent="0.3">
      <c r="A321" s="70">
        <v>320</v>
      </c>
      <c r="B321" s="152" t="s">
        <v>930</v>
      </c>
      <c r="C321" s="152" t="s">
        <v>606</v>
      </c>
      <c r="D321" s="153">
        <v>0</v>
      </c>
      <c r="E321" s="154">
        <v>2250000000</v>
      </c>
      <c r="F321" s="154">
        <v>950000000</v>
      </c>
      <c r="G321" s="154"/>
      <c r="H321" s="154">
        <v>200000000</v>
      </c>
    </row>
    <row r="322" spans="1:8" ht="14.4" x14ac:dyDescent="0.3">
      <c r="A322" s="70">
        <v>327</v>
      </c>
      <c r="B322" s="152" t="s">
        <v>693</v>
      </c>
      <c r="C322" s="152" t="s">
        <v>607</v>
      </c>
      <c r="D322" s="153"/>
      <c r="E322" s="154">
        <v>1200000000</v>
      </c>
      <c r="F322" s="154">
        <v>600000000</v>
      </c>
      <c r="G322" s="154"/>
      <c r="H322" s="154">
        <v>50000000</v>
      </c>
    </row>
    <row r="323" spans="1:8" ht="14.4" x14ac:dyDescent="0.3">
      <c r="A323" s="70">
        <v>331</v>
      </c>
      <c r="B323" s="152" t="s">
        <v>695</v>
      </c>
      <c r="C323" s="152" t="s">
        <v>608</v>
      </c>
      <c r="D323" s="153"/>
      <c r="E323" s="154">
        <v>1200000000</v>
      </c>
      <c r="F323" s="154">
        <v>600000000</v>
      </c>
      <c r="G323" s="154"/>
      <c r="H323" s="154">
        <v>75000000</v>
      </c>
    </row>
    <row r="324" spans="1:8" ht="14.4" x14ac:dyDescent="0.3">
      <c r="A324" s="70">
        <v>332</v>
      </c>
      <c r="B324" s="152" t="s">
        <v>929</v>
      </c>
      <c r="C324" s="152" t="s">
        <v>609</v>
      </c>
      <c r="D324" s="153"/>
      <c r="E324" s="154"/>
      <c r="F324" s="154">
        <v>30000000000</v>
      </c>
      <c r="G324" s="154">
        <v>60000000000</v>
      </c>
      <c r="H324" s="154">
        <v>90000000</v>
      </c>
    </row>
    <row r="325" spans="1:8" ht="14.4" x14ac:dyDescent="0.3">
      <c r="A325" s="70">
        <v>333</v>
      </c>
      <c r="B325" s="152" t="s">
        <v>863</v>
      </c>
      <c r="C325" s="152" t="s">
        <v>610</v>
      </c>
      <c r="D325" s="153">
        <v>0</v>
      </c>
      <c r="E325" s="154">
        <v>9000000000</v>
      </c>
      <c r="F325" s="154">
        <v>2000000000</v>
      </c>
      <c r="G325" s="154"/>
      <c r="H325" s="154">
        <v>475000000</v>
      </c>
    </row>
    <row r="326" spans="1:8" ht="13.8" x14ac:dyDescent="0.3">
      <c r="A326" s="152">
        <v>334</v>
      </c>
      <c r="B326" s="152" t="s">
        <v>931</v>
      </c>
      <c r="C326" s="152" t="s">
        <v>611</v>
      </c>
      <c r="D326" s="154">
        <v>0</v>
      </c>
      <c r="E326" s="154">
        <v>40000000000</v>
      </c>
      <c r="F326" s="154">
        <v>10000000000</v>
      </c>
      <c r="G326" s="154">
        <v>0</v>
      </c>
      <c r="H326" s="154">
        <v>55000000</v>
      </c>
    </row>
    <row r="327" spans="1:8" ht="13.8" x14ac:dyDescent="0.3">
      <c r="A327" s="152">
        <v>335</v>
      </c>
      <c r="B327" s="152" t="s">
        <v>932</v>
      </c>
      <c r="C327" s="152" t="s">
        <v>612</v>
      </c>
      <c r="D327" s="154">
        <v>30000000000</v>
      </c>
      <c r="E327" s="154">
        <v>0</v>
      </c>
      <c r="F327" s="154">
        <v>10000000000</v>
      </c>
      <c r="G327" s="154">
        <v>30000000000</v>
      </c>
      <c r="H327" s="154">
        <v>30000000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AT15"/>
  <sheetViews>
    <sheetView tabSelected="1" workbookViewId="0"/>
  </sheetViews>
  <sheetFormatPr defaultRowHeight="13.8" x14ac:dyDescent="0.3"/>
  <cols>
    <col min="1" max="1" width="17.88671875" style="151" bestFit="1" customWidth="1"/>
    <col min="2" max="2" width="8" style="151" bestFit="1" customWidth="1"/>
    <col min="3" max="3" width="49.21875" style="151" bestFit="1" customWidth="1"/>
    <col min="4" max="4" width="5.77734375" style="151" bestFit="1" customWidth="1"/>
    <col min="5" max="5" width="5.109375" style="151" bestFit="1" customWidth="1"/>
    <col min="6" max="6" width="5.5546875" style="151" bestFit="1" customWidth="1"/>
    <col min="7" max="7" width="8" style="151" bestFit="1" customWidth="1"/>
    <col min="8" max="8" width="9.109375" style="151" bestFit="1" customWidth="1"/>
    <col min="9" max="9" width="7.6640625" style="151" bestFit="1" customWidth="1"/>
    <col min="10" max="10" width="6.88671875" style="151" bestFit="1" customWidth="1"/>
    <col min="11" max="11" width="12.21875" style="151" bestFit="1" customWidth="1"/>
    <col min="12" max="13" width="17" style="197" bestFit="1" customWidth="1"/>
    <col min="14" max="14" width="7.6640625" style="151" bestFit="1" customWidth="1"/>
    <col min="15" max="15" width="16.44140625" style="151" bestFit="1" customWidth="1"/>
    <col min="16" max="16" width="13.77734375" style="151" bestFit="1" customWidth="1"/>
    <col min="17" max="17" width="13.21875" style="151" bestFit="1" customWidth="1"/>
    <col min="18" max="18" width="8" style="151" bestFit="1" customWidth="1"/>
    <col min="19" max="19" width="7.33203125" style="151" bestFit="1" customWidth="1"/>
    <col min="20" max="20" width="9.21875" style="151" bestFit="1" customWidth="1"/>
    <col min="21" max="21" width="12" style="151" bestFit="1" customWidth="1"/>
    <col min="22" max="22" width="14.21875" style="151" bestFit="1" customWidth="1"/>
    <col min="23" max="23" width="17" style="197" bestFit="1" customWidth="1"/>
    <col min="24" max="24" width="12.88671875" style="151" bestFit="1" customWidth="1"/>
    <col min="25" max="25" width="12.77734375" style="151" bestFit="1" customWidth="1"/>
    <col min="26" max="26" width="13.33203125" style="151" bestFit="1" customWidth="1"/>
    <col min="27" max="27" width="15.44140625" style="151" bestFit="1" customWidth="1"/>
    <col min="28" max="28" width="15.21875" style="151" bestFit="1" customWidth="1"/>
    <col min="29" max="29" width="6.44140625" style="151" bestFit="1" customWidth="1"/>
    <col min="30" max="30" width="9.21875" style="151" bestFit="1" customWidth="1"/>
    <col min="31" max="31" width="16.33203125" style="151" bestFit="1" customWidth="1"/>
    <col min="32" max="32" width="22.33203125" style="151" bestFit="1" customWidth="1"/>
    <col min="33" max="33" width="9.77734375" style="151" bestFit="1" customWidth="1"/>
    <col min="34" max="34" width="17.88671875" style="151" bestFit="1" customWidth="1"/>
    <col min="35" max="35" width="26.6640625" style="151" bestFit="1" customWidth="1"/>
    <col min="36" max="36" width="33.77734375" style="151" bestFit="1" customWidth="1"/>
    <col min="37" max="37" width="17" style="151" bestFit="1" customWidth="1"/>
    <col min="38" max="38" width="21.88671875" style="151" bestFit="1" customWidth="1"/>
    <col min="39" max="39" width="19.6640625" style="151" bestFit="1" customWidth="1"/>
    <col min="40" max="40" width="10.109375" style="151" bestFit="1" customWidth="1"/>
    <col min="41" max="41" width="12.5546875" style="151" bestFit="1" customWidth="1"/>
    <col min="42" max="42" width="14.88671875" style="151" bestFit="1" customWidth="1"/>
    <col min="43" max="43" width="11.88671875" style="151" bestFit="1" customWidth="1"/>
    <col min="44" max="44" width="7.21875" style="151" bestFit="1" customWidth="1"/>
    <col min="45" max="45" width="17.5546875" style="151" bestFit="1" customWidth="1"/>
    <col min="46" max="46" width="6.6640625" style="151" bestFit="1" customWidth="1"/>
    <col min="47" max="16384" width="8.88671875" style="151"/>
  </cols>
  <sheetData>
    <row r="1" spans="1:46" ht="14.4" x14ac:dyDescent="0.3">
      <c r="A1" s="176" t="s">
        <v>6</v>
      </c>
      <c r="B1" s="176" t="s">
        <v>8</v>
      </c>
      <c r="C1" s="176" t="s">
        <v>9</v>
      </c>
      <c r="D1" s="176" t="s">
        <v>11</v>
      </c>
      <c r="E1" s="176" t="s">
        <v>13</v>
      </c>
      <c r="F1" s="176" t="s">
        <v>14</v>
      </c>
      <c r="G1" s="176" t="s">
        <v>15</v>
      </c>
      <c r="H1" s="176" t="s">
        <v>17</v>
      </c>
      <c r="I1" s="176" t="s">
        <v>19</v>
      </c>
      <c r="J1" s="176" t="s">
        <v>21</v>
      </c>
      <c r="K1" s="176" t="s">
        <v>23</v>
      </c>
      <c r="L1" s="208" t="s">
        <v>25</v>
      </c>
      <c r="M1" s="208" t="s">
        <v>27</v>
      </c>
      <c r="N1" s="176" t="s">
        <v>29</v>
      </c>
      <c r="O1" s="176" t="s">
        <v>30</v>
      </c>
      <c r="P1" s="176" t="s">
        <v>32</v>
      </c>
      <c r="Q1" s="176" t="s">
        <v>35</v>
      </c>
      <c r="R1" s="176" t="s">
        <v>37</v>
      </c>
      <c r="S1" s="176" t="s">
        <v>39</v>
      </c>
      <c r="T1" s="176" t="s">
        <v>41</v>
      </c>
      <c r="U1" s="176" t="s">
        <v>44</v>
      </c>
      <c r="V1" s="176" t="s">
        <v>46</v>
      </c>
      <c r="W1" s="208" t="s">
        <v>48</v>
      </c>
      <c r="X1" s="176" t="s">
        <v>50</v>
      </c>
      <c r="Y1" s="176" t="s">
        <v>52</v>
      </c>
      <c r="Z1" s="176" t="s">
        <v>53</v>
      </c>
      <c r="AA1" s="176" t="s">
        <v>55</v>
      </c>
      <c r="AB1" s="176" t="s">
        <v>57</v>
      </c>
      <c r="AC1" s="176" t="s">
        <v>58</v>
      </c>
      <c r="AD1" s="176" t="s">
        <v>59</v>
      </c>
      <c r="AE1" s="176" t="s">
        <v>60</v>
      </c>
      <c r="AF1" s="176" t="s">
        <v>61</v>
      </c>
      <c r="AG1" s="176" t="s">
        <v>62</v>
      </c>
      <c r="AH1" s="176" t="s">
        <v>65</v>
      </c>
      <c r="AI1" s="176" t="s">
        <v>66</v>
      </c>
      <c r="AJ1" s="176" t="s">
        <v>68</v>
      </c>
      <c r="AK1" s="176" t="s">
        <v>69</v>
      </c>
      <c r="AL1" s="176" t="s">
        <v>71</v>
      </c>
      <c r="AM1" s="176" t="s">
        <v>72</v>
      </c>
      <c r="AN1" s="176" t="s">
        <v>73</v>
      </c>
      <c r="AO1" s="176" t="s">
        <v>74</v>
      </c>
      <c r="AP1" s="176" t="s">
        <v>76</v>
      </c>
      <c r="AQ1" s="176" t="s">
        <v>78</v>
      </c>
      <c r="AR1" s="176" t="s">
        <v>79</v>
      </c>
      <c r="AS1" s="176" t="s">
        <v>80</v>
      </c>
      <c r="AT1" s="217" t="s">
        <v>278</v>
      </c>
    </row>
    <row r="2" spans="1:46" ht="14.4" x14ac:dyDescent="0.3">
      <c r="A2" s="151" t="s">
        <v>287</v>
      </c>
      <c r="B2" s="151" t="s">
        <v>288</v>
      </c>
      <c r="C2" s="151" t="str">
        <f>VLOOKUP(K2,'ILS Data pull'!$B$2:$C$327,2,0)</f>
        <v>CB-Baldwin Re Ltd. Series 2023-1 Class A Reset 2025</v>
      </c>
      <c r="D2" s="151" t="str">
        <f t="shared" ref="D2:D15" si="0">MID(C2,FIND("Series",C2)+7,FIND("Class",C2)-FIND("Series",C2)-8)</f>
        <v>2023-1</v>
      </c>
      <c r="E2" s="151" t="str">
        <f t="shared" ref="E2:E15" si="1">IF(ISNUMBER(FIND("Reset",C2)),MID(C2,FIND("Class",C2),FIND("Reset",C2)-FIND("Class",C2)-1),TRIM(MID(C2,FIND("Class",C2),LEN(C2)-FIND("Class",C2)+1)))</f>
        <v>Class A</v>
      </c>
      <c r="F2" s="151" t="str">
        <f t="shared" ref="F2:F15" si="2">IF(ISNUMBER(FIND("Reset",C2)), MID(C2,FIND("Reset",C2)+6,4), "")</f>
        <v>2025</v>
      </c>
      <c r="H2" s="151" t="s">
        <v>149</v>
      </c>
      <c r="I2" s="151" t="str">
        <f>VLOOKUP(K2,'ETF Portfolio'!$A$8:$J$56,10,0)</f>
        <v>Vermont Mutual</v>
      </c>
      <c r="K2" s="151" t="s">
        <v>653</v>
      </c>
      <c r="L2" s="214">
        <v>45105</v>
      </c>
      <c r="M2" s="214">
        <v>46575</v>
      </c>
      <c r="O2" s="151" t="s">
        <v>151</v>
      </c>
      <c r="P2" s="151" cm="1">
        <f t="array" ref="P2:Q2">IFERROR(VLOOKUP(K2,'ILS Data pull'!$B$1:$H$327,{3,5},0),0)</f>
        <v>0</v>
      </c>
      <c r="Q2" s="151">
        <v>300000000</v>
      </c>
      <c r="R2" s="151">
        <f>VLOOKUP(K2,'ETF Portfolio'!$A$8:$V$56,22,0)</f>
        <v>250000</v>
      </c>
      <c r="T2" s="151">
        <f>VLOOKUP(K2,'ETF Portfolio'!$A$8:$U$56,21,0)</f>
        <v>102.2</v>
      </c>
      <c r="U2" s="215">
        <f>VLOOKUP(K2,'ETF Portfolio'!$A$8:$S$56,19,0)</f>
        <v>8.9099999999999999E-2</v>
      </c>
      <c r="V2" s="151" t="str">
        <f>VLOOKUP(K2,'ETF Portfolio'!$A$8:$D$56,4,0)</f>
        <v>Buy</v>
      </c>
      <c r="W2" s="197">
        <f>VLOOKUP(K2,'ETF Portfolio'!$A$8:$E$56,5,0)</f>
        <v>45756</v>
      </c>
      <c r="Z2" s="206">
        <f>R2/VLOOKUP(K2,'ILS Data pull'!$B:$H,7,0)</f>
        <v>2.5000000000000001E-3</v>
      </c>
      <c r="AA2" s="206">
        <f>VLOOKUP(K2,'ETF Portfolio'!$A$8:$R$56,18,0)</f>
        <v>5.043372257801014E-2</v>
      </c>
      <c r="AB2" s="151">
        <v>0</v>
      </c>
      <c r="AC2" s="207">
        <f>VLOOKUP(K2,'ETF Portfolio'!$A$8:$AE$56,31,0)</f>
        <v>8.1303790000000001E-2</v>
      </c>
      <c r="AD2" s="151">
        <v>0</v>
      </c>
      <c r="AE2" s="151">
        <v>0</v>
      </c>
      <c r="AF2" s="151">
        <v>0</v>
      </c>
      <c r="AG2" s="151">
        <v>0</v>
      </c>
      <c r="AH2" s="151">
        <v>0</v>
      </c>
      <c r="AI2" s="197">
        <f t="shared" ref="AI2:AI15" si="3">W2</f>
        <v>45756</v>
      </c>
      <c r="AJ2" s="197">
        <f t="shared" ref="AJ2:AM2" si="4">AI2</f>
        <v>45756</v>
      </c>
      <c r="AK2" s="197">
        <f t="shared" si="4"/>
        <v>45756</v>
      </c>
      <c r="AL2" s="197">
        <f t="shared" si="4"/>
        <v>45756</v>
      </c>
      <c r="AM2" s="197">
        <f t="shared" si="4"/>
        <v>45756</v>
      </c>
      <c r="AN2" s="151" t="str">
        <f>VLOOKUP(K2,'ETF Portfolio'!$A$8:$L$56,12,0)</f>
        <v>Indemnity</v>
      </c>
      <c r="AO2" s="151" t="str">
        <f>VLOOKUP(K2,'ETF Portfolio'!$A$8:$K$56,11,0)</f>
        <v>Occurrence</v>
      </c>
      <c r="AP2" s="151">
        <v>0</v>
      </c>
      <c r="AQ2" s="151">
        <v>0</v>
      </c>
      <c r="AR2" s="151">
        <v>0</v>
      </c>
      <c r="AS2" s="151">
        <v>1</v>
      </c>
      <c r="AT2" s="151">
        <v>23</v>
      </c>
    </row>
    <row r="3" spans="1:46" ht="14.4" x14ac:dyDescent="0.3">
      <c r="A3" s="151" t="s">
        <v>161</v>
      </c>
      <c r="B3" s="151" t="s">
        <v>162</v>
      </c>
      <c r="C3" s="151" t="str">
        <f>VLOOKUP(K3,'ILS Data pull'!$B$2:$C$327,2,0)</f>
        <v>CB-Sanders Re III Ltd. Series 2023-1 Class A Reset 2025</v>
      </c>
      <c r="D3" s="151" t="str">
        <f t="shared" si="0"/>
        <v>2023-1</v>
      </c>
      <c r="E3" s="151" t="str">
        <f t="shared" si="1"/>
        <v>Class A</v>
      </c>
      <c r="F3" s="151" t="str">
        <f t="shared" si="2"/>
        <v>2025</v>
      </c>
      <c r="H3" s="151" t="s">
        <v>149</v>
      </c>
      <c r="I3" s="151" t="str">
        <f>VLOOKUP(K3,'ETF Portfolio'!$A$8:$J$56,10,0)</f>
        <v>AllState</v>
      </c>
      <c r="K3" s="151" t="s">
        <v>677</v>
      </c>
      <c r="L3" s="214">
        <v>45016</v>
      </c>
      <c r="M3" s="214">
        <v>46484</v>
      </c>
      <c r="O3" s="151" t="s">
        <v>151</v>
      </c>
      <c r="P3" s="151" cm="1">
        <f t="array" ref="P3:Q3">IFERROR(VLOOKUP(K3,'ILS Data pull'!$B$1:$H$327,{3,5},0),0)</f>
        <v>0</v>
      </c>
      <c r="Q3" s="151">
        <v>750000000</v>
      </c>
      <c r="R3" s="151">
        <f>VLOOKUP(K3,'ETF Portfolio'!$A$8:$V$56,22,0)</f>
        <v>250000</v>
      </c>
      <c r="T3" s="151">
        <f>VLOOKUP(K3,'ETF Portfolio'!$A$8:$U$56,21,0)</f>
        <v>102.6</v>
      </c>
      <c r="U3" s="215">
        <f>VLOOKUP(K3,'ETF Portfolio'!$A$8:$S$56,19,0)</f>
        <v>9.3299999999999994E-2</v>
      </c>
      <c r="V3" s="151" t="str">
        <f>VLOOKUP(K3,'ETF Portfolio'!$A$8:$D$56,4,0)</f>
        <v>Buy</v>
      </c>
      <c r="W3" s="197">
        <f>VLOOKUP(K3,'ETF Portfolio'!$A$8:$E$56,5,0)</f>
        <v>45756</v>
      </c>
      <c r="Z3" s="206">
        <f>R3/VLOOKUP(K3,'ILS Data pull'!$B:$H,7,0)</f>
        <v>2.5000000000000001E-3</v>
      </c>
      <c r="AA3" s="206">
        <f>VLOOKUP(K3,'ETF Portfolio'!$A$8:$R$56,18,0)</f>
        <v>5.4596636649696828E-2</v>
      </c>
      <c r="AB3" s="151">
        <v>0</v>
      </c>
      <c r="AC3" s="207">
        <f>VLOOKUP(K3,'ETF Portfolio'!$A$8:$AE$56,31,0)</f>
        <v>8.2204429999999995E-2</v>
      </c>
      <c r="AD3" s="151">
        <v>0</v>
      </c>
      <c r="AE3" s="151">
        <v>0</v>
      </c>
      <c r="AF3" s="151">
        <v>0</v>
      </c>
      <c r="AG3" s="151">
        <v>0</v>
      </c>
      <c r="AH3" s="151">
        <v>0</v>
      </c>
      <c r="AI3" s="197">
        <f t="shared" si="3"/>
        <v>45756</v>
      </c>
      <c r="AJ3" s="197">
        <f t="shared" ref="AJ3:AM3" si="5">AI3</f>
        <v>45756</v>
      </c>
      <c r="AK3" s="197">
        <f t="shared" si="5"/>
        <v>45756</v>
      </c>
      <c r="AL3" s="197">
        <f t="shared" si="5"/>
        <v>45756</v>
      </c>
      <c r="AM3" s="197">
        <f t="shared" si="5"/>
        <v>45756</v>
      </c>
      <c r="AN3" s="151" t="str">
        <f>VLOOKUP(K3,'ETF Portfolio'!$A$8:$L$56,12,0)</f>
        <v>Indemnity</v>
      </c>
      <c r="AO3" s="151" t="str">
        <f>VLOOKUP(K3,'ETF Portfolio'!$A$8:$K$56,11,0)</f>
        <v>Occurrence</v>
      </c>
      <c r="AP3" s="151">
        <v>0</v>
      </c>
      <c r="AQ3" s="151">
        <v>0</v>
      </c>
      <c r="AR3" s="151">
        <v>0</v>
      </c>
      <c r="AS3" s="151">
        <v>1</v>
      </c>
      <c r="AT3" s="151">
        <v>23</v>
      </c>
    </row>
    <row r="4" spans="1:46" ht="14.4" x14ac:dyDescent="0.3">
      <c r="A4" s="151" t="s">
        <v>165</v>
      </c>
      <c r="B4" s="151" t="s">
        <v>166</v>
      </c>
      <c r="C4" s="151" t="str">
        <f>VLOOKUP(K4,'ILS Data pull'!$B$2:$C$327,2,0)</f>
        <v>CB-Gateway Re Ltd. Series 2025-1 Class C2</v>
      </c>
      <c r="D4" s="151" t="str">
        <f t="shared" si="0"/>
        <v>2025-1</v>
      </c>
      <c r="E4" s="151" t="str">
        <f t="shared" si="1"/>
        <v>Class C2</v>
      </c>
      <c r="F4" s="151" t="str">
        <f t="shared" si="2"/>
        <v/>
      </c>
      <c r="H4" s="151" t="s">
        <v>149</v>
      </c>
      <c r="I4" s="151" t="str">
        <f>VLOOKUP(K4,'ETF Portfolio'!$A$8:$J$56,10,0)</f>
        <v>SageSure</v>
      </c>
      <c r="K4" s="151" t="s">
        <v>670</v>
      </c>
      <c r="L4" s="214">
        <v>45630</v>
      </c>
      <c r="M4" s="214">
        <v>46762</v>
      </c>
      <c r="O4" s="151" t="s">
        <v>151</v>
      </c>
      <c r="P4" s="151" cm="1">
        <f t="array" ref="P4:Q4">IFERROR(VLOOKUP(K4,'ILS Data pull'!$B$1:$H$327,{3,5},0),0)</f>
        <v>200000000</v>
      </c>
      <c r="Q4" s="151">
        <v>200000000</v>
      </c>
      <c r="R4" s="151">
        <f>VLOOKUP(K4,'ETF Portfolio'!$A$8:$V$56,22,0)</f>
        <v>250000</v>
      </c>
      <c r="T4" s="151">
        <f>VLOOKUP(K4,'ETF Portfolio'!$A$8:$U$56,21,0)</f>
        <v>100.1</v>
      </c>
      <c r="U4" s="215">
        <f>VLOOKUP(K4,'ETF Portfolio'!$A$8:$S$56,19,0)</f>
        <v>0.13300719976425171</v>
      </c>
      <c r="V4" s="151" t="str">
        <f>VLOOKUP(K4,'ETF Portfolio'!$A$8:$D$56,4,0)</f>
        <v>Buy</v>
      </c>
      <c r="W4" s="197">
        <f>VLOOKUP(K4,'ETF Portfolio'!$A$8:$E$56,5,0)</f>
        <v>45758</v>
      </c>
      <c r="Z4" s="206">
        <f>R4/VLOOKUP(K4,'ILS Data pull'!$B:$H,7,0)</f>
        <v>1.6666666666666668E-3</v>
      </c>
      <c r="AA4" s="206">
        <f>VLOOKUP(K4,'ETF Portfolio'!$A$8:$R$56,18,0)</f>
        <v>9.4927510994515976E-2</v>
      </c>
      <c r="AB4" s="151">
        <v>0</v>
      </c>
      <c r="AC4" s="207">
        <f>VLOOKUP(K4,'ETF Portfolio'!$A$8:$AE$56,31,0)</f>
        <v>0.13239720999999999</v>
      </c>
      <c r="AD4" s="151">
        <v>0</v>
      </c>
      <c r="AE4" s="151">
        <v>0</v>
      </c>
      <c r="AF4" s="151">
        <v>0</v>
      </c>
      <c r="AG4" s="151">
        <v>0</v>
      </c>
      <c r="AH4" s="151">
        <v>0</v>
      </c>
      <c r="AI4" s="197">
        <f t="shared" si="3"/>
        <v>45758</v>
      </c>
      <c r="AJ4" s="197">
        <f t="shared" ref="AJ4:AM4" si="6">AI4</f>
        <v>45758</v>
      </c>
      <c r="AK4" s="197">
        <f t="shared" si="6"/>
        <v>45758</v>
      </c>
      <c r="AL4" s="197">
        <f t="shared" si="6"/>
        <v>45758</v>
      </c>
      <c r="AM4" s="197">
        <f t="shared" si="6"/>
        <v>45758</v>
      </c>
      <c r="AN4" s="151" t="str">
        <f>VLOOKUP(K4,'ETF Portfolio'!$A$8:$L$56,12,0)</f>
        <v>Indemnity</v>
      </c>
      <c r="AO4" s="151" t="str">
        <f>VLOOKUP(K4,'ETF Portfolio'!$A$8:$K$56,11,0)</f>
        <v>Occ (2nd event)</v>
      </c>
      <c r="AP4" s="151">
        <v>0</v>
      </c>
      <c r="AQ4" s="151">
        <v>0</v>
      </c>
      <c r="AR4" s="151">
        <v>0</v>
      </c>
      <c r="AS4" s="151">
        <v>1</v>
      </c>
      <c r="AT4" s="151">
        <v>23</v>
      </c>
    </row>
    <row r="5" spans="1:46" ht="14.4" x14ac:dyDescent="0.3">
      <c r="A5" s="151" t="s">
        <v>293</v>
      </c>
      <c r="B5" s="151" t="s">
        <v>294</v>
      </c>
      <c r="C5" s="151" t="str">
        <f>VLOOKUP(K5,'ILS Data pull'!$B$2:$C$327,2,0)</f>
        <v>CB-Aragonite Re Ltd. Series 2024-1 Class A Reset 2025</v>
      </c>
      <c r="D5" s="151" t="str">
        <f t="shared" si="0"/>
        <v>2024-1</v>
      </c>
      <c r="E5" s="151" t="str">
        <f t="shared" si="1"/>
        <v>Class A</v>
      </c>
      <c r="F5" s="151" t="str">
        <f t="shared" si="2"/>
        <v>2025</v>
      </c>
      <c r="H5" s="151" t="s">
        <v>149</v>
      </c>
      <c r="I5" s="151" t="str">
        <f>VLOOKUP(K5,'ETF Portfolio'!$A$8:$J$56,10,0)</f>
        <v>Brookfield Property</v>
      </c>
      <c r="K5" s="151" t="s">
        <v>715</v>
      </c>
      <c r="L5" s="214">
        <v>45391</v>
      </c>
      <c r="M5" s="214">
        <v>46545</v>
      </c>
      <c r="O5" s="151" t="s">
        <v>151</v>
      </c>
      <c r="P5" s="151" cm="1">
        <f t="array" ref="P5:Q5">IFERROR(VLOOKUP(K5,'ILS Data pull'!$B$1:$H$327,{3,5},0),0)</f>
        <v>0</v>
      </c>
      <c r="Q5" s="151">
        <v>250000000</v>
      </c>
      <c r="R5" s="151">
        <f>VLOOKUP(K5,'ETF Portfolio'!$A$8:$V$56,22,0)</f>
        <v>250000</v>
      </c>
      <c r="T5" s="151">
        <f>VLOOKUP(K5,'ETF Portfolio'!$A$8:$U$56,21,0)</f>
        <v>103.85</v>
      </c>
      <c r="U5" s="215">
        <f>VLOOKUP(K5,'ETF Portfolio'!$A$8:$S$56,19,0)</f>
        <v>9.3284540000000013E-2</v>
      </c>
      <c r="V5" s="151" t="str">
        <f>VLOOKUP(K5,'ETF Portfolio'!$A$8:$D$56,4,0)</f>
        <v>Buy</v>
      </c>
      <c r="W5" s="197">
        <f>VLOOKUP(K5,'ETF Portfolio'!$A$8:$E$56,5,0)</f>
        <v>45763</v>
      </c>
      <c r="Z5" s="206">
        <f>R5/VLOOKUP(K5,'ILS Data pull'!$B:$H,7,0)</f>
        <v>2.5000000000000001E-3</v>
      </c>
      <c r="AA5" s="206">
        <f>VLOOKUP(K5,'ETF Portfolio'!$A$8:$R$56,18,0)</f>
        <v>5.4392210302525223E-2</v>
      </c>
      <c r="AB5" s="151">
        <v>0</v>
      </c>
      <c r="AC5" s="207">
        <f>VLOOKUP(K5,'ETF Portfolio'!$A$8:$AE$56,31,0)</f>
        <v>7.525358E-2</v>
      </c>
      <c r="AD5" s="151">
        <v>0</v>
      </c>
      <c r="AE5" s="151">
        <v>0</v>
      </c>
      <c r="AF5" s="151">
        <v>0</v>
      </c>
      <c r="AG5" s="151">
        <v>0</v>
      </c>
      <c r="AH5" s="151">
        <v>0</v>
      </c>
      <c r="AI5" s="197">
        <f t="shared" si="3"/>
        <v>45763</v>
      </c>
      <c r="AJ5" s="197">
        <f t="shared" ref="AJ5:AM5" si="7">AI5</f>
        <v>45763</v>
      </c>
      <c r="AK5" s="197">
        <f t="shared" si="7"/>
        <v>45763</v>
      </c>
      <c r="AL5" s="197">
        <f t="shared" si="7"/>
        <v>45763</v>
      </c>
      <c r="AM5" s="197">
        <f t="shared" si="7"/>
        <v>45763</v>
      </c>
      <c r="AN5" s="151" t="str">
        <f>VLOOKUP(K5,'ETF Portfolio'!$A$8:$L$56,12,0)</f>
        <v>Indemnity</v>
      </c>
      <c r="AO5" s="151" t="str">
        <f>VLOOKUP(K5,'ETF Portfolio'!$A$8:$K$56,11,0)</f>
        <v>Occurrence</v>
      </c>
      <c r="AP5" s="151">
        <v>0</v>
      </c>
      <c r="AQ5" s="151">
        <v>0</v>
      </c>
      <c r="AR5" s="151">
        <v>0</v>
      </c>
      <c r="AS5" s="151">
        <v>1</v>
      </c>
      <c r="AT5" s="151">
        <v>23</v>
      </c>
    </row>
    <row r="6" spans="1:46" ht="14.4" x14ac:dyDescent="0.3">
      <c r="A6" s="151" t="s">
        <v>297</v>
      </c>
      <c r="B6" s="151" t="s">
        <v>298</v>
      </c>
      <c r="C6" s="151" t="str">
        <f>VLOOKUP(K6,'ILS Data pull'!$B$2:$C$327,2,0)</f>
        <v>CB-Commonwealth Re Ltd. Series 2023-1 Class A Reset 2025</v>
      </c>
      <c r="D6" s="151" t="str">
        <f t="shared" si="0"/>
        <v>2023-1</v>
      </c>
      <c r="E6" s="151" t="str">
        <f t="shared" si="1"/>
        <v>Class A</v>
      </c>
      <c r="F6" s="151" t="str">
        <f t="shared" si="2"/>
        <v>2025</v>
      </c>
      <c r="H6" s="151" t="s">
        <v>149</v>
      </c>
      <c r="I6" s="151" t="str">
        <f>VLOOKUP(K6,'ETF Portfolio'!$A$8:$J$56,10,0)</f>
        <v>Hannover Insurance</v>
      </c>
      <c r="K6" s="151" t="s">
        <v>829</v>
      </c>
      <c r="L6" s="214">
        <v>45104</v>
      </c>
      <c r="M6" s="214">
        <v>46332</v>
      </c>
      <c r="O6" s="151" t="s">
        <v>151</v>
      </c>
      <c r="P6" s="151" cm="1">
        <f t="array" ref="P6:Q6">IFERROR(VLOOKUP(K6,'ILS Data pull'!$B$1:$H$327,{3,5},0),0)</f>
        <v>0</v>
      </c>
      <c r="Q6" s="151">
        <v>150000000</v>
      </c>
      <c r="R6" s="151">
        <f>VLOOKUP(K6,'ETF Portfolio'!$A$8:$V$56,22,0)</f>
        <v>250000</v>
      </c>
      <c r="T6" s="151">
        <f>VLOOKUP(K6,'ETF Portfolio'!$A$8:$U$56,21,0)</f>
        <v>101.15</v>
      </c>
      <c r="U6" s="215">
        <f>VLOOKUP(K6,'ETF Portfolio'!$A$8:$S$56,19,0)</f>
        <v>7.7850000000000003E-2</v>
      </c>
      <c r="V6" s="151" t="str">
        <f>VLOOKUP(K6,'ETF Portfolio'!$A$8:$D$56,4,0)</f>
        <v>Buy</v>
      </c>
      <c r="W6" s="197">
        <f>VLOOKUP(K6,'ETF Portfolio'!$A$8:$E$56,5,0)</f>
        <v>45775</v>
      </c>
      <c r="Z6" s="206">
        <f>R6/VLOOKUP(K6,'ILS Data pull'!$B:$H,7,0)</f>
        <v>1.6666666666666668E-3</v>
      </c>
      <c r="AA6" s="206">
        <f>VLOOKUP(K6,'ETF Portfolio'!$A$8:$R$56,18,0)</f>
        <v>3.8080443805377992E-2</v>
      </c>
      <c r="AB6" s="151">
        <v>0</v>
      </c>
      <c r="AC6" s="207">
        <f>VLOOKUP(K6,'ETF Portfolio'!$A$8:$AE$56,31,0)</f>
        <v>6.9939169999999995E-2</v>
      </c>
      <c r="AD6" s="151">
        <v>0</v>
      </c>
      <c r="AE6" s="151">
        <v>0</v>
      </c>
      <c r="AF6" s="151">
        <v>0</v>
      </c>
      <c r="AG6" s="151">
        <v>0</v>
      </c>
      <c r="AH6" s="151">
        <v>0</v>
      </c>
      <c r="AI6" s="197">
        <f t="shared" si="3"/>
        <v>45775</v>
      </c>
      <c r="AJ6" s="197">
        <f t="shared" ref="AJ6:AM6" si="8">AI6</f>
        <v>45775</v>
      </c>
      <c r="AK6" s="197">
        <f t="shared" si="8"/>
        <v>45775</v>
      </c>
      <c r="AL6" s="197">
        <f t="shared" si="8"/>
        <v>45775</v>
      </c>
      <c r="AM6" s="197">
        <f t="shared" si="8"/>
        <v>45775</v>
      </c>
      <c r="AN6" s="151" t="str">
        <f>VLOOKUP(K6,'ETF Portfolio'!$A$8:$L$56,12,0)</f>
        <v>Indemnity</v>
      </c>
      <c r="AO6" s="151" t="str">
        <f>VLOOKUP(K6,'ETF Portfolio'!$A$8:$K$56,11,0)</f>
        <v>Occurrence</v>
      </c>
      <c r="AP6" s="151">
        <v>0</v>
      </c>
      <c r="AQ6" s="151">
        <v>0</v>
      </c>
      <c r="AR6" s="151">
        <v>0</v>
      </c>
      <c r="AS6" s="151">
        <v>1</v>
      </c>
      <c r="AT6" s="151">
        <v>23</v>
      </c>
    </row>
    <row r="7" spans="1:46" ht="14.4" x14ac:dyDescent="0.3">
      <c r="A7" s="151" t="s">
        <v>300</v>
      </c>
      <c r="B7" s="151" t="s">
        <v>301</v>
      </c>
      <c r="C7" s="151" t="str">
        <f>VLOOKUP(K7,'ILS Data pull'!$B$2:$C$327,2,0)</f>
        <v>CB-Wrigley Re Ltd. Series 2023-1 Class A Reset 2025</v>
      </c>
      <c r="D7" s="151" t="str">
        <f t="shared" si="0"/>
        <v>2023-1</v>
      </c>
      <c r="E7" s="151" t="str">
        <f t="shared" si="1"/>
        <v>Class A</v>
      </c>
      <c r="F7" s="151" t="str">
        <f t="shared" si="2"/>
        <v>2025</v>
      </c>
      <c r="H7" s="151" t="s">
        <v>149</v>
      </c>
      <c r="I7" s="151" t="str">
        <f>VLOOKUP(K7,'ETF Portfolio'!$A$8:$J$56,10,0)</f>
        <v>Gryphon Mutual (Blackstone)</v>
      </c>
      <c r="K7" s="151" t="s">
        <v>873</v>
      </c>
      <c r="L7" s="214">
        <v>45287</v>
      </c>
      <c r="M7" s="214">
        <v>46395</v>
      </c>
      <c r="O7" s="151" t="s">
        <v>151</v>
      </c>
      <c r="P7" s="151" cm="1">
        <f t="array" ref="P7:Q7">IFERROR(VLOOKUP(K7,'ILS Data pull'!$B$1:$H$327,{3,5},0),0)</f>
        <v>0</v>
      </c>
      <c r="Q7" s="151">
        <v>300000000</v>
      </c>
      <c r="R7" s="151">
        <f>VLOOKUP(K7,'ETF Portfolio'!$A$8:$V$56,22,0)</f>
        <v>250000</v>
      </c>
      <c r="T7" s="151">
        <f>VLOOKUP(K7,'ETF Portfolio'!$A$8:$U$56,21,0)</f>
        <v>101.95</v>
      </c>
      <c r="U7" s="215">
        <f>VLOOKUP(K7,'ETF Portfolio'!$A$8:$S$56,19,0)</f>
        <v>0.1008</v>
      </c>
      <c r="V7" s="151" t="str">
        <f>VLOOKUP(K7,'ETF Portfolio'!$A$8:$D$56,4,0)</f>
        <v>Buy</v>
      </c>
      <c r="W7" s="197">
        <f>VLOOKUP(K7,'ETF Portfolio'!$A$8:$E$56,5,0)</f>
        <v>45777</v>
      </c>
      <c r="Z7" s="206">
        <f>R7/VLOOKUP(K7,'ILS Data pull'!$B:$H,7,0)</f>
        <v>2.5000000000000001E-3</v>
      </c>
      <c r="AA7" s="206">
        <f>VLOOKUP(K7,'ETF Portfolio'!$A$8:$R$56,18,0)</f>
        <v>6.1675746667E-2</v>
      </c>
      <c r="AB7" s="151">
        <v>0</v>
      </c>
      <c r="AC7" s="207">
        <f>VLOOKUP(K7,'ETF Portfolio'!$A$8:$AE$56,31,0)</f>
        <v>8.6950429999999995E-2</v>
      </c>
      <c r="AD7" s="151">
        <v>0</v>
      </c>
      <c r="AE7" s="151">
        <v>0</v>
      </c>
      <c r="AF7" s="151">
        <v>0</v>
      </c>
      <c r="AG7" s="151">
        <v>0</v>
      </c>
      <c r="AH7" s="151">
        <v>0</v>
      </c>
      <c r="AI7" s="197">
        <f t="shared" si="3"/>
        <v>45777</v>
      </c>
      <c r="AJ7" s="197">
        <f t="shared" ref="AJ7:AM7" si="9">AI7</f>
        <v>45777</v>
      </c>
      <c r="AK7" s="197">
        <f t="shared" si="9"/>
        <v>45777</v>
      </c>
      <c r="AL7" s="197">
        <f t="shared" si="9"/>
        <v>45777</v>
      </c>
      <c r="AM7" s="197">
        <f t="shared" si="9"/>
        <v>45777</v>
      </c>
      <c r="AN7" s="151" t="str">
        <f>VLOOKUP(K7,'ETF Portfolio'!$A$8:$L$56,12,0)</f>
        <v>Indemnity</v>
      </c>
      <c r="AO7" s="151" t="str">
        <f>VLOOKUP(K7,'ETF Portfolio'!$A$8:$K$56,11,0)</f>
        <v>Occurrence</v>
      </c>
      <c r="AP7" s="151">
        <v>0</v>
      </c>
      <c r="AQ7" s="151">
        <v>0</v>
      </c>
      <c r="AR7" s="151">
        <v>0</v>
      </c>
      <c r="AS7" s="151">
        <v>1</v>
      </c>
      <c r="AT7" s="151">
        <v>23</v>
      </c>
    </row>
    <row r="8" spans="1:46" ht="14.4" x14ac:dyDescent="0.3">
      <c r="A8" s="151" t="s">
        <v>303</v>
      </c>
      <c r="B8" s="151" t="s">
        <v>304</v>
      </c>
      <c r="C8" s="151" t="str">
        <f>VLOOKUP(K8,'ILS Data pull'!$B$2:$C$327,2,0)</f>
        <v>CB-Charles River Re Ltd. Series 2024-1 Class A Reset 2025</v>
      </c>
      <c r="D8" s="151" t="str">
        <f t="shared" si="0"/>
        <v>2024-1</v>
      </c>
      <c r="E8" s="151" t="str">
        <f t="shared" si="1"/>
        <v>Class A</v>
      </c>
      <c r="F8" s="151" t="str">
        <f t="shared" si="2"/>
        <v>2025</v>
      </c>
      <c r="H8" s="151" t="s">
        <v>149</v>
      </c>
      <c r="I8" s="151" t="str">
        <f>VLOOKUP(K8,'ETF Portfolio'!$A$8:$J$56,10,0)</f>
        <v xml:space="preserve">American European Insurance </v>
      </c>
      <c r="K8" s="151" t="s">
        <v>814</v>
      </c>
      <c r="L8" s="214">
        <v>45287</v>
      </c>
      <c r="M8" s="214">
        <v>46395</v>
      </c>
      <c r="O8" s="151" t="s">
        <v>151</v>
      </c>
      <c r="P8" s="151" cm="1">
        <f t="array" ref="P8:Q8">IFERROR(VLOOKUP(K8,'ILS Data pull'!$B$1:$H$327,{3,5},0),0)</f>
        <v>0</v>
      </c>
      <c r="Q8" s="151">
        <v>125000000</v>
      </c>
      <c r="R8" s="151">
        <f>VLOOKUP(K8,'ETF Portfolio'!$A$8:$V$56,22,0)</f>
        <v>250000</v>
      </c>
      <c r="T8" s="151">
        <f>VLOOKUP(K8,'ETF Portfolio'!$A$8:$U$56,21,0)</f>
        <v>102</v>
      </c>
      <c r="U8" s="215">
        <f>VLOOKUP(K8,'ETF Portfolio'!$A$8:$S$56,19,0)</f>
        <v>0.11502000000000001</v>
      </c>
      <c r="V8" s="151" t="str">
        <f>VLOOKUP(K8,'ETF Portfolio'!$A$8:$D$56,4,0)</f>
        <v>Buy</v>
      </c>
      <c r="W8" s="197">
        <f>VLOOKUP(K8,'ETF Portfolio'!$A$8:$E$56,5,0)</f>
        <v>45777</v>
      </c>
      <c r="Z8" s="206">
        <f>R8/VLOOKUP(K8,'ILS Data pull'!$B:$H,7,0)</f>
        <v>2E-3</v>
      </c>
      <c r="AA8" s="206">
        <f>VLOOKUP(K8,'ETF Portfolio'!$A$8:$R$56,18,0)</f>
        <v>7.6310288765853801E-2</v>
      </c>
      <c r="AB8" s="151">
        <v>0</v>
      </c>
      <c r="AC8" s="207">
        <f>VLOOKUP(K8,'ETF Portfolio'!$A$8:$AE$56,31,0)</f>
        <v>0.10692273999999999</v>
      </c>
      <c r="AD8" s="151">
        <v>0</v>
      </c>
      <c r="AE8" s="151">
        <v>0</v>
      </c>
      <c r="AF8" s="151">
        <v>0</v>
      </c>
      <c r="AG8" s="151">
        <v>0</v>
      </c>
      <c r="AH8" s="151">
        <v>0</v>
      </c>
      <c r="AI8" s="197">
        <f t="shared" si="3"/>
        <v>45777</v>
      </c>
      <c r="AJ8" s="197">
        <f t="shared" ref="AJ8:AM8" si="10">AI8</f>
        <v>45777</v>
      </c>
      <c r="AK8" s="197">
        <f t="shared" si="10"/>
        <v>45777</v>
      </c>
      <c r="AL8" s="197">
        <f t="shared" si="10"/>
        <v>45777</v>
      </c>
      <c r="AM8" s="197">
        <f t="shared" si="10"/>
        <v>45777</v>
      </c>
      <c r="AN8" s="151" t="str">
        <f>VLOOKUP(K8,'ETF Portfolio'!$A$8:$L$56,12,0)</f>
        <v>Indemnity</v>
      </c>
      <c r="AO8" s="151" t="str">
        <f>VLOOKUP(K8,'ETF Portfolio'!$A$8:$K$56,11,0)</f>
        <v>Occurrence</v>
      </c>
      <c r="AP8" s="151">
        <v>0</v>
      </c>
      <c r="AQ8" s="151">
        <v>0</v>
      </c>
      <c r="AR8" s="151">
        <v>0</v>
      </c>
      <c r="AS8" s="151">
        <v>1</v>
      </c>
      <c r="AT8" s="151">
        <v>23</v>
      </c>
    </row>
    <row r="9" spans="1:46" ht="14.4" x14ac:dyDescent="0.3">
      <c r="A9" s="151" t="s">
        <v>308</v>
      </c>
      <c r="B9" s="151" t="s">
        <v>309</v>
      </c>
      <c r="C9" s="151" t="str">
        <f>VLOOKUP(K9,'ILS Data pull'!$B$2:$C$327,2,0)</f>
        <v>CB-Alamo Re Ltd. Series 2023-1 Class A Reset 2025</v>
      </c>
      <c r="D9" s="151" t="str">
        <f t="shared" si="0"/>
        <v>2023-1</v>
      </c>
      <c r="E9" s="151" t="str">
        <f t="shared" si="1"/>
        <v>Class A</v>
      </c>
      <c r="F9" s="151" t="str">
        <f t="shared" si="2"/>
        <v>2025</v>
      </c>
      <c r="H9" s="151" t="s">
        <v>149</v>
      </c>
      <c r="I9" s="151" t="str">
        <f>VLOOKUP(K9,'ETF Portfolio'!$A$8:$J$56,10,0)</f>
        <v>TWIA</v>
      </c>
      <c r="K9" s="151" t="s">
        <v>883</v>
      </c>
      <c r="L9" s="214">
        <v>45393</v>
      </c>
      <c r="M9" s="214">
        <v>46517</v>
      </c>
      <c r="O9" s="151" t="s">
        <v>151</v>
      </c>
      <c r="P9" s="151" cm="1">
        <f t="array" ref="P9:Q9">IFERROR(VLOOKUP(K9,'ILS Data pull'!$B$1:$H$327,{3,5},0),0)</f>
        <v>0</v>
      </c>
      <c r="Q9" s="151">
        <v>1000000000</v>
      </c>
      <c r="R9" s="151">
        <f>VLOOKUP(K9,'ETF Portfolio'!$A$8:$V$56,22,0)</f>
        <v>250000</v>
      </c>
      <c r="T9" s="151">
        <f>VLOOKUP(K9,'ETF Portfolio'!$A$8:$U$56,21,0)</f>
        <v>102.5</v>
      </c>
      <c r="U9" s="215">
        <f>VLOOKUP(K9,'ETF Portfolio'!$A$8:$S$56,19,0)</f>
        <v>0.1293</v>
      </c>
      <c r="V9" s="151" t="str">
        <f>VLOOKUP(K9,'ETF Portfolio'!$A$8:$D$56,4,0)</f>
        <v>Buy</v>
      </c>
      <c r="W9" s="197">
        <f>VLOOKUP(K9,'ETF Portfolio'!$A$8:$E$56,5,0)</f>
        <v>45789</v>
      </c>
      <c r="Z9" s="206">
        <f>R9/VLOOKUP(K9,'ILS Data pull'!$B:$H,7,0)</f>
        <v>5.0000000000000001E-4</v>
      </c>
      <c r="AA9" s="206">
        <f>VLOOKUP(K9,'ETF Portfolio'!$A$8:$R$56,18,0)</f>
        <v>9.0571397299765224E-2</v>
      </c>
      <c r="AB9" s="151">
        <v>0</v>
      </c>
      <c r="AC9" s="207">
        <f>VLOOKUP(K9,'ETF Portfolio'!$A$8:$AE$56,31,0)</f>
        <v>0.10738033</v>
      </c>
      <c r="AD9" s="151">
        <v>0</v>
      </c>
      <c r="AE9" s="151">
        <v>0</v>
      </c>
      <c r="AF9" s="151">
        <v>0</v>
      </c>
      <c r="AG9" s="151">
        <v>0</v>
      </c>
      <c r="AH9" s="151">
        <v>0</v>
      </c>
      <c r="AI9" s="197">
        <f t="shared" si="3"/>
        <v>45789</v>
      </c>
      <c r="AJ9" s="197">
        <f t="shared" ref="AJ9:AM9" si="11">AI9</f>
        <v>45789</v>
      </c>
      <c r="AK9" s="197">
        <f t="shared" si="11"/>
        <v>45789</v>
      </c>
      <c r="AL9" s="197">
        <f t="shared" si="11"/>
        <v>45789</v>
      </c>
      <c r="AM9" s="197">
        <f t="shared" si="11"/>
        <v>45789</v>
      </c>
      <c r="AN9" s="151" t="str">
        <f>VLOOKUP(K9,'ETF Portfolio'!$A$8:$L$56,12,0)</f>
        <v>Indemnity</v>
      </c>
      <c r="AO9" s="151" t="str">
        <f>VLOOKUP(K9,'ETF Portfolio'!$A$8:$K$56,11,0)</f>
        <v>Aggregate</v>
      </c>
      <c r="AP9" s="151">
        <v>0</v>
      </c>
      <c r="AQ9" s="151">
        <v>0</v>
      </c>
      <c r="AR9" s="151">
        <v>0</v>
      </c>
      <c r="AS9" s="151">
        <v>1</v>
      </c>
      <c r="AT9" s="151">
        <v>24</v>
      </c>
    </row>
    <row r="10" spans="1:46" ht="14.4" x14ac:dyDescent="0.3">
      <c r="A10" s="151" t="s">
        <v>1153</v>
      </c>
      <c r="B10" s="151" t="s">
        <v>1154</v>
      </c>
      <c r="C10" s="151" t="str">
        <f>VLOOKUP(K10,'ILS Data pull'!$B$2:$C$327,2,0)</f>
        <v>CB-Titania Re Ltd. Series 2023-1 Class A Reset 2025</v>
      </c>
      <c r="D10" s="151" t="str">
        <f t="shared" si="0"/>
        <v>2023-1</v>
      </c>
      <c r="E10" s="151" t="str">
        <f t="shared" si="1"/>
        <v>Class A</v>
      </c>
      <c r="F10" s="151" t="str">
        <f t="shared" si="2"/>
        <v>2025</v>
      </c>
      <c r="H10" s="151" t="s">
        <v>149</v>
      </c>
      <c r="I10" s="151" t="str">
        <f>VLOOKUP(K10,'ETF Portfolio'!$A$8:$J$56,10,0)</f>
        <v>Ariel Re</v>
      </c>
      <c r="K10" s="151" t="s">
        <v>907</v>
      </c>
      <c r="L10" s="214">
        <v>45009</v>
      </c>
      <c r="M10" s="214">
        <v>46112</v>
      </c>
      <c r="O10" s="151" t="s">
        <v>151</v>
      </c>
      <c r="P10" s="151" cm="1">
        <f t="array" ref="P10:Q10">IFERROR(VLOOKUP(K10,'ILS Data pull'!$B$1:$H$327,{3,5},0),0)</f>
        <v>0</v>
      </c>
      <c r="Q10" s="151">
        <v>250000000</v>
      </c>
      <c r="R10" s="151">
        <f>VLOOKUP(K10,'ETF Portfolio'!$A$8:$V$56,22,0)</f>
        <v>250000</v>
      </c>
      <c r="T10" s="151">
        <f>VLOOKUP(K10,'ETF Portfolio'!$A$8:$U$56,21,0)</f>
        <v>103.75</v>
      </c>
      <c r="U10" s="215">
        <f>VLOOKUP(K10,'ETF Portfolio'!$A$8:$S$56,19,0)</f>
        <v>0.16990000000000002</v>
      </c>
      <c r="V10" s="151" t="str">
        <f>VLOOKUP(K10,'ETF Portfolio'!$A$8:$D$56,4,0)</f>
        <v>Buy</v>
      </c>
      <c r="W10" s="197">
        <f>VLOOKUP(K10,'ETF Portfolio'!$A$8:$E$56,5,0)</f>
        <v>45793</v>
      </c>
      <c r="Z10" s="206">
        <f>R10/VLOOKUP(K10,'ILS Data pull'!$B:$H,7,0)</f>
        <v>3.3333333333333335E-3</v>
      </c>
      <c r="AA10" s="206">
        <f>VLOOKUP(K10,'ETF Portfolio'!$A$8:$R$56,18,0)</f>
        <v>0.132287509645</v>
      </c>
      <c r="AB10" s="151">
        <v>0</v>
      </c>
      <c r="AC10" s="207">
        <f>VLOOKUP(K10,'ETF Portfolio'!$A$8:$AE$56,31,0)</f>
        <v>0.12294791999999999</v>
      </c>
      <c r="AD10" s="151">
        <v>0</v>
      </c>
      <c r="AE10" s="151">
        <v>0</v>
      </c>
      <c r="AF10" s="151">
        <v>0</v>
      </c>
      <c r="AG10" s="151">
        <v>0</v>
      </c>
      <c r="AH10" s="151">
        <v>0</v>
      </c>
      <c r="AI10" s="197">
        <f t="shared" si="3"/>
        <v>45793</v>
      </c>
      <c r="AJ10" s="197">
        <f t="shared" ref="AJ10:AM10" si="12">AI10</f>
        <v>45793</v>
      </c>
      <c r="AK10" s="197">
        <f t="shared" si="12"/>
        <v>45793</v>
      </c>
      <c r="AL10" s="197">
        <f t="shared" si="12"/>
        <v>45793</v>
      </c>
      <c r="AM10" s="197">
        <f t="shared" si="12"/>
        <v>45793</v>
      </c>
      <c r="AN10" s="151" t="str">
        <f>VLOOKUP(K10,'ETF Portfolio'!$A$8:$L$56,12,0)</f>
        <v>Industry Loss Index</v>
      </c>
      <c r="AO10" s="151" t="str">
        <f>VLOOKUP(K10,'ETF Portfolio'!$A$8:$K$56,11,0)</f>
        <v>Aggregate</v>
      </c>
      <c r="AP10" s="151">
        <v>0</v>
      </c>
      <c r="AQ10" s="151">
        <v>0</v>
      </c>
      <c r="AR10" s="151">
        <v>0</v>
      </c>
      <c r="AS10" s="151">
        <v>1</v>
      </c>
      <c r="AT10" s="151">
        <v>24</v>
      </c>
    </row>
    <row r="11" spans="1:46" ht="14.4" x14ac:dyDescent="0.3">
      <c r="A11" s="151" t="s">
        <v>1155</v>
      </c>
      <c r="B11" s="151" t="s">
        <v>1156</v>
      </c>
      <c r="C11" s="151" t="str">
        <f>VLOOKUP(K11,'ILS Data pull'!$B$2:$C$327,2,0)</f>
        <v>CB-Four Lakes Re Ltd. Series 2023-1 Class B Reset 2025</v>
      </c>
      <c r="D11" s="151" t="str">
        <f t="shared" si="0"/>
        <v>2023-1</v>
      </c>
      <c r="E11" s="151" t="str">
        <f t="shared" si="1"/>
        <v>Class B</v>
      </c>
      <c r="F11" s="151" t="str">
        <f t="shared" si="2"/>
        <v>2025</v>
      </c>
      <c r="H11" s="151" t="s">
        <v>149</v>
      </c>
      <c r="I11" s="151" t="str">
        <f>VLOOKUP(K11,'ETF Portfolio'!$A$8:$J$56,10,0)</f>
        <v>American Family</v>
      </c>
      <c r="K11" s="151" t="s">
        <v>693</v>
      </c>
      <c r="L11" s="214">
        <v>45064</v>
      </c>
      <c r="M11" s="214">
        <v>46168</v>
      </c>
      <c r="O11" s="151" t="s">
        <v>151</v>
      </c>
      <c r="P11" s="151" cm="1">
        <f t="array" ref="P11:Q11">IFERROR(VLOOKUP(K11,'ILS Data pull'!$B$1:$H$327,{3,5},0),0)</f>
        <v>0</v>
      </c>
      <c r="Q11" s="151">
        <v>600000000</v>
      </c>
      <c r="R11" s="151">
        <f>VLOOKUP(K11,'ETF Portfolio'!$A$8:$V$56,22,0)</f>
        <v>250000</v>
      </c>
      <c r="T11" s="151">
        <f>VLOOKUP(K11,'ETF Portfolio'!$A$8:$U$56,21,0)</f>
        <v>101.6</v>
      </c>
      <c r="U11" s="215">
        <f>VLOOKUP(K11,'ETF Portfolio'!$A$8:$S$56,19,0)</f>
        <v>0.1278</v>
      </c>
      <c r="V11" s="151" t="str">
        <f>VLOOKUP(K11,'ETF Portfolio'!$A$8:$D$56,4,0)</f>
        <v>Buy</v>
      </c>
      <c r="W11" s="197">
        <f>VLOOKUP(K11,'ETF Portfolio'!$A$8:$E$56,5,0)</f>
        <v>45805</v>
      </c>
      <c r="Z11" s="206">
        <f>R11/VLOOKUP(K11,'ILS Data pull'!$B:$H,7,0)</f>
        <v>5.0000000000000001E-3</v>
      </c>
      <c r="AA11" s="206">
        <f>VLOOKUP(K11,'ETF Portfolio'!$A$8:$R$56,18,0)</f>
        <v>8.9036969351987266E-2</v>
      </c>
      <c r="AB11" s="151">
        <v>0</v>
      </c>
      <c r="AC11" s="207">
        <f>VLOOKUP(K11,'ETF Portfolio'!$A$8:$AE$56,31,0)</f>
        <v>0.11989819</v>
      </c>
      <c r="AD11" s="151">
        <v>0</v>
      </c>
      <c r="AE11" s="151">
        <v>0</v>
      </c>
      <c r="AF11" s="151">
        <v>0</v>
      </c>
      <c r="AG11" s="151">
        <v>0</v>
      </c>
      <c r="AH11" s="151">
        <v>0</v>
      </c>
      <c r="AI11" s="197">
        <f t="shared" si="3"/>
        <v>45805</v>
      </c>
      <c r="AJ11" s="197">
        <f t="shared" ref="AJ11:AM11" si="13">AI11</f>
        <v>45805</v>
      </c>
      <c r="AK11" s="197">
        <f t="shared" si="13"/>
        <v>45805</v>
      </c>
      <c r="AL11" s="197">
        <f t="shared" si="13"/>
        <v>45805</v>
      </c>
      <c r="AM11" s="197">
        <f t="shared" si="13"/>
        <v>45805</v>
      </c>
      <c r="AN11" s="151" t="str">
        <f>VLOOKUP(K11,'ETF Portfolio'!$A$8:$L$56,12,0)</f>
        <v>Indemnity</v>
      </c>
      <c r="AO11" s="151" t="str">
        <f>VLOOKUP(K11,'ETF Portfolio'!$A$8:$K$56,11,0)</f>
        <v>Occurrence</v>
      </c>
      <c r="AP11" s="151">
        <v>0</v>
      </c>
      <c r="AQ11" s="151">
        <v>0</v>
      </c>
      <c r="AR11" s="151">
        <v>0</v>
      </c>
      <c r="AS11" s="151">
        <v>1</v>
      </c>
      <c r="AT11" s="151">
        <v>24</v>
      </c>
    </row>
    <row r="12" spans="1:46" ht="14.4" x14ac:dyDescent="0.3">
      <c r="A12" s="151" t="s">
        <v>1157</v>
      </c>
      <c r="B12" s="151" t="s">
        <v>1158</v>
      </c>
      <c r="C12" s="151" t="str">
        <f>VLOOKUP(K12,'ILS Data pull'!$B$2:$C$327,2,0)</f>
        <v>CB-FloodSmart Re Ltd. Series 2024-1 Class A Reset 2025</v>
      </c>
      <c r="D12" s="151" t="str">
        <f t="shared" si="0"/>
        <v>2024-1</v>
      </c>
      <c r="E12" s="151" t="str">
        <f t="shared" si="1"/>
        <v>Class A</v>
      </c>
      <c r="F12" s="151" t="str">
        <f t="shared" si="2"/>
        <v>2025</v>
      </c>
      <c r="H12" s="151" t="s">
        <v>149</v>
      </c>
      <c r="I12" s="151" t="str">
        <f>VLOOKUP(K12,'ETF Portfolio'!$A$8:$J$56,10,0)</f>
        <v>NFIP</v>
      </c>
      <c r="K12" s="151" t="s">
        <v>863</v>
      </c>
      <c r="L12" s="214">
        <v>45393</v>
      </c>
      <c r="M12" s="214">
        <v>46545</v>
      </c>
      <c r="O12" s="151" t="s">
        <v>151</v>
      </c>
      <c r="P12" s="151" cm="1">
        <f t="array" ref="P12:Q12">IFERROR(VLOOKUP(K12,'ILS Data pull'!$B$1:$H$327,{3,5},0),0)</f>
        <v>0</v>
      </c>
      <c r="Q12" s="151">
        <v>2000000000</v>
      </c>
      <c r="R12" s="151">
        <f>VLOOKUP(K12,'ETF Portfolio'!$A$8:$V$56,22,0)</f>
        <v>250000</v>
      </c>
      <c r="T12" s="151">
        <f>VLOOKUP(K12,'ETF Portfolio'!$A$8:$U$56,21,0)</f>
        <v>102.8</v>
      </c>
      <c r="U12" s="215">
        <f>VLOOKUP(K12,'ETF Portfolio'!$A$8:$S$56,19,0)</f>
        <v>0.18210000000000001</v>
      </c>
      <c r="V12" s="151" t="str">
        <f>VLOOKUP(K12,'ETF Portfolio'!$A$8:$D$56,4,0)</f>
        <v>Buy</v>
      </c>
      <c r="W12" s="197">
        <f>VLOOKUP(K12,'ETF Portfolio'!$A$8:$E$56,5,0)</f>
        <v>45834</v>
      </c>
      <c r="Z12" s="206">
        <f>R12/VLOOKUP(K12,'ILS Data pull'!$B:$H,7,0)</f>
        <v>5.263157894736842E-4</v>
      </c>
      <c r="AA12" s="206">
        <f>VLOOKUP(K12,'ETF Portfolio'!$A$8:$R$56,18,0)</f>
        <v>0.14340064727609322</v>
      </c>
      <c r="AB12" s="151">
        <v>0</v>
      </c>
      <c r="AC12" s="207">
        <f>VLOOKUP(K12,'ETF Portfolio'!$A$8:$AE$56,31,0)</f>
        <v>0.16563422</v>
      </c>
      <c r="AD12" s="151">
        <v>0</v>
      </c>
      <c r="AE12" s="151">
        <v>0</v>
      </c>
      <c r="AF12" s="151">
        <v>0</v>
      </c>
      <c r="AG12" s="151">
        <v>0</v>
      </c>
      <c r="AH12" s="151">
        <v>0</v>
      </c>
      <c r="AI12" s="197">
        <f t="shared" si="3"/>
        <v>45834</v>
      </c>
      <c r="AJ12" s="197">
        <f t="shared" ref="AJ12:AM12" si="14">AI12</f>
        <v>45834</v>
      </c>
      <c r="AK12" s="197">
        <f t="shared" si="14"/>
        <v>45834</v>
      </c>
      <c r="AL12" s="197">
        <f t="shared" si="14"/>
        <v>45834</v>
      </c>
      <c r="AM12" s="197">
        <f t="shared" si="14"/>
        <v>45834</v>
      </c>
      <c r="AN12" s="151" t="str">
        <f>VLOOKUP(K12,'ETF Portfolio'!$A$8:$L$56,12,0)</f>
        <v>Indemnity</v>
      </c>
      <c r="AO12" s="151" t="str">
        <f>VLOOKUP(K12,'ETF Portfolio'!$A$8:$K$56,11,0)</f>
        <v>Occurrence</v>
      </c>
      <c r="AP12" s="151">
        <v>0</v>
      </c>
      <c r="AQ12" s="151">
        <v>0</v>
      </c>
      <c r="AR12" s="151">
        <v>0</v>
      </c>
      <c r="AS12" s="151">
        <v>1</v>
      </c>
      <c r="AT12" s="151">
        <v>24</v>
      </c>
    </row>
    <row r="13" spans="1:46" ht="14.4" x14ac:dyDescent="0.3">
      <c r="A13" s="151" t="s">
        <v>1159</v>
      </c>
      <c r="B13" s="151" t="s">
        <v>1160</v>
      </c>
      <c r="C13" s="151" t="str">
        <f>VLOOKUP(K13,'ILS Data pull'!$B$2:$C$327,2,0)</f>
        <v>CB-Four Lakes Re Ltd. Series 2024-1 Class B</v>
      </c>
      <c r="D13" s="151" t="str">
        <f t="shared" si="0"/>
        <v>2024-1</v>
      </c>
      <c r="E13" s="151" t="str">
        <f t="shared" si="1"/>
        <v>Class B</v>
      </c>
      <c r="F13" s="151" t="str">
        <f t="shared" si="2"/>
        <v/>
      </c>
      <c r="H13" s="151" t="s">
        <v>149</v>
      </c>
      <c r="I13" s="151" t="str">
        <f>VLOOKUP(K13,'ETF Portfolio'!$A$8:$J$56,10,0)</f>
        <v>American Family</v>
      </c>
      <c r="K13" s="151" t="s">
        <v>695</v>
      </c>
      <c r="L13" s="214">
        <v>44980</v>
      </c>
      <c r="M13" s="214">
        <v>46080</v>
      </c>
      <c r="O13" s="151" t="s">
        <v>151</v>
      </c>
      <c r="P13" s="151" cm="1">
        <f t="array" ref="P13:Q13">IFERROR(VLOOKUP(K13,'ILS Data pull'!$B$1:$H$327,{3,5},0),0)</f>
        <v>0</v>
      </c>
      <c r="Q13" s="151">
        <v>600000000</v>
      </c>
      <c r="R13" s="151">
        <f>VLOOKUP(K13,'ETF Portfolio'!$A$8:$V$56,22,0)</f>
        <v>250000</v>
      </c>
      <c r="T13" s="151">
        <f>VLOOKUP(K13,'ETF Portfolio'!$A$8:$U$56,21,0)</f>
        <v>99.3</v>
      </c>
      <c r="U13" s="215">
        <f>VLOOKUP(K13,'ETF Portfolio'!$A$8:$S$56,19,0)</f>
        <v>0.1211</v>
      </c>
      <c r="V13" s="151" t="str">
        <f>VLOOKUP(K13,'ETF Portfolio'!$A$8:$D$56,4,0)</f>
        <v>Buy</v>
      </c>
      <c r="W13" s="197">
        <f>VLOOKUP(K13,'ETF Portfolio'!$A$8:$E$56,5,0)</f>
        <v>45859</v>
      </c>
      <c r="Z13" s="206">
        <f>R13/VLOOKUP(K13,'ILS Data pull'!$B:$H,7,0)</f>
        <v>3.3333333333333335E-3</v>
      </c>
      <c r="AA13" s="206">
        <f>VLOOKUP(K13,'ETF Portfolio'!$A$8:$R$56,18,0)</f>
        <v>8.241739053348697E-2</v>
      </c>
      <c r="AB13" s="151">
        <v>0</v>
      </c>
      <c r="AC13" s="207">
        <f>VLOOKUP(K13,'ETF Portfolio'!$A$8:$AE$56,31,0)</f>
        <v>0.12753048</v>
      </c>
      <c r="AD13" s="151">
        <v>0</v>
      </c>
      <c r="AE13" s="151">
        <v>0</v>
      </c>
      <c r="AF13" s="151">
        <v>0</v>
      </c>
      <c r="AG13" s="151">
        <v>0</v>
      </c>
      <c r="AH13" s="151">
        <v>0</v>
      </c>
      <c r="AI13" s="197">
        <f t="shared" si="3"/>
        <v>45859</v>
      </c>
      <c r="AJ13" s="197">
        <f t="shared" ref="AJ13:AM13" si="15">AI13</f>
        <v>45859</v>
      </c>
      <c r="AK13" s="197">
        <f t="shared" si="15"/>
        <v>45859</v>
      </c>
      <c r="AL13" s="197">
        <f t="shared" si="15"/>
        <v>45859</v>
      </c>
      <c r="AM13" s="197">
        <f t="shared" si="15"/>
        <v>45859</v>
      </c>
      <c r="AN13" s="151" t="str">
        <f>VLOOKUP(K13,'ETF Portfolio'!$A$8:$L$56,12,0)</f>
        <v>Indemnity</v>
      </c>
      <c r="AO13" s="151" t="str">
        <f>VLOOKUP(K13,'ETF Portfolio'!$A$8:$K$56,11,0)</f>
        <v>Occurrence</v>
      </c>
      <c r="AP13" s="151">
        <v>0</v>
      </c>
      <c r="AQ13" s="151">
        <v>0</v>
      </c>
      <c r="AR13" s="151">
        <v>0</v>
      </c>
      <c r="AS13" s="151">
        <v>1</v>
      </c>
      <c r="AT13" s="151">
        <v>24</v>
      </c>
    </row>
    <row r="14" spans="1:46" ht="14.4" x14ac:dyDescent="0.3">
      <c r="A14" s="151" t="s">
        <v>1161</v>
      </c>
      <c r="B14" s="151" t="s">
        <v>1162</v>
      </c>
      <c r="C14" s="151" t="str">
        <f>VLOOKUP(K14,'ILS Data pull'!$B$2:$C$327,2,0)</f>
        <v>CB-Mountain Re Ltd. Series 2023-1 Class A Reset 2025</v>
      </c>
      <c r="D14" s="151" t="str">
        <f t="shared" si="0"/>
        <v>2023-1</v>
      </c>
      <c r="E14" s="151" t="str">
        <f t="shared" si="1"/>
        <v>Class A</v>
      </c>
      <c r="F14" s="151" t="str">
        <f t="shared" si="2"/>
        <v>2025</v>
      </c>
      <c r="H14" s="151" t="s">
        <v>149</v>
      </c>
      <c r="I14" s="151" t="str">
        <f>VLOOKUP(K14,'ETF Portfolio'!$A$8:$J$56,10,0)</f>
        <v>Spinnaker Insurance</v>
      </c>
      <c r="K14" s="151" t="s">
        <v>838</v>
      </c>
      <c r="L14" s="214">
        <v>45593</v>
      </c>
      <c r="M14" s="214">
        <v>46742</v>
      </c>
      <c r="O14" s="151" t="s">
        <v>151</v>
      </c>
      <c r="P14" s="151" cm="1">
        <f t="array" ref="P14:Q14">IFERROR(VLOOKUP(K14,'ILS Data pull'!$B$1:$H$327,{3,5},0),0)</f>
        <v>0</v>
      </c>
      <c r="Q14" s="151">
        <v>110000000</v>
      </c>
      <c r="R14" s="151">
        <f>VLOOKUP(K14,'ETF Portfolio'!$A$8:$V$56,22,0)</f>
        <v>250000</v>
      </c>
      <c r="T14" s="151">
        <f>VLOOKUP(K14,'ETF Portfolio'!$A$8:$U$56,21,0)</f>
        <v>103.1</v>
      </c>
      <c r="U14" s="215">
        <f>VLOOKUP(K14,'ETF Portfolio'!$A$8:$S$56,19,0)</f>
        <v>0.106</v>
      </c>
      <c r="V14" s="151" t="str">
        <f>VLOOKUP(K14,'ETF Portfolio'!$A$8:$D$56,4,0)</f>
        <v>Buy</v>
      </c>
      <c r="W14" s="197">
        <f>VLOOKUP(K14,'ETF Portfolio'!$A$8:$E$56,5,0)</f>
        <v>45866</v>
      </c>
      <c r="Z14" s="206">
        <f>R14/VLOOKUP(K14,'ILS Data pull'!$B:$H,7,0)</f>
        <v>2.2727272727272726E-3</v>
      </c>
      <c r="AA14" s="206">
        <f>VLOOKUP(K14,'ETF Portfolio'!$A$8:$R$56,18,0)</f>
        <v>6.7395658018000001E-2</v>
      </c>
      <c r="AB14" s="151">
        <v>0</v>
      </c>
      <c r="AC14" s="207">
        <f>VLOOKUP(K14,'ETF Portfolio'!$A$8:$AE$56,31,0)</f>
        <v>7.1520619999999993E-2</v>
      </c>
      <c r="AD14" s="151">
        <v>0</v>
      </c>
      <c r="AE14" s="151">
        <v>0</v>
      </c>
      <c r="AF14" s="151">
        <v>0</v>
      </c>
      <c r="AG14" s="151">
        <v>0</v>
      </c>
      <c r="AH14" s="151">
        <v>0</v>
      </c>
      <c r="AI14" s="197">
        <f t="shared" si="3"/>
        <v>45866</v>
      </c>
      <c r="AJ14" s="197">
        <f t="shared" ref="AJ14:AM14" si="16">AI14</f>
        <v>45866</v>
      </c>
      <c r="AK14" s="197">
        <f t="shared" si="16"/>
        <v>45866</v>
      </c>
      <c r="AL14" s="197">
        <f t="shared" si="16"/>
        <v>45866</v>
      </c>
      <c r="AM14" s="197">
        <f t="shared" si="16"/>
        <v>45866</v>
      </c>
      <c r="AN14" s="151" t="str">
        <f>VLOOKUP(K14,'ETF Portfolio'!$A$8:$L$56,12,0)</f>
        <v>Indemnity</v>
      </c>
      <c r="AO14" s="151" t="str">
        <f>VLOOKUP(K14,'ETF Portfolio'!$A$8:$K$56,11,0)</f>
        <v>Occurrence</v>
      </c>
      <c r="AP14" s="151">
        <v>0</v>
      </c>
      <c r="AQ14" s="151">
        <v>0</v>
      </c>
      <c r="AR14" s="151">
        <v>0</v>
      </c>
      <c r="AS14" s="151">
        <v>1</v>
      </c>
      <c r="AT14" s="151">
        <v>24</v>
      </c>
    </row>
    <row r="15" spans="1:46" ht="14.4" x14ac:dyDescent="0.3">
      <c r="A15" s="151" t="s">
        <v>1163</v>
      </c>
      <c r="B15" s="151" t="s">
        <v>1164</v>
      </c>
      <c r="C15" s="151" t="str">
        <f>VLOOKUP(K15,'ILS Data pull'!$B$2:$C$327,2,0)</f>
        <v>CB-Citrus Re Ltd. Series 2023-1 Class B Reset 2025</v>
      </c>
      <c r="D15" s="151" t="str">
        <f t="shared" si="0"/>
        <v>2023-1</v>
      </c>
      <c r="E15" s="151" t="str">
        <f t="shared" si="1"/>
        <v>Class B</v>
      </c>
      <c r="F15" s="151" t="str">
        <f t="shared" si="2"/>
        <v>2025</v>
      </c>
      <c r="H15" s="151" t="s">
        <v>149</v>
      </c>
      <c r="I15" s="151" t="str">
        <f>VLOOKUP(K15,'ETF Portfolio'!$A$8:$J$56,10,0)</f>
        <v>Heritage</v>
      </c>
      <c r="K15" s="151" t="s">
        <v>746</v>
      </c>
      <c r="L15" s="214">
        <v>45644</v>
      </c>
      <c r="M15" s="214">
        <v>46759</v>
      </c>
      <c r="O15" s="151" t="s">
        <v>151</v>
      </c>
      <c r="P15" s="151" cm="1">
        <f t="array" ref="P15:Q15">IFERROR(VLOOKUP(K15,'ILS Data pull'!$B$1:$H$327,{3,5},0),0)</f>
        <v>0</v>
      </c>
      <c r="Q15" s="151">
        <v>115000000</v>
      </c>
      <c r="R15" s="151">
        <f>VLOOKUP(K15,'ETF Portfolio'!$A$8:$V$56,22,0)</f>
        <v>250000</v>
      </c>
      <c r="T15" s="151">
        <f>VLOOKUP(K15,'ETF Portfolio'!$A$8:$U$56,21,0)</f>
        <v>103.85</v>
      </c>
      <c r="U15" s="215">
        <f>VLOOKUP(K15,'ETF Portfolio'!$A$8:$S$56,19,0)</f>
        <v>0.12510719976425172</v>
      </c>
      <c r="V15" s="151" t="str">
        <f>VLOOKUP(K15,'ETF Portfolio'!$A$8:$D$56,4,0)</f>
        <v>Buy</v>
      </c>
      <c r="W15" s="197">
        <f>VLOOKUP(K15,'ETF Portfolio'!$A$8:$E$56,5,0)</f>
        <v>45908</v>
      </c>
      <c r="Z15" s="206">
        <f>R15/VLOOKUP(K15,'ILS Data pull'!$B:$H,7,0)</f>
        <v>2.1739130434782609E-3</v>
      </c>
      <c r="AA15" s="206">
        <f>VLOOKUP(K15,'ETF Portfolio'!$A$8:$R$56,18,0)</f>
        <v>8.6685892764000003E-2</v>
      </c>
      <c r="AB15" s="151">
        <v>0</v>
      </c>
      <c r="AC15" s="207">
        <f>VLOOKUP(K15,'ETF Portfolio'!$A$8:$AE$56,31,0)</f>
        <v>6.6715150000000001E-2</v>
      </c>
      <c r="AD15" s="151">
        <v>0</v>
      </c>
      <c r="AE15" s="151">
        <v>0</v>
      </c>
      <c r="AF15" s="151">
        <v>0</v>
      </c>
      <c r="AG15" s="151">
        <v>0</v>
      </c>
      <c r="AH15" s="151">
        <v>0</v>
      </c>
      <c r="AI15" s="197">
        <f t="shared" si="3"/>
        <v>45908</v>
      </c>
      <c r="AJ15" s="197">
        <f t="shared" ref="AJ15:AM15" si="17">AI15</f>
        <v>45908</v>
      </c>
      <c r="AK15" s="197">
        <f t="shared" si="17"/>
        <v>45908</v>
      </c>
      <c r="AL15" s="197">
        <f t="shared" si="17"/>
        <v>45908</v>
      </c>
      <c r="AM15" s="197">
        <f t="shared" si="17"/>
        <v>45908</v>
      </c>
      <c r="AN15" s="151" t="str">
        <f>VLOOKUP(K15,'ETF Portfolio'!$A$8:$L$56,12,0)</f>
        <v>Indemnity</v>
      </c>
      <c r="AO15" s="151" t="str">
        <f>VLOOKUP(K15,'ETF Portfolio'!$A$8:$K$56,11,0)</f>
        <v>Occurrence</v>
      </c>
      <c r="AP15" s="151">
        <v>0</v>
      </c>
      <c r="AQ15" s="151">
        <v>0</v>
      </c>
      <c r="AR15" s="151">
        <v>0</v>
      </c>
      <c r="AS15" s="151">
        <v>1</v>
      </c>
      <c r="AT15" s="151">
        <v>24</v>
      </c>
    </row>
  </sheetData>
  <phoneticPr fontId="20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H3"/>
  <sheetViews>
    <sheetView workbookViewId="0">
      <selection activeCell="A2" sqref="A2:A13"/>
    </sheetView>
  </sheetViews>
  <sheetFormatPr defaultRowHeight="14.4" x14ac:dyDescent="0.3"/>
  <cols>
    <col min="1" max="1" width="10" bestFit="1" customWidth="1"/>
    <col min="2" max="2" width="6.88671875" bestFit="1" customWidth="1"/>
    <col min="3" max="3" width="20.77734375" bestFit="1" customWidth="1"/>
    <col min="4" max="5" width="13.6640625" style="209" bestFit="1" customWidth="1"/>
    <col min="6" max="6" width="12.44140625" bestFit="1" customWidth="1"/>
    <col min="7" max="7" width="29.5546875" customWidth="1"/>
    <col min="8" max="8" width="45" bestFit="1" customWidth="1"/>
  </cols>
  <sheetData>
    <row r="1" spans="1:8" x14ac:dyDescent="0.3">
      <c r="A1" t="s">
        <v>81</v>
      </c>
      <c r="B1" t="s">
        <v>276</v>
      </c>
      <c r="C1" t="s">
        <v>123</v>
      </c>
      <c r="D1" s="209" t="s">
        <v>124</v>
      </c>
      <c r="E1" s="209" t="s">
        <v>277</v>
      </c>
      <c r="F1" t="s">
        <v>125</v>
      </c>
      <c r="G1" t="s">
        <v>126</v>
      </c>
      <c r="H1" t="s">
        <v>128</v>
      </c>
    </row>
    <row r="2" spans="1:8" x14ac:dyDescent="0.3">
      <c r="A2">
        <v>23</v>
      </c>
      <c r="B2" t="s">
        <v>173</v>
      </c>
      <c r="C2" t="s">
        <v>1171</v>
      </c>
      <c r="D2" s="216">
        <v>3500000</v>
      </c>
      <c r="E2" s="216">
        <v>1790409.5899999999</v>
      </c>
      <c r="F2" t="s">
        <v>174</v>
      </c>
      <c r="G2" s="147">
        <v>46219</v>
      </c>
    </row>
    <row r="3" spans="1:8" x14ac:dyDescent="0.3">
      <c r="A3">
        <v>24</v>
      </c>
      <c r="B3" t="s">
        <v>173</v>
      </c>
      <c r="C3" t="s">
        <v>1172</v>
      </c>
      <c r="D3" s="216">
        <v>3500000</v>
      </c>
      <c r="E3" s="216">
        <v>1807937.48</v>
      </c>
      <c r="F3" t="s">
        <v>174</v>
      </c>
      <c r="G3" s="147">
        <v>46219</v>
      </c>
    </row>
  </sheetData>
  <phoneticPr fontId="20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M2"/>
  <sheetViews>
    <sheetView workbookViewId="0">
      <selection activeCell="H21" sqref="H21"/>
    </sheetView>
  </sheetViews>
  <sheetFormatPr defaultRowHeight="14.4" x14ac:dyDescent="0.3"/>
  <cols>
    <col min="1" max="1" width="16.6640625" bestFit="1" customWidth="1"/>
    <col min="2" max="2" width="5.5546875" bestFit="1" customWidth="1"/>
    <col min="3" max="3" width="13.109375" bestFit="1" customWidth="1"/>
    <col min="4" max="4" width="12.109375" bestFit="1" customWidth="1"/>
    <col min="5" max="5" width="19.109375" bestFit="1" customWidth="1"/>
    <col min="6" max="6" width="6.109375" bestFit="1" customWidth="1"/>
    <col min="7" max="7" width="14.33203125" bestFit="1" customWidth="1"/>
    <col min="8" max="8" width="16.44140625" bestFit="1" customWidth="1"/>
    <col min="9" max="9" width="11.33203125" bestFit="1" customWidth="1"/>
    <col min="10" max="10" width="13.5546875" bestFit="1" customWidth="1"/>
    <col min="11" max="11" width="24" bestFit="1" customWidth="1"/>
    <col min="12" max="12" width="26.44140625" bestFit="1" customWidth="1"/>
    <col min="13" max="13" width="21.88671875" bestFit="1" customWidth="1"/>
  </cols>
  <sheetData>
    <row r="1" spans="1:13" ht="15" customHeight="1" thickBot="1" x14ac:dyDescent="0.35">
      <c r="A1" s="27" t="s">
        <v>175</v>
      </c>
      <c r="B1" s="28" t="s">
        <v>88</v>
      </c>
      <c r="C1" s="28" t="s">
        <v>176</v>
      </c>
      <c r="D1" s="28" t="s">
        <v>94</v>
      </c>
      <c r="E1" s="28" t="s">
        <v>177</v>
      </c>
      <c r="F1" s="28" t="s">
        <v>96</v>
      </c>
      <c r="G1" s="28" t="s">
        <v>178</v>
      </c>
      <c r="H1" s="28" t="s">
        <v>179</v>
      </c>
      <c r="I1" s="29" t="s">
        <v>89</v>
      </c>
      <c r="J1" s="28" t="s">
        <v>102</v>
      </c>
      <c r="K1" s="28" t="s">
        <v>104</v>
      </c>
      <c r="L1" s="28" t="s">
        <v>106</v>
      </c>
      <c r="M1" s="29" t="s">
        <v>108</v>
      </c>
    </row>
    <row r="2" spans="1:13" ht="15" customHeight="1" thickBot="1" x14ac:dyDescent="0.35">
      <c r="A2" s="76">
        <v>1.2E-2</v>
      </c>
      <c r="B2" s="23">
        <v>0</v>
      </c>
      <c r="C2" s="23">
        <v>0</v>
      </c>
      <c r="D2" s="24">
        <v>0</v>
      </c>
      <c r="E2" s="25">
        <v>0</v>
      </c>
      <c r="F2" s="73">
        <v>0</v>
      </c>
      <c r="G2" s="26">
        <v>0</v>
      </c>
      <c r="H2" s="75">
        <v>3.8E-3</v>
      </c>
      <c r="I2" s="13" t="s">
        <v>180</v>
      </c>
      <c r="J2" s="73">
        <v>3.8699999999999998E-2</v>
      </c>
      <c r="K2" s="26">
        <v>0</v>
      </c>
      <c r="L2" s="26">
        <v>0</v>
      </c>
      <c r="M2" s="77">
        <v>0</v>
      </c>
    </row>
  </sheetData>
  <pageMargins left="0.7" right="0.7" top="0.75" bottom="0.75" header="0.3" footer="0.3"/>
  <pageSetup orientation="portrait" horizontalDpi="90" verticalDpi="9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1:F11"/>
  <sheetViews>
    <sheetView zoomScaleNormal="100" workbookViewId="0">
      <selection activeCell="C1" sqref="C1"/>
    </sheetView>
  </sheetViews>
  <sheetFormatPr defaultColWidth="24.6640625" defaultRowHeight="14.4" x14ac:dyDescent="0.3"/>
  <cols>
    <col min="1" max="1" width="10" bestFit="1" customWidth="1"/>
    <col min="2" max="2" width="29.109375" bestFit="1" customWidth="1"/>
    <col min="3" max="3" width="57.5546875" bestFit="1" customWidth="1"/>
    <col min="4" max="4" width="21.44140625" customWidth="1"/>
    <col min="5" max="5" width="35.109375" customWidth="1"/>
  </cols>
  <sheetData>
    <row r="1" spans="1:6" x14ac:dyDescent="0.3">
      <c r="A1" s="1" t="s">
        <v>111</v>
      </c>
      <c r="B1" s="1" t="s">
        <v>181</v>
      </c>
      <c r="C1" s="1" t="s">
        <v>182</v>
      </c>
      <c r="D1" s="1" t="s">
        <v>183</v>
      </c>
      <c r="E1" s="1" t="s">
        <v>62</v>
      </c>
      <c r="F1" s="1"/>
    </row>
    <row r="2" spans="1:6" x14ac:dyDescent="0.3">
      <c r="A2" s="21">
        <v>270132852</v>
      </c>
      <c r="B2" t="s">
        <v>184</v>
      </c>
      <c r="C2" t="s">
        <v>148</v>
      </c>
      <c r="D2" s="44">
        <v>1</v>
      </c>
    </row>
    <row r="3" spans="1:6" x14ac:dyDescent="0.3">
      <c r="A3" s="21">
        <v>270132852</v>
      </c>
      <c r="B3" t="s">
        <v>184</v>
      </c>
      <c r="C3" t="s">
        <v>155</v>
      </c>
      <c r="D3" s="44">
        <v>1</v>
      </c>
    </row>
    <row r="4" spans="1:6" x14ac:dyDescent="0.3">
      <c r="A4" s="21">
        <v>270132852</v>
      </c>
      <c r="B4" t="s">
        <v>184</v>
      </c>
      <c r="C4" t="s">
        <v>185</v>
      </c>
      <c r="D4" s="44">
        <v>1</v>
      </c>
    </row>
    <row r="5" spans="1:6" x14ac:dyDescent="0.3">
      <c r="A5" s="21">
        <v>270132852</v>
      </c>
      <c r="B5" t="s">
        <v>184</v>
      </c>
      <c r="C5" t="s">
        <v>157</v>
      </c>
      <c r="D5" s="44">
        <v>1</v>
      </c>
    </row>
    <row r="6" spans="1:6" x14ac:dyDescent="0.3">
      <c r="A6" s="21">
        <v>270132852</v>
      </c>
      <c r="B6" t="s">
        <v>184</v>
      </c>
      <c r="C6" t="s">
        <v>186</v>
      </c>
      <c r="D6" s="44">
        <v>1</v>
      </c>
    </row>
    <row r="7" spans="1:6" x14ac:dyDescent="0.3">
      <c r="A7" s="21">
        <v>270132852</v>
      </c>
      <c r="B7" t="s">
        <v>184</v>
      </c>
      <c r="C7" t="s">
        <v>187</v>
      </c>
      <c r="D7" s="44">
        <v>1</v>
      </c>
    </row>
    <row r="8" spans="1:6" x14ac:dyDescent="0.3">
      <c r="A8" s="21">
        <v>270132852</v>
      </c>
      <c r="B8" t="s">
        <v>184</v>
      </c>
      <c r="C8" t="s">
        <v>188</v>
      </c>
      <c r="D8" s="44">
        <v>1</v>
      </c>
    </row>
    <row r="9" spans="1:6" x14ac:dyDescent="0.3">
      <c r="A9" s="21">
        <v>270132852</v>
      </c>
      <c r="B9" t="s">
        <v>184</v>
      </c>
      <c r="C9" t="s">
        <v>159</v>
      </c>
      <c r="D9" s="44">
        <v>1</v>
      </c>
    </row>
    <row r="10" spans="1:6" x14ac:dyDescent="0.3">
      <c r="A10" s="21">
        <v>270132852</v>
      </c>
      <c r="B10" t="s">
        <v>184</v>
      </c>
      <c r="C10" t="s">
        <v>163</v>
      </c>
      <c r="D10" s="44">
        <v>1</v>
      </c>
    </row>
    <row r="11" spans="1:6" x14ac:dyDescent="0.3">
      <c r="A11" s="21">
        <v>270132852</v>
      </c>
      <c r="B11" t="s">
        <v>184</v>
      </c>
      <c r="C11" t="s">
        <v>167</v>
      </c>
      <c r="D11" s="44">
        <v>1</v>
      </c>
    </row>
  </sheetData>
  <dataValidations count="1">
    <dataValidation type="list" allowBlank="1" showInputMessage="1" showErrorMessage="1" sqref="A2:A1048576" xr:uid="{00000000-0002-0000-0400-000000000000}">
      <formula1>#REF!</formula1>
    </dataValidation>
  </dataValidation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T89"/>
  <sheetViews>
    <sheetView workbookViewId="0">
      <selection activeCell="A2" sqref="A2"/>
    </sheetView>
  </sheetViews>
  <sheetFormatPr defaultColWidth="9.109375" defaultRowHeight="14.4" x14ac:dyDescent="0.3"/>
  <cols>
    <col min="1" max="1" width="14.5546875" bestFit="1" customWidth="1"/>
    <col min="2" max="2" width="61.44140625" bestFit="1" customWidth="1"/>
    <col min="3" max="3" width="10.88671875" bestFit="1" customWidth="1"/>
    <col min="5" max="5" width="9" bestFit="1" customWidth="1"/>
    <col min="6" max="6" width="12.88671875" bestFit="1" customWidth="1"/>
    <col min="11" max="11" width="29.44140625" customWidth="1"/>
  </cols>
  <sheetData>
    <row r="1" spans="1:20" ht="15" customHeight="1" thickBot="1" x14ac:dyDescent="0.35">
      <c r="A1" s="146" t="s">
        <v>116</v>
      </c>
      <c r="B1" s="146" t="s">
        <v>117</v>
      </c>
      <c r="C1" s="146" t="s">
        <v>118</v>
      </c>
      <c r="D1" s="146" t="s">
        <v>119</v>
      </c>
      <c r="E1" s="146" t="s">
        <v>120</v>
      </c>
      <c r="F1" s="146" t="s">
        <v>121</v>
      </c>
      <c r="J1" s="38" t="s">
        <v>189</v>
      </c>
      <c r="K1" s="39"/>
      <c r="L1" s="33" t="s">
        <v>190</v>
      </c>
      <c r="M1" s="40" t="s">
        <v>191</v>
      </c>
      <c r="N1" s="41" t="s">
        <v>192</v>
      </c>
      <c r="P1" s="38" t="s">
        <v>193</v>
      </c>
      <c r="Q1" s="39" t="s">
        <v>194</v>
      </c>
      <c r="R1" s="42" t="s">
        <v>190</v>
      </c>
      <c r="S1" s="42" t="s">
        <v>191</v>
      </c>
      <c r="T1" s="43" t="s">
        <v>192</v>
      </c>
    </row>
    <row r="2" spans="1:20" x14ac:dyDescent="0.3">
      <c r="A2" s="70" t="s">
        <v>195</v>
      </c>
      <c r="B2" s="70" t="s">
        <v>196</v>
      </c>
      <c r="C2" s="70"/>
      <c r="D2" s="70">
        <f>IF(BoundPortfolio!$A$2=1,Guidelines!L12,Guidelines!R12)</f>
        <v>0.15</v>
      </c>
      <c r="E2" s="70"/>
      <c r="F2" s="70"/>
      <c r="K2" s="5" t="s">
        <v>197</v>
      </c>
      <c r="L2" s="44">
        <v>0.05</v>
      </c>
      <c r="M2" s="45">
        <v>0</v>
      </c>
      <c r="N2" s="46">
        <v>0.5</v>
      </c>
      <c r="Q2" s="5" t="s">
        <v>197</v>
      </c>
      <c r="R2" s="45">
        <v>7.4999999999999997E-2</v>
      </c>
      <c r="S2" s="45">
        <v>0</v>
      </c>
      <c r="T2" s="47">
        <v>0.5</v>
      </c>
    </row>
    <row r="3" spans="1:20" x14ac:dyDescent="0.3">
      <c r="A3" s="70" t="s">
        <v>195</v>
      </c>
      <c r="B3" s="70" t="s">
        <v>198</v>
      </c>
      <c r="C3" s="70"/>
      <c r="D3" s="70">
        <f>IF(BoundPortfolio!$A$2=1,Guidelines!L13,Guidelines!R13)</f>
        <v>0.3</v>
      </c>
      <c r="E3" s="70"/>
      <c r="F3" s="70"/>
      <c r="K3" s="5" t="s">
        <v>199</v>
      </c>
      <c r="L3" s="48">
        <v>2.5000000000000001E-2</v>
      </c>
      <c r="M3" s="45">
        <v>0</v>
      </c>
      <c r="N3" s="46">
        <v>0.3</v>
      </c>
      <c r="Q3" s="5" t="s">
        <v>199</v>
      </c>
      <c r="R3" s="45">
        <v>0.05</v>
      </c>
      <c r="S3" s="45">
        <v>0</v>
      </c>
      <c r="T3" s="47">
        <v>0.3</v>
      </c>
    </row>
    <row r="4" spans="1:20" x14ac:dyDescent="0.3">
      <c r="A4" s="70" t="s">
        <v>19</v>
      </c>
      <c r="B4" s="70" t="s">
        <v>150</v>
      </c>
      <c r="C4" s="70"/>
      <c r="D4" s="70">
        <v>0.3</v>
      </c>
      <c r="E4" s="70"/>
      <c r="F4" s="70"/>
      <c r="K4" s="5" t="s">
        <v>200</v>
      </c>
      <c r="L4" s="44">
        <v>0.4</v>
      </c>
      <c r="M4" s="45">
        <v>0</v>
      </c>
      <c r="N4" s="46">
        <v>0.7</v>
      </c>
      <c r="Q4" s="5" t="s">
        <v>200</v>
      </c>
      <c r="R4" s="45">
        <v>0.4</v>
      </c>
      <c r="S4" s="45">
        <v>0</v>
      </c>
      <c r="T4" s="47">
        <v>0.7</v>
      </c>
    </row>
    <row r="5" spans="1:20" x14ac:dyDescent="0.3">
      <c r="A5" s="70" t="s">
        <v>19</v>
      </c>
      <c r="B5" s="70" t="s">
        <v>156</v>
      </c>
      <c r="C5" s="70"/>
      <c r="D5" s="70">
        <v>0.3</v>
      </c>
      <c r="E5" s="70"/>
      <c r="F5" s="70"/>
      <c r="K5" s="5" t="s">
        <v>201</v>
      </c>
      <c r="L5" s="44">
        <v>0.4</v>
      </c>
      <c r="M5" s="45">
        <v>0</v>
      </c>
      <c r="N5" s="46">
        <v>0.7</v>
      </c>
      <c r="Q5" s="5" t="s">
        <v>201</v>
      </c>
      <c r="R5" s="45">
        <v>0.4</v>
      </c>
      <c r="S5" s="45">
        <v>0</v>
      </c>
      <c r="T5" s="47">
        <v>0.7</v>
      </c>
    </row>
    <row r="6" spans="1:20" x14ac:dyDescent="0.3">
      <c r="A6" s="70" t="s">
        <v>19</v>
      </c>
      <c r="B6" s="70" t="s">
        <v>202</v>
      </c>
      <c r="C6" s="70"/>
      <c r="D6" s="70">
        <v>0.3</v>
      </c>
      <c r="E6" s="70"/>
      <c r="F6" s="70"/>
      <c r="K6" s="5" t="s">
        <v>203</v>
      </c>
      <c r="L6" s="44">
        <v>0.05</v>
      </c>
      <c r="M6" s="45">
        <v>0</v>
      </c>
      <c r="N6" s="46">
        <v>0.3</v>
      </c>
      <c r="Q6" s="5" t="s">
        <v>203</v>
      </c>
      <c r="R6" s="45">
        <v>0.1</v>
      </c>
      <c r="S6" s="45">
        <v>0</v>
      </c>
      <c r="T6" s="47">
        <v>0.5</v>
      </c>
    </row>
    <row r="7" spans="1:20" x14ac:dyDescent="0.3">
      <c r="A7" s="70" t="s">
        <v>19</v>
      </c>
      <c r="B7" s="70" t="s">
        <v>158</v>
      </c>
      <c r="C7" s="70"/>
      <c r="D7" s="70">
        <v>0.3</v>
      </c>
      <c r="E7" s="70"/>
      <c r="F7" s="70"/>
      <c r="K7" s="5" t="s">
        <v>204</v>
      </c>
      <c r="L7" s="44">
        <v>0.1</v>
      </c>
      <c r="M7" s="45">
        <v>0.1</v>
      </c>
      <c r="N7" s="49">
        <v>0.75</v>
      </c>
      <c r="Q7" s="5" t="s">
        <v>204</v>
      </c>
      <c r="R7" s="45">
        <v>0.1</v>
      </c>
      <c r="S7" s="45">
        <v>0.1</v>
      </c>
      <c r="T7" s="47">
        <v>0.75</v>
      </c>
    </row>
    <row r="8" spans="1:20" x14ac:dyDescent="0.3">
      <c r="A8" s="70" t="s">
        <v>19</v>
      </c>
      <c r="B8" s="70" t="s">
        <v>205</v>
      </c>
      <c r="C8" s="70"/>
      <c r="D8" s="70">
        <v>0.3</v>
      </c>
      <c r="E8" s="70"/>
      <c r="F8" s="70"/>
      <c r="K8" s="5" t="s">
        <v>206</v>
      </c>
      <c r="L8" s="44">
        <v>0.1</v>
      </c>
      <c r="M8" s="45">
        <v>-0.3</v>
      </c>
      <c r="N8" s="50">
        <v>0.15</v>
      </c>
      <c r="Q8" s="5" t="s">
        <v>206</v>
      </c>
      <c r="R8" s="45">
        <v>0.1</v>
      </c>
      <c r="S8" s="45">
        <v>-0.3</v>
      </c>
      <c r="T8" s="47">
        <v>0.15</v>
      </c>
    </row>
    <row r="9" spans="1:20" ht="15" customHeight="1" thickBot="1" x14ac:dyDescent="0.35">
      <c r="A9" s="70" t="s">
        <v>19</v>
      </c>
      <c r="B9" s="70" t="s">
        <v>207</v>
      </c>
      <c r="C9" s="70"/>
      <c r="D9" s="70">
        <v>0.3</v>
      </c>
      <c r="E9" s="70"/>
      <c r="F9" s="70"/>
      <c r="K9" s="6" t="s">
        <v>142</v>
      </c>
      <c r="L9" s="12"/>
      <c r="M9" s="51">
        <v>2.5000000000000001E-2</v>
      </c>
      <c r="N9" s="13"/>
      <c r="Q9" s="6" t="s">
        <v>142</v>
      </c>
      <c r="R9" s="51"/>
      <c r="S9" s="51">
        <v>2.5000000000000001E-2</v>
      </c>
      <c r="T9" s="52"/>
    </row>
    <row r="10" spans="1:20" x14ac:dyDescent="0.3">
      <c r="A10" s="70" t="s">
        <v>19</v>
      </c>
      <c r="B10" s="70" t="s">
        <v>208</v>
      </c>
      <c r="C10" s="70"/>
      <c r="D10" s="70">
        <v>0.3</v>
      </c>
      <c r="E10" s="70"/>
      <c r="F10" s="70"/>
      <c r="L10" s="45"/>
      <c r="M10" s="45"/>
      <c r="N10" s="45"/>
      <c r="R10" s="45"/>
      <c r="S10" s="45"/>
      <c r="T10" s="45"/>
    </row>
    <row r="11" spans="1:20" ht="15" customHeight="1" thickBot="1" x14ac:dyDescent="0.35">
      <c r="A11" s="70" t="s">
        <v>19</v>
      </c>
      <c r="B11" s="70" t="s">
        <v>160</v>
      </c>
      <c r="C11" s="70"/>
      <c r="D11" s="70">
        <v>0.3</v>
      </c>
      <c r="E11" s="70"/>
      <c r="F11" s="70"/>
      <c r="K11" t="s">
        <v>209</v>
      </c>
      <c r="L11" t="s">
        <v>210</v>
      </c>
      <c r="Q11" t="s">
        <v>211</v>
      </c>
      <c r="R11" s="45" t="s">
        <v>210</v>
      </c>
      <c r="S11" s="45"/>
      <c r="T11" s="45"/>
    </row>
    <row r="12" spans="1:20" x14ac:dyDescent="0.3">
      <c r="A12" s="70" t="s">
        <v>19</v>
      </c>
      <c r="B12" s="70" t="s">
        <v>164</v>
      </c>
      <c r="C12" s="70"/>
      <c r="D12" s="70">
        <v>0.3</v>
      </c>
      <c r="E12" s="70"/>
      <c r="F12" s="70"/>
      <c r="K12" s="18" t="s">
        <v>196</v>
      </c>
      <c r="L12" s="53">
        <v>0.15</v>
      </c>
      <c r="Q12" s="18" t="s">
        <v>196</v>
      </c>
      <c r="R12" s="54">
        <v>0.15</v>
      </c>
      <c r="S12" s="45"/>
      <c r="T12" s="45"/>
    </row>
    <row r="13" spans="1:20" ht="15" customHeight="1" thickBot="1" x14ac:dyDescent="0.35">
      <c r="A13" s="70" t="s">
        <v>19</v>
      </c>
      <c r="B13" s="70" t="s">
        <v>168</v>
      </c>
      <c r="C13" s="70"/>
      <c r="D13" s="70">
        <f>IF(BoundPortfolio!$A$2=1,Guidelines!L16,Guidelines!R16)</f>
        <v>0.15</v>
      </c>
      <c r="E13" s="70"/>
      <c r="F13" s="70"/>
      <c r="K13" s="6" t="s">
        <v>198</v>
      </c>
      <c r="L13" s="55">
        <v>0.3</v>
      </c>
      <c r="Q13" s="6" t="s">
        <v>198</v>
      </c>
      <c r="R13" s="52">
        <v>0.3</v>
      </c>
      <c r="S13" s="45"/>
      <c r="T13" s="45"/>
    </row>
    <row r="14" spans="1:20" ht="15" customHeight="1" thickBot="1" x14ac:dyDescent="0.35">
      <c r="A14" s="70" t="s">
        <v>19</v>
      </c>
      <c r="B14" s="70" t="s">
        <v>206</v>
      </c>
      <c r="C14" s="70"/>
      <c r="D14" s="70">
        <f>IF(BoundPortfolio!$A$2=1,Guidelines!L17,Guidelines!R17)</f>
        <v>0.15</v>
      </c>
      <c r="E14" s="70"/>
      <c r="F14" s="70"/>
      <c r="L14" s="44"/>
      <c r="R14" s="45"/>
      <c r="S14" s="45"/>
      <c r="T14" s="45"/>
    </row>
    <row r="15" spans="1:20" x14ac:dyDescent="0.3">
      <c r="A15" s="70" t="s">
        <v>19</v>
      </c>
      <c r="B15" s="70" t="s">
        <v>199</v>
      </c>
      <c r="C15" s="70"/>
      <c r="D15" s="70">
        <f>IF(BoundPortfolio!$A$2=1,Guidelines!L18,Guidelines!R18)</f>
        <v>0.15</v>
      </c>
      <c r="E15" s="70"/>
      <c r="F15" s="70"/>
      <c r="K15" s="39" t="s">
        <v>212</v>
      </c>
      <c r="L15" s="53" t="s">
        <v>210</v>
      </c>
      <c r="Q15" s="39" t="s">
        <v>212</v>
      </c>
      <c r="R15" s="43" t="s">
        <v>210</v>
      </c>
      <c r="S15" s="45"/>
      <c r="T15" s="45"/>
    </row>
    <row r="16" spans="1:20" x14ac:dyDescent="0.3">
      <c r="A16" s="70" t="s">
        <v>19</v>
      </c>
      <c r="B16" s="70" t="s">
        <v>200</v>
      </c>
      <c r="C16" s="70"/>
      <c r="D16" s="70">
        <f>IF(BoundPortfolio!$A$2=1,Guidelines!L19,Guidelines!R19)</f>
        <v>0.3</v>
      </c>
      <c r="E16" s="70"/>
      <c r="F16" s="70"/>
      <c r="K16" s="5" t="s">
        <v>197</v>
      </c>
      <c r="L16" s="49">
        <v>0.1</v>
      </c>
      <c r="Q16" s="5" t="s">
        <v>197</v>
      </c>
      <c r="R16" s="47">
        <v>0.15</v>
      </c>
      <c r="S16" s="45"/>
      <c r="T16" s="45"/>
    </row>
    <row r="17" spans="1:20" x14ac:dyDescent="0.3">
      <c r="A17" s="70" t="s">
        <v>19</v>
      </c>
      <c r="B17" s="70" t="s">
        <v>203</v>
      </c>
      <c r="C17" s="70"/>
      <c r="D17" s="70">
        <f>IF(BoundPortfolio!$A$2=1,Guidelines!L20,Guidelines!R20)</f>
        <v>0.3</v>
      </c>
      <c r="E17" s="70"/>
      <c r="F17" s="70"/>
      <c r="K17" s="5" t="s">
        <v>206</v>
      </c>
      <c r="L17" s="49">
        <v>0.3</v>
      </c>
      <c r="Q17" s="5" t="s">
        <v>206</v>
      </c>
      <c r="R17" s="47">
        <v>0.15</v>
      </c>
      <c r="S17" s="45"/>
      <c r="T17" s="45"/>
    </row>
    <row r="18" spans="1:20" x14ac:dyDescent="0.3">
      <c r="A18" s="70" t="s">
        <v>19</v>
      </c>
      <c r="B18" s="70" t="s">
        <v>201</v>
      </c>
      <c r="C18" s="70"/>
      <c r="D18" s="70">
        <f>IF(BoundPortfolio!$A$2=1,Guidelines!L21,Guidelines!R21)</f>
        <v>0.15</v>
      </c>
      <c r="E18" s="70"/>
      <c r="F18" s="70"/>
      <c r="K18" s="5" t="s">
        <v>199</v>
      </c>
      <c r="L18" s="49">
        <v>0.3</v>
      </c>
      <c r="Q18" s="5" t="s">
        <v>199</v>
      </c>
      <c r="R18" s="47">
        <v>0.15</v>
      </c>
      <c r="S18" s="45"/>
      <c r="T18" s="45"/>
    </row>
    <row r="19" spans="1:20" x14ac:dyDescent="0.3">
      <c r="A19" s="70" t="s">
        <v>19</v>
      </c>
      <c r="B19" s="70" t="s">
        <v>213</v>
      </c>
      <c r="C19" s="70"/>
      <c r="D19" s="70">
        <f>IF(BoundPortfolio!$A$2=1,Guidelines!L22,Guidelines!R22)</f>
        <v>0.3</v>
      </c>
      <c r="E19" s="70"/>
      <c r="F19" s="70"/>
      <c r="K19" s="5" t="s">
        <v>200</v>
      </c>
      <c r="L19" s="49">
        <v>0.3</v>
      </c>
      <c r="Q19" s="5" t="s">
        <v>200</v>
      </c>
      <c r="R19" s="47">
        <v>0.3</v>
      </c>
      <c r="S19" s="45"/>
      <c r="T19" s="45"/>
    </row>
    <row r="20" spans="1:20" x14ac:dyDescent="0.3">
      <c r="A20" s="70" t="s">
        <v>19</v>
      </c>
      <c r="B20" s="70" t="s">
        <v>204</v>
      </c>
      <c r="C20" s="70"/>
      <c r="D20" s="70">
        <f>IF(BoundPortfolio!$A$2=1,Guidelines!L23,Guidelines!R23)</f>
        <v>0.3</v>
      </c>
      <c r="E20" s="70"/>
      <c r="F20" s="70"/>
      <c r="K20" s="5" t="s">
        <v>203</v>
      </c>
      <c r="L20" s="49">
        <v>0.3</v>
      </c>
      <c r="Q20" s="5" t="s">
        <v>204</v>
      </c>
      <c r="R20" s="47">
        <v>0.3</v>
      </c>
      <c r="S20" s="45"/>
      <c r="T20" s="45"/>
    </row>
    <row r="21" spans="1:20" x14ac:dyDescent="0.3">
      <c r="A21" s="70" t="s">
        <v>214</v>
      </c>
      <c r="B21" s="70" t="s">
        <v>197</v>
      </c>
      <c r="C21" s="70"/>
      <c r="D21" s="70">
        <f>IF(BoundPortfolio!$A$2=1,Guidelines!L2,Guidelines!R2)</f>
        <v>7.4999999999999997E-2</v>
      </c>
      <c r="E21" s="70"/>
      <c r="F21" s="70"/>
      <c r="K21" s="5" t="s">
        <v>201</v>
      </c>
      <c r="L21" s="49">
        <v>0.3</v>
      </c>
      <c r="Q21" s="5" t="s">
        <v>203</v>
      </c>
      <c r="R21" s="47">
        <v>0.15</v>
      </c>
      <c r="S21" s="45"/>
      <c r="T21" s="45"/>
    </row>
    <row r="22" spans="1:20" x14ac:dyDescent="0.3">
      <c r="A22" s="70" t="s">
        <v>214</v>
      </c>
      <c r="B22" s="70" t="s">
        <v>199</v>
      </c>
      <c r="C22" s="70"/>
      <c r="D22" s="70">
        <f>IF(BoundPortfolio!$A$2=1,Guidelines!L3,Guidelines!R3)</f>
        <v>0.05</v>
      </c>
      <c r="E22" s="70"/>
      <c r="F22" s="70"/>
      <c r="K22" s="5" t="s">
        <v>213</v>
      </c>
      <c r="L22" s="49">
        <v>0.3</v>
      </c>
      <c r="Q22" s="5" t="s">
        <v>213</v>
      </c>
      <c r="R22" s="47">
        <v>0.3</v>
      </c>
      <c r="S22" s="45"/>
      <c r="T22" s="45"/>
    </row>
    <row r="23" spans="1:20" ht="15" customHeight="1" thickBot="1" x14ac:dyDescent="0.35">
      <c r="A23" s="70" t="s">
        <v>214</v>
      </c>
      <c r="B23" s="70" t="s">
        <v>200</v>
      </c>
      <c r="C23" s="70"/>
      <c r="D23" s="70">
        <f>IF(BoundPortfolio!$A$2=1,Guidelines!L4,Guidelines!R4)</f>
        <v>0.4</v>
      </c>
      <c r="E23" s="70"/>
      <c r="F23" s="70"/>
      <c r="K23" s="6" t="s">
        <v>204</v>
      </c>
      <c r="L23" s="56">
        <v>0.3</v>
      </c>
      <c r="M23" s="45"/>
      <c r="N23" s="45"/>
      <c r="Q23" s="6" t="s">
        <v>201</v>
      </c>
      <c r="R23" s="52">
        <v>0.3</v>
      </c>
      <c r="S23" s="45"/>
      <c r="T23" s="40"/>
    </row>
    <row r="24" spans="1:20" ht="15" customHeight="1" thickBot="1" x14ac:dyDescent="0.35">
      <c r="A24" s="70" t="s">
        <v>214</v>
      </c>
      <c r="B24" s="70" t="s">
        <v>201</v>
      </c>
      <c r="C24" s="70"/>
      <c r="D24" s="70">
        <f>IF(BoundPortfolio!$A$2=1,Guidelines!L5,Guidelines!R5)</f>
        <v>0.4</v>
      </c>
      <c r="E24" s="70"/>
      <c r="F24" s="70"/>
      <c r="L24" s="45"/>
      <c r="M24" s="45"/>
      <c r="N24" s="45"/>
      <c r="R24" s="45"/>
      <c r="S24" s="45"/>
      <c r="T24" s="45"/>
    </row>
    <row r="25" spans="1:20" x14ac:dyDescent="0.3">
      <c r="A25" s="70" t="s">
        <v>214</v>
      </c>
      <c r="B25" s="70" t="s">
        <v>203</v>
      </c>
      <c r="C25" s="70"/>
      <c r="D25" s="70">
        <f>IF(BoundPortfolio!$A$2=1,Guidelines!L6,Guidelines!R6)</f>
        <v>0.1</v>
      </c>
      <c r="E25" s="70"/>
      <c r="F25" s="70"/>
      <c r="K25" s="18"/>
      <c r="L25" s="42" t="s">
        <v>215</v>
      </c>
      <c r="M25" s="43" t="s">
        <v>216</v>
      </c>
      <c r="N25" s="40"/>
      <c r="Q25" s="18"/>
      <c r="R25" s="42" t="s">
        <v>215</v>
      </c>
      <c r="S25" s="43" t="s">
        <v>216</v>
      </c>
      <c r="T25" s="45"/>
    </row>
    <row r="26" spans="1:20" ht="15" customHeight="1" thickBot="1" x14ac:dyDescent="0.35">
      <c r="A26" s="70" t="s">
        <v>214</v>
      </c>
      <c r="B26" s="70" t="s">
        <v>204</v>
      </c>
      <c r="C26" s="70"/>
      <c r="D26" s="70">
        <f>IF(BoundPortfolio!$A$2=1,Guidelines!L7,Guidelines!R7)</f>
        <v>0.1</v>
      </c>
      <c r="E26" s="70"/>
      <c r="F26" s="70"/>
      <c r="K26" s="5"/>
      <c r="L26" s="40" t="s">
        <v>217</v>
      </c>
      <c r="M26" s="57" t="s">
        <v>218</v>
      </c>
      <c r="N26" s="40"/>
      <c r="Q26" s="58" t="s">
        <v>219</v>
      </c>
      <c r="R26" s="40" t="s">
        <v>217</v>
      </c>
      <c r="S26" s="57" t="s">
        <v>218</v>
      </c>
      <c r="T26" s="40"/>
    </row>
    <row r="27" spans="1:20" x14ac:dyDescent="0.3">
      <c r="A27" s="70" t="s">
        <v>214</v>
      </c>
      <c r="B27" s="70" t="s">
        <v>206</v>
      </c>
      <c r="C27" s="70"/>
      <c r="D27" s="70">
        <f>IF(BoundPortfolio!$A$2=1,Guidelines!L8,Guidelines!R8)</f>
        <v>0.1</v>
      </c>
      <c r="E27" s="70"/>
      <c r="F27" s="70"/>
      <c r="K27" s="59" t="s">
        <v>220</v>
      </c>
      <c r="L27" s="60">
        <v>0.35</v>
      </c>
      <c r="M27" s="61">
        <v>0.5</v>
      </c>
      <c r="N27" s="62"/>
      <c r="Q27" s="59" t="s">
        <v>220</v>
      </c>
      <c r="R27" s="60">
        <v>0.45</v>
      </c>
      <c r="S27" s="61">
        <v>0.75</v>
      </c>
      <c r="T27" s="62"/>
    </row>
    <row r="28" spans="1:20" x14ac:dyDescent="0.3">
      <c r="A28" s="70" t="s">
        <v>214</v>
      </c>
      <c r="B28" s="70" t="s">
        <v>142</v>
      </c>
      <c r="C28" s="70"/>
      <c r="D28" s="70">
        <f>IF(BoundPortfolio!$A$2=1,Guidelines!L9,Guidelines!R9)</f>
        <v>0</v>
      </c>
      <c r="E28" s="70"/>
      <c r="F28" s="70"/>
      <c r="K28" s="63" t="s">
        <v>221</v>
      </c>
      <c r="L28" s="64">
        <v>0.3</v>
      </c>
      <c r="M28" s="65">
        <v>0.5</v>
      </c>
      <c r="N28" s="62"/>
      <c r="Q28" s="63" t="s">
        <v>221</v>
      </c>
      <c r="R28" s="64">
        <v>0.4</v>
      </c>
      <c r="S28" s="65">
        <v>0.65</v>
      </c>
      <c r="T28" s="62"/>
    </row>
    <row r="29" spans="1:20" x14ac:dyDescent="0.3">
      <c r="A29" s="70" t="s">
        <v>222</v>
      </c>
      <c r="B29" s="70" t="s">
        <v>220</v>
      </c>
      <c r="C29" s="70"/>
      <c r="D29" s="70">
        <f>IF(BoundPortfolio!$A$2=1,Guidelines!L27,Guidelines!R27)</f>
        <v>0.45</v>
      </c>
      <c r="E29" s="70" t="s">
        <v>223</v>
      </c>
      <c r="F29" s="70">
        <v>100</v>
      </c>
      <c r="K29" s="63" t="s">
        <v>224</v>
      </c>
      <c r="L29" s="64">
        <v>0.3</v>
      </c>
      <c r="M29" s="65">
        <v>0.5</v>
      </c>
      <c r="N29" s="62"/>
      <c r="Q29" s="63" t="s">
        <v>224</v>
      </c>
      <c r="R29" s="64">
        <v>0.4</v>
      </c>
      <c r="S29" s="65">
        <v>0.65</v>
      </c>
      <c r="T29" s="62"/>
    </row>
    <row r="30" spans="1:20" x14ac:dyDescent="0.3">
      <c r="A30" s="5" t="s">
        <v>222</v>
      </c>
      <c r="B30" t="s">
        <v>221</v>
      </c>
      <c r="D30">
        <f>IF(BoundPortfolio!$A$2=1,Guidelines!L28,Guidelines!R28)</f>
        <v>0.4</v>
      </c>
      <c r="E30" t="s">
        <v>223</v>
      </c>
      <c r="F30" s="11">
        <v>100</v>
      </c>
      <c r="K30" s="63" t="s">
        <v>225</v>
      </c>
      <c r="L30" s="64">
        <v>0.3</v>
      </c>
      <c r="M30" s="65">
        <v>0.5</v>
      </c>
      <c r="N30" s="62"/>
      <c r="Q30" s="63" t="s">
        <v>225</v>
      </c>
      <c r="R30" s="64">
        <v>0.3</v>
      </c>
      <c r="S30" s="65">
        <v>0.5</v>
      </c>
      <c r="T30" s="62"/>
    </row>
    <row r="31" spans="1:20" x14ac:dyDescent="0.3">
      <c r="A31" s="5" t="s">
        <v>222</v>
      </c>
      <c r="B31" t="s">
        <v>224</v>
      </c>
      <c r="D31">
        <f>IF(BoundPortfolio!$A$2=1,Guidelines!L29,Guidelines!R29)</f>
        <v>0.4</v>
      </c>
      <c r="E31" t="s">
        <v>223</v>
      </c>
      <c r="F31" s="11">
        <v>100</v>
      </c>
      <c r="K31" s="63" t="s">
        <v>226</v>
      </c>
      <c r="L31" s="64">
        <v>0.3</v>
      </c>
      <c r="M31" s="65">
        <v>0.5</v>
      </c>
      <c r="N31" s="62"/>
      <c r="Q31" s="63" t="s">
        <v>226</v>
      </c>
      <c r="R31" s="64">
        <v>0.45</v>
      </c>
      <c r="S31" s="65">
        <v>0.65</v>
      </c>
      <c r="T31" s="62"/>
    </row>
    <row r="32" spans="1:20" ht="15" customHeight="1" thickBot="1" x14ac:dyDescent="0.35">
      <c r="A32" s="5" t="s">
        <v>222</v>
      </c>
      <c r="B32" t="s">
        <v>225</v>
      </c>
      <c r="D32">
        <f>IF(BoundPortfolio!$A$2=1,Guidelines!L30,Guidelines!R30)</f>
        <v>0.3</v>
      </c>
      <c r="E32" t="s">
        <v>223</v>
      </c>
      <c r="F32" s="11">
        <v>100</v>
      </c>
      <c r="K32" s="63" t="s">
        <v>227</v>
      </c>
      <c r="L32" s="64">
        <v>0.3</v>
      </c>
      <c r="M32" s="65">
        <v>0.5</v>
      </c>
      <c r="N32" s="62"/>
      <c r="Q32" s="63" t="s">
        <v>227</v>
      </c>
      <c r="R32" s="64">
        <v>0.4</v>
      </c>
      <c r="S32" s="65">
        <v>0.65</v>
      </c>
      <c r="T32" s="62"/>
    </row>
    <row r="33" spans="1:20" x14ac:dyDescent="0.3">
      <c r="A33" s="5" t="s">
        <v>222</v>
      </c>
      <c r="B33" t="s">
        <v>226</v>
      </c>
      <c r="D33">
        <f>IF(BoundPortfolio!$A$2=1,Guidelines!L31,Guidelines!R31)</f>
        <v>0.45</v>
      </c>
      <c r="E33" t="s">
        <v>223</v>
      </c>
      <c r="F33" s="11">
        <v>100</v>
      </c>
      <c r="K33" s="59" t="s">
        <v>228</v>
      </c>
      <c r="L33" s="64">
        <v>0.2</v>
      </c>
      <c r="M33" s="65">
        <v>0.35</v>
      </c>
      <c r="N33" s="62"/>
      <c r="Q33" s="59" t="s">
        <v>228</v>
      </c>
      <c r="R33" s="64">
        <v>0.3</v>
      </c>
      <c r="S33" s="65">
        <v>0.5</v>
      </c>
      <c r="T33" s="62"/>
    </row>
    <row r="34" spans="1:20" x14ac:dyDescent="0.3">
      <c r="A34" s="5" t="s">
        <v>222</v>
      </c>
      <c r="B34" t="s">
        <v>227</v>
      </c>
      <c r="D34">
        <f>IF(BoundPortfolio!$A$2=1,Guidelines!L32,Guidelines!R32)</f>
        <v>0.4</v>
      </c>
      <c r="E34" t="s">
        <v>223</v>
      </c>
      <c r="F34" s="11">
        <v>100</v>
      </c>
      <c r="K34" s="63" t="s">
        <v>229</v>
      </c>
      <c r="L34" s="64">
        <v>0.2</v>
      </c>
      <c r="M34" s="65">
        <v>0.3</v>
      </c>
      <c r="N34" s="62"/>
      <c r="Q34" s="63" t="s">
        <v>229</v>
      </c>
      <c r="R34" s="64">
        <v>0.3</v>
      </c>
      <c r="S34" s="65">
        <v>0.45</v>
      </c>
      <c r="T34" s="62"/>
    </row>
    <row r="35" spans="1:20" x14ac:dyDescent="0.3">
      <c r="A35" s="5" t="s">
        <v>222</v>
      </c>
      <c r="B35" t="s">
        <v>228</v>
      </c>
      <c r="D35">
        <f>IF(BoundPortfolio!$A$2=1,Guidelines!L33,Guidelines!R33)</f>
        <v>0.3</v>
      </c>
      <c r="E35" t="s">
        <v>223</v>
      </c>
      <c r="F35" s="11">
        <v>100</v>
      </c>
      <c r="K35" s="5" t="s">
        <v>230</v>
      </c>
      <c r="L35" s="64">
        <v>0.3</v>
      </c>
      <c r="M35" s="65">
        <v>0.5</v>
      </c>
      <c r="N35" s="62"/>
      <c r="Q35" s="5" t="s">
        <v>230</v>
      </c>
      <c r="R35" s="64">
        <v>0.45</v>
      </c>
      <c r="S35" s="65">
        <v>0.65</v>
      </c>
      <c r="T35" s="62"/>
    </row>
    <row r="36" spans="1:20" x14ac:dyDescent="0.3">
      <c r="A36" s="5" t="s">
        <v>222</v>
      </c>
      <c r="B36" t="s">
        <v>229</v>
      </c>
      <c r="D36">
        <f>IF(BoundPortfolio!$A$2=1,Guidelines!L34,Guidelines!R34)</f>
        <v>0.3</v>
      </c>
      <c r="E36" t="s">
        <v>223</v>
      </c>
      <c r="F36" s="11">
        <v>100</v>
      </c>
      <c r="K36" s="5" t="s">
        <v>231</v>
      </c>
      <c r="L36" s="64">
        <v>0.2</v>
      </c>
      <c r="M36" s="65">
        <v>0.3</v>
      </c>
      <c r="N36" s="62"/>
      <c r="Q36" s="5" t="s">
        <v>231</v>
      </c>
      <c r="R36" s="64">
        <v>0.3</v>
      </c>
      <c r="S36" s="65">
        <v>0.45</v>
      </c>
      <c r="T36" s="62"/>
    </row>
    <row r="37" spans="1:20" x14ac:dyDescent="0.3">
      <c r="A37" s="5" t="s">
        <v>222</v>
      </c>
      <c r="B37" t="s">
        <v>230</v>
      </c>
      <c r="D37">
        <f>IF(BoundPortfolio!$A$2=1,Guidelines!L35,Guidelines!R35)</f>
        <v>0.45</v>
      </c>
      <c r="E37" t="s">
        <v>223</v>
      </c>
      <c r="F37" s="11">
        <v>100</v>
      </c>
      <c r="K37" s="63" t="s">
        <v>232</v>
      </c>
      <c r="L37" s="64">
        <v>0.15</v>
      </c>
      <c r="M37" s="65">
        <v>0.25</v>
      </c>
      <c r="N37" s="62"/>
      <c r="Q37" s="63" t="s">
        <v>232</v>
      </c>
      <c r="R37" s="64">
        <v>0.2</v>
      </c>
      <c r="S37" s="65">
        <v>0.35</v>
      </c>
      <c r="T37" s="62"/>
    </row>
    <row r="38" spans="1:20" x14ac:dyDescent="0.3">
      <c r="A38" s="5" t="s">
        <v>222</v>
      </c>
      <c r="B38" t="s">
        <v>231</v>
      </c>
      <c r="D38">
        <f>IF(BoundPortfolio!$A$2=1,Guidelines!L36,Guidelines!R36)</f>
        <v>0.3</v>
      </c>
      <c r="E38" t="s">
        <v>223</v>
      </c>
      <c r="F38" s="11">
        <v>100</v>
      </c>
      <c r="K38" s="63" t="s">
        <v>233</v>
      </c>
      <c r="L38" s="64">
        <v>0.15</v>
      </c>
      <c r="M38" s="65">
        <v>0.25</v>
      </c>
      <c r="N38" s="62"/>
      <c r="Q38" s="63" t="s">
        <v>233</v>
      </c>
      <c r="R38" s="64">
        <v>0.2</v>
      </c>
      <c r="S38" s="65">
        <v>0.35</v>
      </c>
      <c r="T38" s="62"/>
    </row>
    <row r="39" spans="1:20" x14ac:dyDescent="0.3">
      <c r="A39" s="5" t="s">
        <v>222</v>
      </c>
      <c r="B39" t="s">
        <v>232</v>
      </c>
      <c r="D39">
        <f>IF(BoundPortfolio!$A$2=1,Guidelines!L37,Guidelines!R37)</f>
        <v>0.2</v>
      </c>
      <c r="E39" t="s">
        <v>223</v>
      </c>
      <c r="F39" s="11">
        <v>100</v>
      </c>
      <c r="K39" s="63" t="s">
        <v>234</v>
      </c>
      <c r="L39" s="64">
        <v>0.15</v>
      </c>
      <c r="M39" s="65">
        <v>0.25</v>
      </c>
      <c r="N39" s="62"/>
      <c r="Q39" s="63" t="s">
        <v>234</v>
      </c>
      <c r="R39" s="64">
        <v>0.2</v>
      </c>
      <c r="S39" s="65">
        <v>0.35</v>
      </c>
      <c r="T39" s="62"/>
    </row>
    <row r="40" spans="1:20" ht="15" customHeight="1" thickBot="1" x14ac:dyDescent="0.35">
      <c r="A40" s="5" t="s">
        <v>222</v>
      </c>
      <c r="B40" t="s">
        <v>233</v>
      </c>
      <c r="D40">
        <f>IF(BoundPortfolio!$A$2=1,Guidelines!L38,Guidelines!R38)</f>
        <v>0.2</v>
      </c>
      <c r="E40" t="s">
        <v>223</v>
      </c>
      <c r="F40" s="11">
        <v>100</v>
      </c>
      <c r="K40" s="6" t="s">
        <v>235</v>
      </c>
      <c r="L40" s="66">
        <v>0.15</v>
      </c>
      <c r="M40" s="67">
        <v>0.25</v>
      </c>
      <c r="N40" s="62"/>
      <c r="Q40" s="6" t="s">
        <v>235</v>
      </c>
      <c r="R40" s="66">
        <v>0.2</v>
      </c>
      <c r="S40" s="67">
        <v>0.35</v>
      </c>
      <c r="T40" s="62"/>
    </row>
    <row r="41" spans="1:20" x14ac:dyDescent="0.3">
      <c r="A41" s="5" t="s">
        <v>222</v>
      </c>
      <c r="B41" t="s">
        <v>234</v>
      </c>
      <c r="D41">
        <f>IF(BoundPortfolio!$A$2=1,Guidelines!L39,Guidelines!R39)</f>
        <v>0.2</v>
      </c>
      <c r="E41" t="s">
        <v>223</v>
      </c>
      <c r="F41" s="11">
        <v>100</v>
      </c>
    </row>
    <row r="42" spans="1:20" x14ac:dyDescent="0.3">
      <c r="A42" s="5" t="s">
        <v>222</v>
      </c>
      <c r="B42" t="s">
        <v>235</v>
      </c>
      <c r="D42">
        <f>IF(BoundPortfolio!$A$2=1,Guidelines!L40,Guidelines!R40)</f>
        <v>0.2</v>
      </c>
      <c r="E42" t="s">
        <v>223</v>
      </c>
      <c r="F42" s="11">
        <v>100</v>
      </c>
    </row>
    <row r="43" spans="1:20" x14ac:dyDescent="0.3">
      <c r="A43" s="5" t="s">
        <v>222</v>
      </c>
      <c r="B43" t="s">
        <v>220</v>
      </c>
      <c r="D43">
        <f>IF(BoundPortfolio!$A$2=1,Guidelines!M27,Guidelines!S27)</f>
        <v>0.75</v>
      </c>
      <c r="E43" t="s">
        <v>236</v>
      </c>
      <c r="F43" s="11">
        <v>500</v>
      </c>
    </row>
    <row r="44" spans="1:20" x14ac:dyDescent="0.3">
      <c r="A44" s="5" t="s">
        <v>222</v>
      </c>
      <c r="B44" t="s">
        <v>221</v>
      </c>
      <c r="D44">
        <f>IF(BoundPortfolio!$A$2=1,Guidelines!M28,Guidelines!S28)</f>
        <v>0.65</v>
      </c>
      <c r="E44" t="s">
        <v>236</v>
      </c>
      <c r="F44" s="11">
        <v>500</v>
      </c>
    </row>
    <row r="45" spans="1:20" x14ac:dyDescent="0.3">
      <c r="A45" s="5" t="s">
        <v>222</v>
      </c>
      <c r="B45" t="s">
        <v>224</v>
      </c>
      <c r="D45">
        <f>IF(BoundPortfolio!$A$2=1,Guidelines!M29,Guidelines!S29)</f>
        <v>0.65</v>
      </c>
      <c r="E45" t="s">
        <v>236</v>
      </c>
      <c r="F45" s="11">
        <v>500</v>
      </c>
    </row>
    <row r="46" spans="1:20" x14ac:dyDescent="0.3">
      <c r="A46" s="5" t="s">
        <v>222</v>
      </c>
      <c r="B46" t="s">
        <v>225</v>
      </c>
      <c r="D46">
        <f>IF(BoundPortfolio!$A$2=1,Guidelines!M30,Guidelines!S30)</f>
        <v>0.5</v>
      </c>
      <c r="E46" t="s">
        <v>236</v>
      </c>
      <c r="F46" s="11">
        <v>500</v>
      </c>
    </row>
    <row r="47" spans="1:20" x14ac:dyDescent="0.3">
      <c r="A47" s="5" t="s">
        <v>222</v>
      </c>
      <c r="B47" t="s">
        <v>226</v>
      </c>
      <c r="D47">
        <f>IF(BoundPortfolio!$A$2=1,Guidelines!M31,Guidelines!S31)</f>
        <v>0.65</v>
      </c>
      <c r="E47" t="s">
        <v>236</v>
      </c>
      <c r="F47" s="11">
        <v>500</v>
      </c>
    </row>
    <row r="48" spans="1:20" x14ac:dyDescent="0.3">
      <c r="A48" s="5" t="s">
        <v>222</v>
      </c>
      <c r="B48" t="s">
        <v>227</v>
      </c>
      <c r="D48">
        <f>IF(BoundPortfolio!$A$2=1,Guidelines!M32,Guidelines!S32)</f>
        <v>0.65</v>
      </c>
      <c r="E48" t="s">
        <v>236</v>
      </c>
      <c r="F48" s="11">
        <v>500</v>
      </c>
    </row>
    <row r="49" spans="1:6" x14ac:dyDescent="0.3">
      <c r="A49" s="5" t="s">
        <v>222</v>
      </c>
      <c r="B49" t="s">
        <v>228</v>
      </c>
      <c r="D49">
        <f>IF(BoundPortfolio!$A$2=1,Guidelines!M33,Guidelines!S33)</f>
        <v>0.5</v>
      </c>
      <c r="E49" t="s">
        <v>236</v>
      </c>
      <c r="F49" s="11">
        <v>500</v>
      </c>
    </row>
    <row r="50" spans="1:6" x14ac:dyDescent="0.3">
      <c r="A50" s="5" t="s">
        <v>222</v>
      </c>
      <c r="B50" t="s">
        <v>229</v>
      </c>
      <c r="D50">
        <f>IF(BoundPortfolio!$A$2=1,Guidelines!M34,Guidelines!S34)</f>
        <v>0.45</v>
      </c>
      <c r="E50" t="s">
        <v>236</v>
      </c>
      <c r="F50" s="11">
        <v>500</v>
      </c>
    </row>
    <row r="51" spans="1:6" x14ac:dyDescent="0.3">
      <c r="A51" s="5" t="s">
        <v>222</v>
      </c>
      <c r="B51" t="s">
        <v>230</v>
      </c>
      <c r="D51">
        <f>IF(BoundPortfolio!$A$2=1,Guidelines!M35,Guidelines!S35)</f>
        <v>0.65</v>
      </c>
      <c r="E51" t="s">
        <v>236</v>
      </c>
      <c r="F51" s="11">
        <v>500</v>
      </c>
    </row>
    <row r="52" spans="1:6" x14ac:dyDescent="0.3">
      <c r="A52" s="5" t="s">
        <v>222</v>
      </c>
      <c r="B52" t="s">
        <v>231</v>
      </c>
      <c r="D52">
        <f>IF(BoundPortfolio!$A$2=1,Guidelines!M36,Guidelines!S36)</f>
        <v>0.45</v>
      </c>
      <c r="E52" t="s">
        <v>236</v>
      </c>
      <c r="F52" s="11">
        <v>500</v>
      </c>
    </row>
    <row r="53" spans="1:6" x14ac:dyDescent="0.3">
      <c r="A53" s="5" t="s">
        <v>222</v>
      </c>
      <c r="B53" t="s">
        <v>232</v>
      </c>
      <c r="D53">
        <f>IF(BoundPortfolio!$A$2=1,Guidelines!M37,Guidelines!S37)</f>
        <v>0.35</v>
      </c>
      <c r="E53" t="s">
        <v>236</v>
      </c>
      <c r="F53" s="11">
        <v>500</v>
      </c>
    </row>
    <row r="54" spans="1:6" x14ac:dyDescent="0.3">
      <c r="A54" s="5" t="s">
        <v>222</v>
      </c>
      <c r="B54" t="s">
        <v>233</v>
      </c>
      <c r="D54">
        <f>IF(BoundPortfolio!$A$2=1,Guidelines!M38,Guidelines!S38)</f>
        <v>0.35</v>
      </c>
      <c r="E54" t="s">
        <v>236</v>
      </c>
      <c r="F54" s="11">
        <v>500</v>
      </c>
    </row>
    <row r="55" spans="1:6" x14ac:dyDescent="0.3">
      <c r="A55" s="5" t="s">
        <v>222</v>
      </c>
      <c r="B55" t="s">
        <v>234</v>
      </c>
      <c r="D55">
        <f>IF(BoundPortfolio!$A$2=1,Guidelines!M39,Guidelines!S39)</f>
        <v>0.35</v>
      </c>
      <c r="E55" t="s">
        <v>236</v>
      </c>
      <c r="F55" s="11">
        <v>500</v>
      </c>
    </row>
    <row r="56" spans="1:6" x14ac:dyDescent="0.3">
      <c r="A56" s="5" t="s">
        <v>222</v>
      </c>
      <c r="B56" t="s">
        <v>235</v>
      </c>
      <c r="D56">
        <f>IF(BoundPortfolio!$A$2=1,Guidelines!M40,Guidelines!S40)</f>
        <v>0.35</v>
      </c>
      <c r="E56" t="s">
        <v>236</v>
      </c>
      <c r="F56" s="11">
        <v>500</v>
      </c>
    </row>
    <row r="57" spans="1:6" x14ac:dyDescent="0.3">
      <c r="A57" s="5" t="s">
        <v>222</v>
      </c>
      <c r="B57" t="s">
        <v>237</v>
      </c>
      <c r="D57">
        <v>0.4</v>
      </c>
      <c r="E57" t="s">
        <v>223</v>
      </c>
      <c r="F57" s="11">
        <v>100</v>
      </c>
    </row>
    <row r="58" spans="1:6" x14ac:dyDescent="0.3">
      <c r="A58" s="5" t="s">
        <v>222</v>
      </c>
      <c r="B58" t="s">
        <v>237</v>
      </c>
      <c r="D58">
        <v>0.65</v>
      </c>
      <c r="E58" t="s">
        <v>236</v>
      </c>
      <c r="F58" s="11">
        <v>500</v>
      </c>
    </row>
    <row r="59" spans="1:6" x14ac:dyDescent="0.3">
      <c r="A59" s="5" t="s">
        <v>222</v>
      </c>
      <c r="B59" t="s">
        <v>238</v>
      </c>
      <c r="D59">
        <v>0.65</v>
      </c>
      <c r="E59" t="s">
        <v>236</v>
      </c>
      <c r="F59" s="11">
        <v>500</v>
      </c>
    </row>
    <row r="60" spans="1:6" x14ac:dyDescent="0.3">
      <c r="A60" s="5" t="s">
        <v>222</v>
      </c>
      <c r="B60" t="s">
        <v>238</v>
      </c>
      <c r="D60">
        <v>0.4</v>
      </c>
      <c r="E60" t="s">
        <v>223</v>
      </c>
      <c r="F60" s="11">
        <v>100</v>
      </c>
    </row>
    <row r="61" spans="1:6" x14ac:dyDescent="0.3">
      <c r="A61" s="5" t="s">
        <v>222</v>
      </c>
      <c r="B61" t="s">
        <v>239</v>
      </c>
      <c r="D61">
        <v>0.4</v>
      </c>
      <c r="E61" t="s">
        <v>223</v>
      </c>
      <c r="F61" s="11">
        <v>100</v>
      </c>
    </row>
    <row r="62" spans="1:6" x14ac:dyDescent="0.3">
      <c r="A62" s="5" t="s">
        <v>222</v>
      </c>
      <c r="B62" t="s">
        <v>239</v>
      </c>
      <c r="D62">
        <v>0.65</v>
      </c>
      <c r="E62" t="s">
        <v>236</v>
      </c>
      <c r="F62" s="11">
        <v>500</v>
      </c>
    </row>
    <row r="63" spans="1:6" x14ac:dyDescent="0.3">
      <c r="A63" s="5" t="s">
        <v>222</v>
      </c>
      <c r="B63" t="s">
        <v>240</v>
      </c>
      <c r="D63">
        <v>0.65</v>
      </c>
      <c r="E63" t="s">
        <v>236</v>
      </c>
      <c r="F63" s="11">
        <v>500</v>
      </c>
    </row>
    <row r="64" spans="1:6" x14ac:dyDescent="0.3">
      <c r="A64" s="5" t="s">
        <v>222</v>
      </c>
      <c r="B64" t="s">
        <v>240</v>
      </c>
      <c r="D64">
        <v>0.4</v>
      </c>
      <c r="E64" t="s">
        <v>223</v>
      </c>
      <c r="F64" s="11">
        <v>100</v>
      </c>
    </row>
    <row r="65" spans="1:6" x14ac:dyDescent="0.3">
      <c r="A65" s="5" t="s">
        <v>222</v>
      </c>
      <c r="B65" t="s">
        <v>241</v>
      </c>
      <c r="D65">
        <v>0.3</v>
      </c>
      <c r="E65" t="s">
        <v>223</v>
      </c>
      <c r="F65" s="11">
        <v>100</v>
      </c>
    </row>
    <row r="66" spans="1:6" x14ac:dyDescent="0.3">
      <c r="A66" s="5" t="s">
        <v>222</v>
      </c>
      <c r="B66" t="s">
        <v>241</v>
      </c>
      <c r="D66">
        <v>0.45</v>
      </c>
      <c r="E66" t="s">
        <v>236</v>
      </c>
      <c r="F66" s="11">
        <v>500</v>
      </c>
    </row>
    <row r="67" spans="1:6" x14ac:dyDescent="0.3">
      <c r="A67" s="5" t="s">
        <v>222</v>
      </c>
      <c r="B67" t="s">
        <v>242</v>
      </c>
      <c r="D67">
        <v>0.45</v>
      </c>
      <c r="E67" t="s">
        <v>236</v>
      </c>
      <c r="F67" s="11">
        <v>500</v>
      </c>
    </row>
    <row r="68" spans="1:6" x14ac:dyDescent="0.3">
      <c r="A68" s="5" t="s">
        <v>222</v>
      </c>
      <c r="B68" t="s">
        <v>242</v>
      </c>
      <c r="D68">
        <v>0.3</v>
      </c>
      <c r="E68" t="s">
        <v>223</v>
      </c>
      <c r="F68" s="11">
        <v>100</v>
      </c>
    </row>
    <row r="69" spans="1:6" x14ac:dyDescent="0.3">
      <c r="A69" s="5" t="s">
        <v>222</v>
      </c>
      <c r="B69" t="s">
        <v>243</v>
      </c>
      <c r="D69">
        <v>0.3</v>
      </c>
      <c r="E69" t="s">
        <v>223</v>
      </c>
      <c r="F69" s="11">
        <v>100</v>
      </c>
    </row>
    <row r="70" spans="1:6" x14ac:dyDescent="0.3">
      <c r="A70" s="5" t="s">
        <v>222</v>
      </c>
      <c r="B70" t="s">
        <v>243</v>
      </c>
      <c r="D70">
        <v>0.45</v>
      </c>
      <c r="E70" t="s">
        <v>236</v>
      </c>
      <c r="F70" s="11">
        <v>500</v>
      </c>
    </row>
    <row r="71" spans="1:6" x14ac:dyDescent="0.3">
      <c r="A71" s="5" t="s">
        <v>222</v>
      </c>
      <c r="B71" t="s">
        <v>244</v>
      </c>
      <c r="D71">
        <v>0.3</v>
      </c>
      <c r="E71" t="s">
        <v>223</v>
      </c>
      <c r="F71" s="11">
        <v>100</v>
      </c>
    </row>
    <row r="72" spans="1:6" x14ac:dyDescent="0.3">
      <c r="A72" s="5" t="s">
        <v>222</v>
      </c>
      <c r="B72" t="s">
        <v>245</v>
      </c>
      <c r="D72">
        <v>0.2</v>
      </c>
      <c r="E72" t="s">
        <v>223</v>
      </c>
      <c r="F72" s="11">
        <v>100</v>
      </c>
    </row>
    <row r="73" spans="1:6" x14ac:dyDescent="0.3">
      <c r="A73" s="5" t="s">
        <v>222</v>
      </c>
      <c r="B73" t="s">
        <v>246</v>
      </c>
      <c r="D73">
        <v>0.2</v>
      </c>
      <c r="E73" t="s">
        <v>223</v>
      </c>
      <c r="F73" s="11">
        <v>100</v>
      </c>
    </row>
    <row r="74" spans="1:6" x14ac:dyDescent="0.3">
      <c r="A74" s="5" t="s">
        <v>222</v>
      </c>
      <c r="B74" t="s">
        <v>247</v>
      </c>
      <c r="D74">
        <v>0.2</v>
      </c>
      <c r="E74" t="s">
        <v>223</v>
      </c>
      <c r="F74" s="11">
        <v>100</v>
      </c>
    </row>
    <row r="75" spans="1:6" x14ac:dyDescent="0.3">
      <c r="A75" s="5" t="s">
        <v>222</v>
      </c>
      <c r="B75" t="s">
        <v>248</v>
      </c>
      <c r="D75">
        <v>0.2</v>
      </c>
      <c r="E75" t="s">
        <v>223</v>
      </c>
      <c r="F75" s="11">
        <v>100</v>
      </c>
    </row>
    <row r="76" spans="1:6" x14ac:dyDescent="0.3">
      <c r="A76" s="5" t="s">
        <v>222</v>
      </c>
      <c r="B76" t="s">
        <v>244</v>
      </c>
      <c r="D76">
        <v>0.45</v>
      </c>
      <c r="E76" t="s">
        <v>236</v>
      </c>
      <c r="F76" s="11">
        <v>500</v>
      </c>
    </row>
    <row r="77" spans="1:6" x14ac:dyDescent="0.3">
      <c r="A77" s="5" t="s">
        <v>222</v>
      </c>
      <c r="B77" t="s">
        <v>245</v>
      </c>
      <c r="D77">
        <v>0.35</v>
      </c>
      <c r="E77" t="s">
        <v>236</v>
      </c>
      <c r="F77" s="11">
        <v>500</v>
      </c>
    </row>
    <row r="78" spans="1:6" x14ac:dyDescent="0.3">
      <c r="A78" s="5" t="s">
        <v>222</v>
      </c>
      <c r="B78" t="s">
        <v>246</v>
      </c>
      <c r="D78">
        <v>0.35</v>
      </c>
      <c r="E78" t="s">
        <v>236</v>
      </c>
      <c r="F78" s="11">
        <v>500</v>
      </c>
    </row>
    <row r="79" spans="1:6" x14ac:dyDescent="0.3">
      <c r="A79" s="5" t="s">
        <v>222</v>
      </c>
      <c r="B79" t="s">
        <v>247</v>
      </c>
      <c r="D79">
        <v>0.35</v>
      </c>
      <c r="E79" t="s">
        <v>236</v>
      </c>
      <c r="F79" s="11">
        <v>500</v>
      </c>
    </row>
    <row r="80" spans="1:6" x14ac:dyDescent="0.3">
      <c r="A80" s="5" t="s">
        <v>222</v>
      </c>
      <c r="B80" t="s">
        <v>248</v>
      </c>
      <c r="D80">
        <v>0.35</v>
      </c>
      <c r="E80" t="s">
        <v>236</v>
      </c>
      <c r="F80" s="11">
        <v>500</v>
      </c>
    </row>
    <row r="81" spans="1:6" x14ac:dyDescent="0.3">
      <c r="A81" s="5" t="s">
        <v>222</v>
      </c>
      <c r="B81" t="s">
        <v>249</v>
      </c>
      <c r="D81">
        <v>0.45</v>
      </c>
      <c r="E81" t="s">
        <v>223</v>
      </c>
      <c r="F81" s="11">
        <v>100</v>
      </c>
    </row>
    <row r="82" spans="1:6" x14ac:dyDescent="0.3">
      <c r="A82" s="5" t="s">
        <v>222</v>
      </c>
      <c r="B82" t="s">
        <v>249</v>
      </c>
      <c r="D82">
        <v>0.45</v>
      </c>
      <c r="E82" t="s">
        <v>236</v>
      </c>
      <c r="F82" s="11">
        <v>500</v>
      </c>
    </row>
    <row r="83" spans="1:6" x14ac:dyDescent="0.3">
      <c r="A83" s="5" t="s">
        <v>250</v>
      </c>
      <c r="B83" t="s">
        <v>197</v>
      </c>
      <c r="D83">
        <v>0.5</v>
      </c>
      <c r="F83" s="11"/>
    </row>
    <row r="84" spans="1:6" x14ac:dyDescent="0.3">
      <c r="A84" s="5" t="s">
        <v>250</v>
      </c>
      <c r="B84" t="s">
        <v>199</v>
      </c>
      <c r="D84">
        <v>0.3</v>
      </c>
      <c r="F84" s="11"/>
    </row>
    <row r="85" spans="1:6" x14ac:dyDescent="0.3">
      <c r="A85" s="5" t="s">
        <v>250</v>
      </c>
      <c r="B85" t="s">
        <v>200</v>
      </c>
      <c r="D85">
        <v>0.7</v>
      </c>
      <c r="F85" s="11"/>
    </row>
    <row r="86" spans="1:6" x14ac:dyDescent="0.3">
      <c r="A86" s="5" t="s">
        <v>250</v>
      </c>
      <c r="B86" t="s">
        <v>201</v>
      </c>
      <c r="D86">
        <v>0.7</v>
      </c>
      <c r="F86" s="11"/>
    </row>
    <row r="87" spans="1:6" x14ac:dyDescent="0.3">
      <c r="A87" s="5" t="s">
        <v>250</v>
      </c>
      <c r="B87" t="s">
        <v>203</v>
      </c>
      <c r="D87">
        <v>0.3</v>
      </c>
      <c r="F87" s="11"/>
    </row>
    <row r="88" spans="1:6" x14ac:dyDescent="0.3">
      <c r="A88" s="5" t="s">
        <v>250</v>
      </c>
      <c r="B88" t="s">
        <v>204</v>
      </c>
      <c r="D88">
        <v>0.75</v>
      </c>
      <c r="F88" s="11"/>
    </row>
    <row r="89" spans="1:6" ht="15" customHeight="1" thickBot="1" x14ac:dyDescent="0.35">
      <c r="A89" s="6" t="s">
        <v>250</v>
      </c>
      <c r="B89" s="12" t="s">
        <v>206</v>
      </c>
      <c r="C89" s="12"/>
      <c r="D89" s="12">
        <v>0.15</v>
      </c>
      <c r="E89" s="12"/>
      <c r="F89" s="13"/>
    </row>
  </sheetData>
  <conditionalFormatting sqref="K27">
    <cfRule type="duplicateValues" dxfId="22" priority="22"/>
  </conditionalFormatting>
  <conditionalFormatting sqref="K28">
    <cfRule type="duplicateValues" dxfId="21" priority="21"/>
  </conditionalFormatting>
  <conditionalFormatting sqref="K29">
    <cfRule type="duplicateValues" dxfId="20" priority="20"/>
  </conditionalFormatting>
  <conditionalFormatting sqref="K30">
    <cfRule type="duplicateValues" dxfId="19" priority="19"/>
  </conditionalFormatting>
  <conditionalFormatting sqref="K31">
    <cfRule type="duplicateValues" dxfId="18" priority="18"/>
  </conditionalFormatting>
  <conditionalFormatting sqref="K32">
    <cfRule type="duplicateValues" dxfId="17" priority="17"/>
  </conditionalFormatting>
  <conditionalFormatting sqref="K33">
    <cfRule type="duplicateValues" dxfId="16" priority="16"/>
  </conditionalFormatting>
  <conditionalFormatting sqref="K34">
    <cfRule type="duplicateValues" dxfId="15" priority="15"/>
  </conditionalFormatting>
  <conditionalFormatting sqref="K38">
    <cfRule type="duplicateValues" dxfId="14" priority="14"/>
  </conditionalFormatting>
  <conditionalFormatting sqref="K37">
    <cfRule type="duplicateValues" dxfId="13" priority="13"/>
  </conditionalFormatting>
  <conditionalFormatting sqref="K39">
    <cfRule type="duplicateValues" dxfId="12" priority="12"/>
  </conditionalFormatting>
  <conditionalFormatting sqref="Q27">
    <cfRule type="duplicateValues" dxfId="11" priority="11"/>
  </conditionalFormatting>
  <conditionalFormatting sqref="Q28">
    <cfRule type="duplicateValues" dxfId="10" priority="10"/>
  </conditionalFormatting>
  <conditionalFormatting sqref="Q29">
    <cfRule type="duplicateValues" dxfId="9" priority="9"/>
  </conditionalFormatting>
  <conditionalFormatting sqref="Q30">
    <cfRule type="duplicateValues" dxfId="8" priority="8"/>
  </conditionalFormatting>
  <conditionalFormatting sqref="Q31">
    <cfRule type="duplicateValues" dxfId="7" priority="7"/>
  </conditionalFormatting>
  <conditionalFormatting sqref="Q32">
    <cfRule type="duplicateValues" dxfId="6" priority="6"/>
  </conditionalFormatting>
  <conditionalFormatting sqref="Q33">
    <cfRule type="duplicateValues" dxfId="5" priority="5"/>
  </conditionalFormatting>
  <conditionalFormatting sqref="Q34">
    <cfRule type="duplicateValues" dxfId="4" priority="4"/>
  </conditionalFormatting>
  <conditionalFormatting sqref="Q38">
    <cfRule type="duplicateValues" dxfId="3" priority="3"/>
  </conditionalFormatting>
  <conditionalFormatting sqref="Q37">
    <cfRule type="duplicateValues" dxfId="2" priority="2"/>
  </conditionalFormatting>
  <conditionalFormatting sqref="Q39">
    <cfRule type="duplicateValues" dxfId="1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G92"/>
  <sheetViews>
    <sheetView workbookViewId="0">
      <selection activeCell="C17" sqref="C17"/>
    </sheetView>
  </sheetViews>
  <sheetFormatPr defaultColWidth="9.109375" defaultRowHeight="14.4" x14ac:dyDescent="0.3"/>
  <cols>
    <col min="1" max="1" width="22" bestFit="1" customWidth="1"/>
    <col min="2" max="2" width="35.88671875" bestFit="1" customWidth="1"/>
    <col min="3" max="3" width="14" bestFit="1" customWidth="1"/>
    <col min="5" max="5" width="25.88671875" bestFit="1" customWidth="1"/>
    <col min="6" max="6" width="25.88671875" customWidth="1"/>
    <col min="7" max="7" width="121.88671875" bestFit="1" customWidth="1"/>
  </cols>
  <sheetData>
    <row r="1" spans="1:7" ht="15" customHeight="1" thickBot="1" x14ac:dyDescent="0.35">
      <c r="A1" s="3" t="s">
        <v>0</v>
      </c>
      <c r="B1" s="7" t="s">
        <v>1</v>
      </c>
      <c r="C1" s="8" t="s">
        <v>2</v>
      </c>
      <c r="D1" s="8" t="s">
        <v>3</v>
      </c>
      <c r="E1" s="8" t="s">
        <v>4</v>
      </c>
      <c r="F1" s="9" t="s">
        <v>5</v>
      </c>
    </row>
    <row r="2" spans="1:7" x14ac:dyDescent="0.3">
      <c r="B2" s="5" t="s">
        <v>6</v>
      </c>
      <c r="C2" t="s">
        <v>7</v>
      </c>
      <c r="D2">
        <v>255</v>
      </c>
      <c r="E2" t="s">
        <v>6</v>
      </c>
      <c r="F2" s="14">
        <v>1</v>
      </c>
    </row>
    <row r="3" spans="1:7" x14ac:dyDescent="0.3">
      <c r="B3" s="5" t="s">
        <v>8</v>
      </c>
      <c r="C3" t="s">
        <v>7</v>
      </c>
      <c r="D3">
        <v>255</v>
      </c>
      <c r="E3" t="s">
        <v>8</v>
      </c>
      <c r="F3" s="14">
        <v>2</v>
      </c>
    </row>
    <row r="4" spans="1:7" x14ac:dyDescent="0.3">
      <c r="B4" s="5" t="s">
        <v>9</v>
      </c>
      <c r="C4" t="s">
        <v>7</v>
      </c>
      <c r="D4">
        <v>255</v>
      </c>
      <c r="E4" t="s">
        <v>9</v>
      </c>
      <c r="F4" s="14">
        <v>3</v>
      </c>
      <c r="G4" s="72" t="s">
        <v>10</v>
      </c>
    </row>
    <row r="5" spans="1:7" x14ac:dyDescent="0.3">
      <c r="B5" s="5" t="s">
        <v>11</v>
      </c>
      <c r="C5" t="s">
        <v>12</v>
      </c>
      <c r="D5">
        <v>255</v>
      </c>
      <c r="E5" s="22" t="s">
        <v>11</v>
      </c>
      <c r="F5" s="14">
        <v>4</v>
      </c>
    </row>
    <row r="6" spans="1:7" x14ac:dyDescent="0.3">
      <c r="B6" s="5" t="s">
        <v>13</v>
      </c>
      <c r="C6" t="s">
        <v>12</v>
      </c>
      <c r="D6">
        <v>255</v>
      </c>
      <c r="E6" s="22" t="s">
        <v>13</v>
      </c>
      <c r="F6" s="14">
        <v>5</v>
      </c>
    </row>
    <row r="7" spans="1:7" x14ac:dyDescent="0.3">
      <c r="B7" s="5" t="s">
        <v>14</v>
      </c>
      <c r="C7" t="s">
        <v>12</v>
      </c>
      <c r="D7">
        <v>255</v>
      </c>
      <c r="E7" s="22" t="s">
        <v>14</v>
      </c>
      <c r="F7" s="14">
        <v>6</v>
      </c>
    </row>
    <row r="8" spans="1:7" x14ac:dyDescent="0.3">
      <c r="B8" s="5" t="s">
        <v>15</v>
      </c>
      <c r="C8" t="s">
        <v>12</v>
      </c>
      <c r="D8">
        <v>255</v>
      </c>
      <c r="E8" s="22" t="s">
        <v>15</v>
      </c>
      <c r="F8" s="14">
        <v>7</v>
      </c>
    </row>
    <row r="9" spans="1:7" x14ac:dyDescent="0.3">
      <c r="B9" s="5" t="s">
        <v>16</v>
      </c>
      <c r="C9" t="s">
        <v>7</v>
      </c>
      <c r="D9">
        <v>255</v>
      </c>
      <c r="E9" s="22" t="s">
        <v>17</v>
      </c>
      <c r="F9" s="14">
        <v>8</v>
      </c>
      <c r="G9" t="s">
        <v>18</v>
      </c>
    </row>
    <row r="10" spans="1:7" x14ac:dyDescent="0.3">
      <c r="B10" s="5" t="s">
        <v>19</v>
      </c>
      <c r="C10" t="s">
        <v>7</v>
      </c>
      <c r="D10">
        <v>255</v>
      </c>
      <c r="E10" t="s">
        <v>19</v>
      </c>
      <c r="F10" s="14">
        <v>9</v>
      </c>
      <c r="G10" t="s">
        <v>20</v>
      </c>
    </row>
    <row r="11" spans="1:7" x14ac:dyDescent="0.3">
      <c r="B11" s="5" t="s">
        <v>21</v>
      </c>
      <c r="C11" t="s">
        <v>7</v>
      </c>
      <c r="D11">
        <v>255</v>
      </c>
      <c r="E11" t="s">
        <v>21</v>
      </c>
      <c r="F11" s="14">
        <v>10</v>
      </c>
      <c r="G11" t="s">
        <v>22</v>
      </c>
    </row>
    <row r="12" spans="1:7" x14ac:dyDescent="0.3">
      <c r="B12" s="5" t="s">
        <v>23</v>
      </c>
      <c r="C12" t="s">
        <v>12</v>
      </c>
      <c r="D12">
        <v>255</v>
      </c>
      <c r="E12" t="s">
        <v>23</v>
      </c>
      <c r="F12" s="14">
        <v>11</v>
      </c>
      <c r="G12" t="s">
        <v>24</v>
      </c>
    </row>
    <row r="13" spans="1:7" x14ac:dyDescent="0.3">
      <c r="B13" s="5" t="s">
        <v>25</v>
      </c>
      <c r="C13" t="s">
        <v>7</v>
      </c>
      <c r="E13" s="17" t="s">
        <v>25</v>
      </c>
      <c r="F13" s="14">
        <v>12</v>
      </c>
      <c r="G13" t="s">
        <v>26</v>
      </c>
    </row>
    <row r="14" spans="1:7" x14ac:dyDescent="0.3">
      <c r="B14" s="5" t="s">
        <v>27</v>
      </c>
      <c r="C14" t="s">
        <v>7</v>
      </c>
      <c r="E14" s="17" t="s">
        <v>27</v>
      </c>
      <c r="F14" s="14">
        <v>13</v>
      </c>
      <c r="G14" t="s">
        <v>28</v>
      </c>
    </row>
    <row r="15" spans="1:7" x14ac:dyDescent="0.3">
      <c r="B15" s="5" t="s">
        <v>29</v>
      </c>
      <c r="C15" t="s">
        <v>7</v>
      </c>
      <c r="D15">
        <v>255</v>
      </c>
      <c r="E15" t="s">
        <v>29</v>
      </c>
      <c r="F15" s="14">
        <v>14</v>
      </c>
    </row>
    <row r="16" spans="1:7" x14ac:dyDescent="0.3">
      <c r="B16" s="5" t="s">
        <v>30</v>
      </c>
      <c r="C16" t="s">
        <v>7</v>
      </c>
      <c r="D16">
        <v>255</v>
      </c>
      <c r="E16" t="s">
        <v>30</v>
      </c>
      <c r="F16" s="14">
        <v>15</v>
      </c>
      <c r="G16" t="s">
        <v>31</v>
      </c>
    </row>
    <row r="17" spans="2:7" x14ac:dyDescent="0.3">
      <c r="B17" s="5" t="s">
        <v>32</v>
      </c>
      <c r="C17" t="s">
        <v>33</v>
      </c>
      <c r="E17" t="s">
        <v>32</v>
      </c>
      <c r="F17" s="14">
        <v>16</v>
      </c>
      <c r="G17" t="s">
        <v>34</v>
      </c>
    </row>
    <row r="18" spans="2:7" x14ac:dyDescent="0.3">
      <c r="B18" s="5" t="s">
        <v>35</v>
      </c>
      <c r="C18" t="s">
        <v>33</v>
      </c>
      <c r="E18" t="s">
        <v>35</v>
      </c>
      <c r="F18" s="14">
        <v>17</v>
      </c>
      <c r="G18" t="s">
        <v>36</v>
      </c>
    </row>
    <row r="19" spans="2:7" x14ac:dyDescent="0.3">
      <c r="B19" s="5" t="s">
        <v>37</v>
      </c>
      <c r="C19" t="s">
        <v>33</v>
      </c>
      <c r="E19" s="35" t="s">
        <v>37</v>
      </c>
      <c r="F19" s="14">
        <v>18</v>
      </c>
      <c r="G19" t="s">
        <v>38</v>
      </c>
    </row>
    <row r="20" spans="2:7" x14ac:dyDescent="0.3">
      <c r="B20" s="5" t="s">
        <v>39</v>
      </c>
      <c r="C20" t="s">
        <v>7</v>
      </c>
      <c r="D20">
        <v>10</v>
      </c>
      <c r="E20" t="s">
        <v>39</v>
      </c>
      <c r="F20" s="14">
        <v>19</v>
      </c>
      <c r="G20" t="s">
        <v>40</v>
      </c>
    </row>
    <row r="21" spans="2:7" x14ac:dyDescent="0.3">
      <c r="B21" s="5" t="s">
        <v>41</v>
      </c>
      <c r="C21" t="s">
        <v>33</v>
      </c>
      <c r="E21" s="34" t="s">
        <v>41</v>
      </c>
      <c r="F21" s="14">
        <v>20</v>
      </c>
      <c r="G21" t="s">
        <v>42</v>
      </c>
    </row>
    <row r="22" spans="2:7" x14ac:dyDescent="0.3">
      <c r="B22" s="5" t="s">
        <v>43</v>
      </c>
      <c r="C22" t="s">
        <v>33</v>
      </c>
      <c r="E22" s="36" t="s">
        <v>44</v>
      </c>
      <c r="F22" s="14">
        <v>21</v>
      </c>
      <c r="G22" s="31"/>
    </row>
    <row r="23" spans="2:7" x14ac:dyDescent="0.3">
      <c r="B23" s="5" t="s">
        <v>45</v>
      </c>
      <c r="C23" t="s">
        <v>7</v>
      </c>
      <c r="D23">
        <v>255</v>
      </c>
      <c r="E23" s="36" t="s">
        <v>46</v>
      </c>
      <c r="F23" s="14">
        <v>22</v>
      </c>
    </row>
    <row r="24" spans="2:7" x14ac:dyDescent="0.3">
      <c r="B24" s="5" t="s">
        <v>47</v>
      </c>
      <c r="C24" t="s">
        <v>7</v>
      </c>
      <c r="E24" s="36" t="s">
        <v>48</v>
      </c>
      <c r="F24" s="14">
        <v>23</v>
      </c>
    </row>
    <row r="25" spans="2:7" x14ac:dyDescent="0.3">
      <c r="B25" s="5" t="s">
        <v>49</v>
      </c>
      <c r="C25" t="s">
        <v>33</v>
      </c>
      <c r="E25" s="36" t="s">
        <v>50</v>
      </c>
      <c r="F25" s="14">
        <v>24</v>
      </c>
    </row>
    <row r="26" spans="2:7" ht="15" customHeight="1" thickBot="1" x14ac:dyDescent="0.35">
      <c r="B26" s="5" t="s">
        <v>51</v>
      </c>
      <c r="C26" t="s">
        <v>7</v>
      </c>
      <c r="E26" s="35" t="s">
        <v>52</v>
      </c>
      <c r="F26" s="14">
        <v>25</v>
      </c>
    </row>
    <row r="27" spans="2:7" ht="15" customHeight="1" thickBot="1" x14ac:dyDescent="0.35">
      <c r="B27" s="32" t="s">
        <v>53</v>
      </c>
      <c r="C27" t="s">
        <v>33</v>
      </c>
      <c r="E27" s="32" t="s">
        <v>53</v>
      </c>
      <c r="F27" s="14">
        <v>26</v>
      </c>
      <c r="G27" t="s">
        <v>54</v>
      </c>
    </row>
    <row r="28" spans="2:7" x14ac:dyDescent="0.3">
      <c r="B28" s="5" t="s">
        <v>55</v>
      </c>
      <c r="C28" t="s">
        <v>33</v>
      </c>
      <c r="E28" t="s">
        <v>55</v>
      </c>
      <c r="F28" s="14">
        <v>27</v>
      </c>
    </row>
    <row r="29" spans="2:7" x14ac:dyDescent="0.3">
      <c r="B29" s="5" t="s">
        <v>56</v>
      </c>
      <c r="C29" t="s">
        <v>33</v>
      </c>
      <c r="E29" t="s">
        <v>57</v>
      </c>
      <c r="F29" s="14">
        <v>28</v>
      </c>
    </row>
    <row r="30" spans="2:7" x14ac:dyDescent="0.3">
      <c r="B30" s="5" t="s">
        <v>58</v>
      </c>
      <c r="C30" t="s">
        <v>33</v>
      </c>
      <c r="E30" t="s">
        <v>58</v>
      </c>
      <c r="F30" s="14">
        <v>29</v>
      </c>
    </row>
    <row r="31" spans="2:7" x14ac:dyDescent="0.3">
      <c r="B31" s="5" t="s">
        <v>59</v>
      </c>
      <c r="C31" t="s">
        <v>33</v>
      </c>
      <c r="E31" s="22" t="s">
        <v>59</v>
      </c>
      <c r="F31" s="14">
        <v>30</v>
      </c>
    </row>
    <row r="32" spans="2:7" x14ac:dyDescent="0.3">
      <c r="B32" s="5" t="s">
        <v>60</v>
      </c>
      <c r="C32" t="s">
        <v>7</v>
      </c>
      <c r="D32">
        <v>255</v>
      </c>
      <c r="E32" s="22" t="s">
        <v>60</v>
      </c>
      <c r="F32" s="14">
        <v>31</v>
      </c>
    </row>
    <row r="33" spans="2:7" x14ac:dyDescent="0.3">
      <c r="B33" s="5" t="s">
        <v>61</v>
      </c>
      <c r="C33" t="s">
        <v>33</v>
      </c>
      <c r="E33" s="22" t="s">
        <v>61</v>
      </c>
      <c r="F33" s="14">
        <v>32</v>
      </c>
    </row>
    <row r="34" spans="2:7" x14ac:dyDescent="0.3">
      <c r="B34" s="5" t="s">
        <v>62</v>
      </c>
      <c r="C34" t="s">
        <v>7</v>
      </c>
      <c r="D34">
        <v>2048</v>
      </c>
      <c r="E34" s="22" t="s">
        <v>62</v>
      </c>
      <c r="F34" s="14">
        <v>33</v>
      </c>
    </row>
    <row r="35" spans="2:7" x14ac:dyDescent="0.3">
      <c r="B35" s="5" t="s">
        <v>63</v>
      </c>
      <c r="C35" t="s">
        <v>64</v>
      </c>
      <c r="E35" s="22" t="s">
        <v>65</v>
      </c>
      <c r="F35" s="14">
        <v>34</v>
      </c>
    </row>
    <row r="36" spans="2:7" x14ac:dyDescent="0.3">
      <c r="B36" s="5" t="s">
        <v>66</v>
      </c>
      <c r="C36" t="s">
        <v>7</v>
      </c>
      <c r="E36" s="22" t="s">
        <v>66</v>
      </c>
      <c r="F36" s="14">
        <v>35</v>
      </c>
    </row>
    <row r="37" spans="2:7" x14ac:dyDescent="0.3">
      <c r="B37" s="5" t="s">
        <v>67</v>
      </c>
      <c r="C37" t="s">
        <v>7</v>
      </c>
      <c r="E37" s="22" t="s">
        <v>68</v>
      </c>
      <c r="F37" s="14">
        <v>36</v>
      </c>
    </row>
    <row r="38" spans="2:7" x14ac:dyDescent="0.3">
      <c r="B38" s="5" t="s">
        <v>69</v>
      </c>
      <c r="C38" t="s">
        <v>7</v>
      </c>
      <c r="E38" s="22" t="s">
        <v>69</v>
      </c>
      <c r="F38" s="14">
        <v>37</v>
      </c>
    </row>
    <row r="39" spans="2:7" x14ac:dyDescent="0.3">
      <c r="B39" s="5" t="s">
        <v>70</v>
      </c>
      <c r="C39" t="s">
        <v>7</v>
      </c>
      <c r="E39" s="22" t="s">
        <v>71</v>
      </c>
      <c r="F39" s="14">
        <v>38</v>
      </c>
    </row>
    <row r="40" spans="2:7" x14ac:dyDescent="0.3">
      <c r="B40" s="5" t="s">
        <v>72</v>
      </c>
      <c r="C40" t="s">
        <v>7</v>
      </c>
      <c r="E40" s="22" t="s">
        <v>72</v>
      </c>
      <c r="F40" s="14">
        <v>39</v>
      </c>
    </row>
    <row r="41" spans="2:7" x14ac:dyDescent="0.3">
      <c r="B41" s="5" t="s">
        <v>73</v>
      </c>
      <c r="C41" t="s">
        <v>12</v>
      </c>
      <c r="D41">
        <v>255</v>
      </c>
      <c r="E41" s="22" t="s">
        <v>73</v>
      </c>
      <c r="F41" s="14">
        <v>40</v>
      </c>
    </row>
    <row r="42" spans="2:7" x14ac:dyDescent="0.3">
      <c r="B42" s="5" t="s">
        <v>74</v>
      </c>
      <c r="C42" t="s">
        <v>12</v>
      </c>
      <c r="D42">
        <v>255</v>
      </c>
      <c r="E42" s="22" t="s">
        <v>74</v>
      </c>
      <c r="F42" s="14">
        <v>41</v>
      </c>
    </row>
    <row r="43" spans="2:7" x14ac:dyDescent="0.3">
      <c r="B43" s="5" t="s">
        <v>75</v>
      </c>
      <c r="C43" t="s">
        <v>33</v>
      </c>
      <c r="E43" s="37" t="s">
        <v>76</v>
      </c>
      <c r="F43" s="14">
        <v>42</v>
      </c>
    </row>
    <row r="44" spans="2:7" x14ac:dyDescent="0.3">
      <c r="B44" s="5" t="s">
        <v>77</v>
      </c>
      <c r="C44" t="s">
        <v>33</v>
      </c>
      <c r="E44" s="37" t="s">
        <v>78</v>
      </c>
      <c r="F44" s="14">
        <v>43</v>
      </c>
    </row>
    <row r="45" spans="2:7" x14ac:dyDescent="0.3">
      <c r="B45" s="5" t="s">
        <v>79</v>
      </c>
      <c r="C45" t="s">
        <v>7</v>
      </c>
      <c r="E45" s="37"/>
      <c r="F45" s="14">
        <v>44</v>
      </c>
    </row>
    <row r="46" spans="2:7" x14ac:dyDescent="0.3">
      <c r="B46" s="5" t="s">
        <v>80</v>
      </c>
      <c r="C46" t="s">
        <v>33</v>
      </c>
      <c r="E46" t="s">
        <v>80</v>
      </c>
      <c r="F46" s="14">
        <v>45</v>
      </c>
    </row>
    <row r="47" spans="2:7" x14ac:dyDescent="0.3">
      <c r="B47" s="5" t="s">
        <v>81</v>
      </c>
      <c r="C47" t="s">
        <v>64</v>
      </c>
      <c r="F47" s="11"/>
      <c r="G47" t="s">
        <v>82</v>
      </c>
    </row>
    <row r="48" spans="2:7" ht="15" customHeight="1" thickBot="1" x14ac:dyDescent="0.35">
      <c r="B48" s="6" t="s">
        <v>83</v>
      </c>
      <c r="C48" s="12" t="s">
        <v>64</v>
      </c>
      <c r="D48" s="12"/>
      <c r="E48" s="12"/>
      <c r="F48" s="13"/>
      <c r="G48" t="s">
        <v>84</v>
      </c>
    </row>
    <row r="49" spans="1:7" ht="15" customHeight="1" thickBot="1" x14ac:dyDescent="0.35"/>
    <row r="50" spans="1:7" ht="15" customHeight="1" thickBot="1" x14ac:dyDescent="0.35">
      <c r="A50" s="3" t="s">
        <v>85</v>
      </c>
      <c r="B50" s="7" t="s">
        <v>1</v>
      </c>
      <c r="C50" s="8" t="s">
        <v>2</v>
      </c>
      <c r="D50" s="8" t="s">
        <v>3</v>
      </c>
      <c r="E50" s="8" t="s">
        <v>4</v>
      </c>
      <c r="F50" s="9" t="s">
        <v>5</v>
      </c>
    </row>
    <row r="51" spans="1:7" x14ac:dyDescent="0.3">
      <c r="B51" s="10" t="s">
        <v>86</v>
      </c>
      <c r="C51" t="s">
        <v>33</v>
      </c>
      <c r="E51" s="2" t="str">
        <f>'Profit and Loss'!A$1</f>
        <v>Management Fee</v>
      </c>
      <c r="F51" s="11">
        <v>1</v>
      </c>
      <c r="G51" t="s">
        <v>87</v>
      </c>
    </row>
    <row r="52" spans="1:7" x14ac:dyDescent="0.3">
      <c r="B52" s="10" t="s">
        <v>88</v>
      </c>
      <c r="C52" t="s">
        <v>33</v>
      </c>
      <c r="E52" s="2" t="str">
        <f>'Profit and Loss'!B$1</f>
        <v>Carry</v>
      </c>
      <c r="F52" s="11">
        <v>2</v>
      </c>
    </row>
    <row r="53" spans="1:7" x14ac:dyDescent="0.3">
      <c r="B53" s="10" t="s">
        <v>89</v>
      </c>
      <c r="C53" t="s">
        <v>7</v>
      </c>
      <c r="D53">
        <v>10</v>
      </c>
      <c r="E53" s="2"/>
      <c r="F53" s="11">
        <v>9</v>
      </c>
      <c r="G53" t="s">
        <v>90</v>
      </c>
    </row>
    <row r="54" spans="1:7" x14ac:dyDescent="0.3">
      <c r="B54" s="10" t="s">
        <v>91</v>
      </c>
      <c r="C54" t="s">
        <v>33</v>
      </c>
      <c r="E54" s="2" t="str">
        <f>'Profit and Loss'!C$1</f>
        <v>Hurdle (Hard)</v>
      </c>
      <c r="F54" s="11">
        <v>3</v>
      </c>
      <c r="G54" t="s">
        <v>92</v>
      </c>
    </row>
    <row r="55" spans="1:7" x14ac:dyDescent="0.3">
      <c r="B55" s="10" t="s">
        <v>93</v>
      </c>
      <c r="C55" t="s">
        <v>33</v>
      </c>
      <c r="E55" s="2" t="str">
        <f>'Profit and Loss'!D$1</f>
        <v>Fronting Fee</v>
      </c>
      <c r="F55" s="11">
        <v>4</v>
      </c>
      <c r="G55" t="s">
        <v>94</v>
      </c>
    </row>
    <row r="56" spans="1:7" x14ac:dyDescent="0.3">
      <c r="B56" s="10" t="s">
        <v>95</v>
      </c>
      <c r="C56" t="s">
        <v>33</v>
      </c>
      <c r="E56" s="2" t="str">
        <f>'Profit and Loss'!E$1</f>
        <v>Acquisition Expense</v>
      </c>
      <c r="F56" s="11">
        <v>5</v>
      </c>
    </row>
    <row r="57" spans="1:7" x14ac:dyDescent="0.3">
      <c r="B57" s="10" t="s">
        <v>96</v>
      </c>
      <c r="C57" t="s">
        <v>33</v>
      </c>
      <c r="E57" s="2" t="str">
        <f>'Profit and Loss'!F$1</f>
        <v>FET</v>
      </c>
      <c r="F57" s="11">
        <v>6</v>
      </c>
    </row>
    <row r="58" spans="1:7" x14ac:dyDescent="0.3">
      <c r="B58" s="10" t="s">
        <v>97</v>
      </c>
      <c r="C58" t="s">
        <v>33</v>
      </c>
      <c r="E58" s="2" t="str">
        <f>'Profit and Loss'!H$1</f>
        <v>Op/Org Expenses</v>
      </c>
      <c r="F58" s="11">
        <v>8</v>
      </c>
      <c r="G58" t="s">
        <v>98</v>
      </c>
    </row>
    <row r="59" spans="1:7" x14ac:dyDescent="0.3">
      <c r="B59" s="10" t="s">
        <v>99</v>
      </c>
      <c r="C59" t="s">
        <v>33</v>
      </c>
      <c r="E59" s="2" t="str">
        <f>'Profit and Loss'!G$1</f>
        <v>Investment Inc</v>
      </c>
      <c r="F59" s="11">
        <v>7</v>
      </c>
      <c r="G59" t="s">
        <v>100</v>
      </c>
    </row>
    <row r="60" spans="1:7" x14ac:dyDescent="0.3">
      <c r="B60" s="10" t="s">
        <v>101</v>
      </c>
      <c r="C60" t="s">
        <v>33</v>
      </c>
      <c r="E60" s="2" t="s">
        <v>102</v>
      </c>
      <c r="F60" s="11">
        <v>10</v>
      </c>
    </row>
    <row r="61" spans="1:7" x14ac:dyDescent="0.3">
      <c r="B61" s="10" t="s">
        <v>103</v>
      </c>
      <c r="C61" t="s">
        <v>33</v>
      </c>
      <c r="E61" s="2" t="s">
        <v>104</v>
      </c>
      <c r="F61" s="11">
        <v>11</v>
      </c>
    </row>
    <row r="62" spans="1:7" x14ac:dyDescent="0.3">
      <c r="B62" s="10" t="s">
        <v>105</v>
      </c>
      <c r="C62" t="s">
        <v>33</v>
      </c>
      <c r="E62" s="2" t="s">
        <v>106</v>
      </c>
      <c r="F62" s="11">
        <v>12</v>
      </c>
    </row>
    <row r="63" spans="1:7" x14ac:dyDescent="0.3">
      <c r="B63" s="10" t="s">
        <v>107</v>
      </c>
      <c r="C63" t="s">
        <v>33</v>
      </c>
      <c r="E63" s="2" t="s">
        <v>108</v>
      </c>
      <c r="F63" s="11">
        <v>13</v>
      </c>
    </row>
    <row r="64" spans="1:7" x14ac:dyDescent="0.3">
      <c r="B64" s="5" t="s">
        <v>109</v>
      </c>
      <c r="C64" t="s">
        <v>64</v>
      </c>
      <c r="F64" s="11"/>
      <c r="G64" t="s">
        <v>82</v>
      </c>
    </row>
    <row r="65" spans="1:7" ht="15" customHeight="1" thickBot="1" x14ac:dyDescent="0.35">
      <c r="B65" s="6" t="s">
        <v>83</v>
      </c>
      <c r="C65" s="12" t="s">
        <v>64</v>
      </c>
      <c r="D65" s="12"/>
      <c r="E65" s="12"/>
      <c r="F65" s="13"/>
      <c r="G65" t="s">
        <v>84</v>
      </c>
    </row>
    <row r="66" spans="1:7" ht="15" customHeight="1" thickBot="1" x14ac:dyDescent="0.35"/>
    <row r="67" spans="1:7" ht="15" customHeight="1" thickBot="1" x14ac:dyDescent="0.35">
      <c r="A67" s="3" t="s">
        <v>110</v>
      </c>
      <c r="B67" s="7" t="s">
        <v>1</v>
      </c>
      <c r="C67" s="8" t="s">
        <v>2</v>
      </c>
      <c r="D67" s="8" t="s">
        <v>3</v>
      </c>
      <c r="E67" s="8" t="s">
        <v>4</v>
      </c>
      <c r="F67" s="9" t="s">
        <v>5</v>
      </c>
    </row>
    <row r="68" spans="1:7" x14ac:dyDescent="0.3">
      <c r="B68" s="5" t="s">
        <v>111</v>
      </c>
      <c r="C68" t="s">
        <v>64</v>
      </c>
      <c r="E68" t="str">
        <f>'Historical Events Adjustment'!A1</f>
        <v>EventID</v>
      </c>
      <c r="F68" s="11">
        <v>1</v>
      </c>
    </row>
    <row r="69" spans="1:7" x14ac:dyDescent="0.3">
      <c r="B69" s="5" t="s">
        <v>112</v>
      </c>
      <c r="C69" t="s">
        <v>7</v>
      </c>
      <c r="D69">
        <v>100</v>
      </c>
      <c r="E69" t="str">
        <f>'Historical Events Adjustment'!B1</f>
        <v>Event Name</v>
      </c>
      <c r="F69" s="11">
        <v>2</v>
      </c>
      <c r="G69" t="s">
        <v>113</v>
      </c>
    </row>
    <row r="70" spans="1:7" x14ac:dyDescent="0.3">
      <c r="B70" s="5" t="s">
        <v>9</v>
      </c>
      <c r="C70" t="s">
        <v>7</v>
      </c>
      <c r="D70">
        <v>500</v>
      </c>
      <c r="E70" t="str">
        <f>'Historical Events Adjustment'!C1</f>
        <v>ILSName (has to be exactly same as ILS Name in Bound details)</v>
      </c>
      <c r="F70" s="11">
        <v>3</v>
      </c>
      <c r="G70" t="s">
        <v>10</v>
      </c>
    </row>
    <row r="71" spans="1:7" x14ac:dyDescent="0.3">
      <c r="B71" s="5" t="s">
        <v>114</v>
      </c>
      <c r="C71" t="s">
        <v>33</v>
      </c>
      <c r="E71" t="str">
        <f>'Historical Events Adjustment'!D1</f>
        <v>Additional Adjustment</v>
      </c>
      <c r="F71" s="11">
        <v>4</v>
      </c>
    </row>
    <row r="72" spans="1:7" x14ac:dyDescent="0.3">
      <c r="B72" s="5" t="s">
        <v>109</v>
      </c>
      <c r="C72" t="s">
        <v>64</v>
      </c>
      <c r="F72" s="11"/>
      <c r="G72" t="s">
        <v>82</v>
      </c>
    </row>
    <row r="73" spans="1:7" ht="15" customHeight="1" thickBot="1" x14ac:dyDescent="0.35">
      <c r="B73" s="6" t="s">
        <v>83</v>
      </c>
      <c r="C73" s="12" t="s">
        <v>64</v>
      </c>
      <c r="D73" s="12"/>
      <c r="E73" s="12"/>
      <c r="F73" s="13"/>
      <c r="G73" t="s">
        <v>84</v>
      </c>
    </row>
    <row r="74" spans="1:7" ht="15" customHeight="1" thickBot="1" x14ac:dyDescent="0.35"/>
    <row r="75" spans="1:7" ht="15" customHeight="1" thickBot="1" x14ac:dyDescent="0.35">
      <c r="A75" s="3" t="s">
        <v>115</v>
      </c>
      <c r="B75" s="7" t="s">
        <v>1</v>
      </c>
      <c r="C75" s="8" t="s">
        <v>2</v>
      </c>
      <c r="D75" s="8" t="s">
        <v>3</v>
      </c>
      <c r="E75" s="8" t="s">
        <v>4</v>
      </c>
      <c r="F75" s="9" t="s">
        <v>5</v>
      </c>
    </row>
    <row r="76" spans="1:7" x14ac:dyDescent="0.3">
      <c r="B76" s="5" t="s">
        <v>116</v>
      </c>
      <c r="C76" t="s">
        <v>7</v>
      </c>
      <c r="D76">
        <v>255</v>
      </c>
      <c r="E76" t="str">
        <f>Guidelines!A$1</f>
        <v>ConstraintType</v>
      </c>
      <c r="F76" s="11">
        <v>1</v>
      </c>
    </row>
    <row r="77" spans="1:7" x14ac:dyDescent="0.3">
      <c r="B77" s="5" t="s">
        <v>117</v>
      </c>
      <c r="C77" t="s">
        <v>7</v>
      </c>
      <c r="D77">
        <v>255</v>
      </c>
      <c r="E77" t="str">
        <f>Guidelines!B$1</f>
        <v>ConstraintName</v>
      </c>
      <c r="F77" s="11">
        <v>2</v>
      </c>
    </row>
    <row r="78" spans="1:7" x14ac:dyDescent="0.3">
      <c r="B78" s="5" t="s">
        <v>118</v>
      </c>
      <c r="C78" t="s">
        <v>33</v>
      </c>
      <c r="E78" t="str">
        <f>Guidelines!C$1</f>
        <v>SingleLimit</v>
      </c>
      <c r="F78" s="11">
        <v>3</v>
      </c>
    </row>
    <row r="79" spans="1:7" x14ac:dyDescent="0.3">
      <c r="B79" s="15" t="s">
        <v>119</v>
      </c>
      <c r="C79" t="s">
        <v>33</v>
      </c>
      <c r="E79" t="str">
        <f>Guidelines!D$1</f>
        <v>MaxLimit</v>
      </c>
      <c r="F79" s="11">
        <v>4</v>
      </c>
    </row>
    <row r="80" spans="1:7" x14ac:dyDescent="0.3">
      <c r="B80" s="5" t="s">
        <v>120</v>
      </c>
      <c r="C80" t="s">
        <v>7</v>
      </c>
      <c r="D80">
        <v>100</v>
      </c>
      <c r="E80" t="str">
        <f>Guidelines!E$1</f>
        <v>LossType</v>
      </c>
      <c r="F80" s="11">
        <v>5</v>
      </c>
    </row>
    <row r="81" spans="1:7" x14ac:dyDescent="0.3">
      <c r="B81" s="5" t="s">
        <v>121</v>
      </c>
      <c r="C81" t="s">
        <v>64</v>
      </c>
      <c r="E81" t="str">
        <f>Guidelines!F$1</f>
        <v>ReturnPeriod</v>
      </c>
      <c r="F81" s="11">
        <v>6</v>
      </c>
    </row>
    <row r="82" spans="1:7" x14ac:dyDescent="0.3">
      <c r="B82" s="5" t="s">
        <v>81</v>
      </c>
      <c r="C82" t="s">
        <v>64</v>
      </c>
      <c r="F82" s="11"/>
      <c r="G82" t="s">
        <v>82</v>
      </c>
    </row>
    <row r="83" spans="1:7" ht="15" customHeight="1" thickBot="1" x14ac:dyDescent="0.35">
      <c r="B83" s="6" t="s">
        <v>83</v>
      </c>
      <c r="C83" s="12" t="s">
        <v>64</v>
      </c>
      <c r="D83" s="12"/>
      <c r="E83" s="12"/>
      <c r="F83" s="13"/>
      <c r="G83" t="s">
        <v>84</v>
      </c>
    </row>
    <row r="84" spans="1:7" ht="15" customHeight="1" thickBot="1" x14ac:dyDescent="0.35"/>
    <row r="85" spans="1:7" ht="15" customHeight="1" thickBot="1" x14ac:dyDescent="0.35">
      <c r="A85" s="3" t="s">
        <v>122</v>
      </c>
      <c r="B85" s="7" t="s">
        <v>1</v>
      </c>
      <c r="C85" s="8" t="s">
        <v>2</v>
      </c>
      <c r="D85" s="8" t="s">
        <v>3</v>
      </c>
      <c r="E85" s="8" t="s">
        <v>4</v>
      </c>
      <c r="F85" s="9" t="s">
        <v>5</v>
      </c>
    </row>
    <row r="86" spans="1:7" x14ac:dyDescent="0.3">
      <c r="B86" s="5" t="s">
        <v>81</v>
      </c>
      <c r="C86" t="s">
        <v>33</v>
      </c>
      <c r="F86" s="11"/>
    </row>
    <row r="87" spans="1:7" x14ac:dyDescent="0.3">
      <c r="B87" s="5" t="s">
        <v>123</v>
      </c>
      <c r="C87" t="s">
        <v>7</v>
      </c>
      <c r="D87">
        <v>50</v>
      </c>
      <c r="F87" s="11"/>
    </row>
    <row r="88" spans="1:7" x14ac:dyDescent="0.3">
      <c r="B88" s="5" t="s">
        <v>124</v>
      </c>
      <c r="C88" t="s">
        <v>33</v>
      </c>
      <c r="F88" s="11"/>
    </row>
    <row r="89" spans="1:7" x14ac:dyDescent="0.3">
      <c r="B89" s="5" t="s">
        <v>125</v>
      </c>
      <c r="C89" t="s">
        <v>7</v>
      </c>
      <c r="D89">
        <v>510</v>
      </c>
      <c r="F89" s="11"/>
    </row>
    <row r="90" spans="1:7" x14ac:dyDescent="0.3">
      <c r="B90" s="5" t="s">
        <v>126</v>
      </c>
      <c r="C90" t="s">
        <v>127</v>
      </c>
      <c r="F90" s="11"/>
    </row>
    <row r="91" spans="1:7" x14ac:dyDescent="0.3">
      <c r="B91" s="5" t="s">
        <v>128</v>
      </c>
      <c r="C91" t="s">
        <v>7</v>
      </c>
      <c r="D91">
        <v>2048</v>
      </c>
      <c r="F91" s="11"/>
    </row>
    <row r="92" spans="1:7" ht="15" customHeight="1" thickBot="1" x14ac:dyDescent="0.35">
      <c r="B92" s="6" t="s">
        <v>129</v>
      </c>
      <c r="C92" s="12" t="s">
        <v>7</v>
      </c>
      <c r="D92" s="12">
        <v>255</v>
      </c>
      <c r="E92" s="12"/>
      <c r="F92" s="13"/>
    </row>
  </sheetData>
  <conditionalFormatting sqref="F3 F6 F9 F12 F15 F18 F21 F24 F27 F30 F33 F36 F39 F42">
    <cfRule type="duplicateValues" dxfId="0" priority="1"/>
  </conditionalFormatting>
  <pageMargins left="0.7" right="0.7" top="0.75" bottom="0.75" header="0.3" footer="0.3"/>
  <pageSetup orientation="portrait" horizontalDpi="90" verticalDpi="9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G76"/>
  <sheetViews>
    <sheetView workbookViewId="0">
      <selection activeCell="C25" sqref="C25"/>
    </sheetView>
  </sheetViews>
  <sheetFormatPr defaultColWidth="9.109375" defaultRowHeight="14.4" x14ac:dyDescent="0.3"/>
  <cols>
    <col min="1" max="1" width="33" customWidth="1"/>
    <col min="2" max="2" width="39.109375" bestFit="1" customWidth="1"/>
    <col min="3" max="3" width="29.6640625" bestFit="1" customWidth="1"/>
    <col min="4" max="4" width="25.88671875" bestFit="1" customWidth="1"/>
    <col min="5" max="5" width="29.33203125" bestFit="1" customWidth="1"/>
    <col min="6" max="6" width="8.88671875" customWidth="1"/>
    <col min="8" max="9" width="8.88671875" customWidth="1"/>
  </cols>
  <sheetData>
    <row r="1" spans="1:7" ht="15" customHeight="1" thickBot="1" x14ac:dyDescent="0.35">
      <c r="A1" s="3" t="s">
        <v>251</v>
      </c>
      <c r="B1" s="7" t="s">
        <v>252</v>
      </c>
      <c r="C1" s="8" t="s">
        <v>253</v>
      </c>
      <c r="D1" s="9" t="s">
        <v>254</v>
      </c>
      <c r="G1" s="8" t="s">
        <v>2</v>
      </c>
    </row>
    <row r="2" spans="1:7" x14ac:dyDescent="0.3">
      <c r="B2" s="5" t="s">
        <v>255</v>
      </c>
      <c r="C2" t="s">
        <v>256</v>
      </c>
      <c r="D2" s="11">
        <v>2</v>
      </c>
      <c r="G2" t="s">
        <v>7</v>
      </c>
    </row>
    <row r="3" spans="1:7" x14ac:dyDescent="0.3">
      <c r="B3" s="5" t="s">
        <v>257</v>
      </c>
      <c r="C3" t="s">
        <v>256</v>
      </c>
      <c r="D3" s="11">
        <v>3</v>
      </c>
      <c r="G3" t="s">
        <v>7</v>
      </c>
    </row>
    <row r="4" spans="1:7" x14ac:dyDescent="0.3">
      <c r="B4" s="5" t="s">
        <v>258</v>
      </c>
      <c r="C4" t="s">
        <v>256</v>
      </c>
      <c r="D4" s="11">
        <v>4</v>
      </c>
      <c r="G4" t="s">
        <v>7</v>
      </c>
    </row>
    <row r="5" spans="1:7" x14ac:dyDescent="0.3">
      <c r="B5" s="5" t="s">
        <v>259</v>
      </c>
      <c r="C5" t="s">
        <v>260</v>
      </c>
      <c r="D5" s="11" t="s">
        <v>260</v>
      </c>
      <c r="G5" t="s">
        <v>12</v>
      </c>
    </row>
    <row r="6" spans="1:7" x14ac:dyDescent="0.3">
      <c r="B6" s="5" t="s">
        <v>261</v>
      </c>
      <c r="C6" t="s">
        <v>256</v>
      </c>
      <c r="D6" s="11" t="s">
        <v>256</v>
      </c>
      <c r="G6" t="s">
        <v>12</v>
      </c>
    </row>
    <row r="7" spans="1:7" x14ac:dyDescent="0.3">
      <c r="B7" s="5" t="s">
        <v>262</v>
      </c>
      <c r="D7" s="71" t="s">
        <v>263</v>
      </c>
      <c r="G7" t="s">
        <v>12</v>
      </c>
    </row>
    <row r="8" spans="1:7" x14ac:dyDescent="0.3">
      <c r="B8" s="5" t="s">
        <v>264</v>
      </c>
      <c r="D8" s="71" t="s">
        <v>265</v>
      </c>
      <c r="G8" t="s">
        <v>12</v>
      </c>
    </row>
    <row r="9" spans="1:7" x14ac:dyDescent="0.3">
      <c r="B9" s="5" t="s">
        <v>266</v>
      </c>
      <c r="D9" s="71"/>
      <c r="G9" t="s">
        <v>7</v>
      </c>
    </row>
    <row r="10" spans="1:7" x14ac:dyDescent="0.3">
      <c r="B10" s="5" t="s">
        <v>267</v>
      </c>
      <c r="D10" s="71"/>
      <c r="G10" t="s">
        <v>7</v>
      </c>
    </row>
    <row r="11" spans="1:7" x14ac:dyDescent="0.3">
      <c r="B11" s="5" t="s">
        <v>268</v>
      </c>
      <c r="C11" t="s">
        <v>269</v>
      </c>
      <c r="D11" s="11">
        <v>15</v>
      </c>
      <c r="G11" t="s">
        <v>7</v>
      </c>
    </row>
    <row r="12" spans="1:7" ht="15" customHeight="1" thickBot="1" x14ac:dyDescent="0.35">
      <c r="B12" s="6" t="s">
        <v>270</v>
      </c>
      <c r="C12" s="12" t="s">
        <v>269</v>
      </c>
      <c r="D12" s="13">
        <v>5</v>
      </c>
      <c r="G12" t="s">
        <v>7</v>
      </c>
    </row>
    <row r="13" spans="1:7" ht="15" customHeight="1" thickBot="1" x14ac:dyDescent="0.35">
      <c r="G13" t="s">
        <v>7</v>
      </c>
    </row>
    <row r="14" spans="1:7" ht="15" customHeight="1" thickBot="1" x14ac:dyDescent="0.35">
      <c r="A14" s="3" t="s">
        <v>271</v>
      </c>
      <c r="B14" s="18" t="s">
        <v>272</v>
      </c>
      <c r="C14" s="19" t="s">
        <v>273</v>
      </c>
      <c r="D14" s="19" t="s">
        <v>274</v>
      </c>
      <c r="E14" s="20" t="s">
        <v>275</v>
      </c>
      <c r="G14" t="s">
        <v>7</v>
      </c>
    </row>
    <row r="15" spans="1:7" x14ac:dyDescent="0.3">
      <c r="A15" s="1"/>
      <c r="B15" s="18" t="s">
        <v>0</v>
      </c>
      <c r="C15" s="19">
        <f>ROW('Bound Portfolio Report'!A1)</f>
        <v>1</v>
      </c>
      <c r="D15" s="19">
        <f>$C15+1</f>
        <v>2</v>
      </c>
      <c r="E15" s="20">
        <f>MATCH(B15,BoundPortfolioDetails!A:A,0)+1</f>
        <v>2</v>
      </c>
      <c r="G15" t="s">
        <v>7</v>
      </c>
    </row>
    <row r="16" spans="1:7" x14ac:dyDescent="0.3">
      <c r="B16" s="5" t="s">
        <v>85</v>
      </c>
      <c r="C16">
        <f>ROW('Profit and Loss'!A1)</f>
        <v>1</v>
      </c>
      <c r="D16">
        <f>$C16+1</f>
        <v>2</v>
      </c>
      <c r="E16" s="11">
        <f>MATCH(B16,BoundPortfolioDetails!A:A,0)+1</f>
        <v>51</v>
      </c>
      <c r="G16" t="s">
        <v>7</v>
      </c>
    </row>
    <row r="17" spans="2:7" x14ac:dyDescent="0.3">
      <c r="B17" s="5" t="s">
        <v>110</v>
      </c>
      <c r="C17">
        <f>ROW('Historical Events Adjustment'!A1)</f>
        <v>1</v>
      </c>
      <c r="D17">
        <f>$C17+1</f>
        <v>2</v>
      </c>
      <c r="E17" s="11">
        <f>MATCH(B17,BoundPortfolioDetails!A:A,0)+1</f>
        <v>68</v>
      </c>
      <c r="G17" t="s">
        <v>33</v>
      </c>
    </row>
    <row r="18" spans="2:7" x14ac:dyDescent="0.3">
      <c r="B18" s="5" t="s">
        <v>115</v>
      </c>
      <c r="C18">
        <f>ROW(Guidelines!A1)</f>
        <v>1</v>
      </c>
      <c r="D18">
        <f>$C18+1</f>
        <v>2</v>
      </c>
      <c r="E18" s="11">
        <f>MATCH(B18,BoundPortfolioDetails!A:A,0)+1</f>
        <v>76</v>
      </c>
      <c r="G18" t="s">
        <v>33</v>
      </c>
    </row>
    <row r="19" spans="2:7" ht="15" customHeight="1" thickBot="1" x14ac:dyDescent="0.35">
      <c r="B19" s="6" t="s">
        <v>122</v>
      </c>
      <c r="C19" s="12">
        <f>ROW(BoundPortfolio!A1)</f>
        <v>1</v>
      </c>
      <c r="D19" s="12">
        <f>$C19+1</f>
        <v>2</v>
      </c>
      <c r="E19" s="13">
        <f>MATCH(B19,BoundPortfolioDetails!A:A,0)+1</f>
        <v>86</v>
      </c>
      <c r="G19" t="s">
        <v>7</v>
      </c>
    </row>
    <row r="20" spans="2:7" x14ac:dyDescent="0.3">
      <c r="G20" t="s">
        <v>33</v>
      </c>
    </row>
    <row r="21" spans="2:7" x14ac:dyDescent="0.3">
      <c r="G21" t="s">
        <v>33</v>
      </c>
    </row>
    <row r="22" spans="2:7" x14ac:dyDescent="0.3">
      <c r="G22" t="s">
        <v>33</v>
      </c>
    </row>
    <row r="23" spans="2:7" x14ac:dyDescent="0.3">
      <c r="G23" t="s">
        <v>33</v>
      </c>
    </row>
    <row r="24" spans="2:7" x14ac:dyDescent="0.3">
      <c r="G24" t="s">
        <v>7</v>
      </c>
    </row>
    <row r="25" spans="2:7" x14ac:dyDescent="0.3">
      <c r="G25" t="s">
        <v>33</v>
      </c>
    </row>
    <row r="26" spans="2:7" x14ac:dyDescent="0.3">
      <c r="G26" t="s">
        <v>7</v>
      </c>
    </row>
    <row r="27" spans="2:7" x14ac:dyDescent="0.3">
      <c r="G27" t="s">
        <v>64</v>
      </c>
    </row>
    <row r="28" spans="2:7" x14ac:dyDescent="0.3">
      <c r="G28" t="s">
        <v>12</v>
      </c>
    </row>
    <row r="29" spans="2:7" x14ac:dyDescent="0.3">
      <c r="G29" t="s">
        <v>12</v>
      </c>
    </row>
    <row r="30" spans="2:7" x14ac:dyDescent="0.3">
      <c r="G30" t="s">
        <v>7</v>
      </c>
    </row>
    <row r="31" spans="2:7" x14ac:dyDescent="0.3">
      <c r="G31" t="s">
        <v>7</v>
      </c>
    </row>
    <row r="32" spans="2:7" x14ac:dyDescent="0.3">
      <c r="G32" t="s">
        <v>7</v>
      </c>
    </row>
    <row r="33" spans="7:7" x14ac:dyDescent="0.3">
      <c r="G33" t="s">
        <v>12</v>
      </c>
    </row>
    <row r="34" spans="7:7" x14ac:dyDescent="0.3">
      <c r="G34" t="s">
        <v>33</v>
      </c>
    </row>
    <row r="35" spans="7:7" x14ac:dyDescent="0.3">
      <c r="G35" t="s">
        <v>33</v>
      </c>
    </row>
    <row r="36" spans="7:7" x14ac:dyDescent="0.3">
      <c r="G36" t="s">
        <v>64</v>
      </c>
    </row>
    <row r="37" spans="7:7" ht="15" customHeight="1" thickBot="1" x14ac:dyDescent="0.35">
      <c r="G37" s="12" t="s">
        <v>64</v>
      </c>
    </row>
    <row r="38" spans="7:7" ht="15" customHeight="1" thickBot="1" x14ac:dyDescent="0.35"/>
    <row r="39" spans="7:7" ht="15" customHeight="1" thickBot="1" x14ac:dyDescent="0.35">
      <c r="G39" s="8" t="s">
        <v>2</v>
      </c>
    </row>
    <row r="40" spans="7:7" x14ac:dyDescent="0.3">
      <c r="G40" t="s">
        <v>33</v>
      </c>
    </row>
    <row r="41" spans="7:7" x14ac:dyDescent="0.3">
      <c r="G41" t="s">
        <v>33</v>
      </c>
    </row>
    <row r="42" spans="7:7" x14ac:dyDescent="0.3">
      <c r="G42" t="s">
        <v>7</v>
      </c>
    </row>
    <row r="43" spans="7:7" x14ac:dyDescent="0.3">
      <c r="G43" t="s">
        <v>33</v>
      </c>
    </row>
    <row r="44" spans="7:7" x14ac:dyDescent="0.3">
      <c r="G44" t="s">
        <v>33</v>
      </c>
    </row>
    <row r="45" spans="7:7" x14ac:dyDescent="0.3">
      <c r="G45" t="s">
        <v>33</v>
      </c>
    </row>
    <row r="46" spans="7:7" x14ac:dyDescent="0.3">
      <c r="G46" t="s">
        <v>33</v>
      </c>
    </row>
    <row r="47" spans="7:7" x14ac:dyDescent="0.3">
      <c r="G47" t="s">
        <v>33</v>
      </c>
    </row>
    <row r="48" spans="7:7" x14ac:dyDescent="0.3">
      <c r="G48" t="s">
        <v>33</v>
      </c>
    </row>
    <row r="49" spans="7:7" x14ac:dyDescent="0.3">
      <c r="G49" t="s">
        <v>64</v>
      </c>
    </row>
    <row r="50" spans="7:7" ht="15" customHeight="1" thickBot="1" x14ac:dyDescent="0.35">
      <c r="G50" s="12" t="s">
        <v>64</v>
      </c>
    </row>
    <row r="51" spans="7:7" ht="15" customHeight="1" thickBot="1" x14ac:dyDescent="0.35"/>
    <row r="52" spans="7:7" ht="15" customHeight="1" thickBot="1" x14ac:dyDescent="0.35">
      <c r="G52" s="8" t="s">
        <v>2</v>
      </c>
    </row>
    <row r="53" spans="7:7" x14ac:dyDescent="0.3">
      <c r="G53" t="s">
        <v>64</v>
      </c>
    </row>
    <row r="54" spans="7:7" x14ac:dyDescent="0.3">
      <c r="G54" t="s">
        <v>7</v>
      </c>
    </row>
    <row r="55" spans="7:7" x14ac:dyDescent="0.3">
      <c r="G55" t="s">
        <v>7</v>
      </c>
    </row>
    <row r="56" spans="7:7" x14ac:dyDescent="0.3">
      <c r="G56" t="s">
        <v>33</v>
      </c>
    </row>
    <row r="57" spans="7:7" x14ac:dyDescent="0.3">
      <c r="G57" t="s">
        <v>64</v>
      </c>
    </row>
    <row r="58" spans="7:7" ht="15" customHeight="1" thickBot="1" x14ac:dyDescent="0.35">
      <c r="G58" s="12" t="s">
        <v>64</v>
      </c>
    </row>
    <row r="59" spans="7:7" ht="15" customHeight="1" thickBot="1" x14ac:dyDescent="0.35"/>
    <row r="60" spans="7:7" ht="15" customHeight="1" thickBot="1" x14ac:dyDescent="0.35">
      <c r="G60" s="8" t="s">
        <v>2</v>
      </c>
    </row>
    <row r="61" spans="7:7" x14ac:dyDescent="0.3">
      <c r="G61" t="s">
        <v>7</v>
      </c>
    </row>
    <row r="62" spans="7:7" x14ac:dyDescent="0.3">
      <c r="G62" t="s">
        <v>7</v>
      </c>
    </row>
    <row r="63" spans="7:7" x14ac:dyDescent="0.3">
      <c r="G63" t="s">
        <v>33</v>
      </c>
    </row>
    <row r="64" spans="7:7" x14ac:dyDescent="0.3">
      <c r="G64" t="s">
        <v>33</v>
      </c>
    </row>
    <row r="65" spans="7:7" x14ac:dyDescent="0.3">
      <c r="G65" t="s">
        <v>7</v>
      </c>
    </row>
    <row r="66" spans="7:7" x14ac:dyDescent="0.3">
      <c r="G66" t="s">
        <v>64</v>
      </c>
    </row>
    <row r="67" spans="7:7" x14ac:dyDescent="0.3">
      <c r="G67" t="s">
        <v>64</v>
      </c>
    </row>
    <row r="68" spans="7:7" ht="15" customHeight="1" thickBot="1" x14ac:dyDescent="0.35">
      <c r="G68" s="12" t="s">
        <v>64</v>
      </c>
    </row>
    <row r="69" spans="7:7" ht="15" customHeight="1" thickBot="1" x14ac:dyDescent="0.35"/>
    <row r="70" spans="7:7" ht="15" customHeight="1" thickBot="1" x14ac:dyDescent="0.35">
      <c r="G70" s="8" t="s">
        <v>2</v>
      </c>
    </row>
    <row r="71" spans="7:7" x14ac:dyDescent="0.3">
      <c r="G71" t="s">
        <v>33</v>
      </c>
    </row>
    <row r="72" spans="7:7" x14ac:dyDescent="0.3">
      <c r="G72" t="s">
        <v>7</v>
      </c>
    </row>
    <row r="73" spans="7:7" x14ac:dyDescent="0.3">
      <c r="G73" t="s">
        <v>33</v>
      </c>
    </row>
    <row r="74" spans="7:7" x14ac:dyDescent="0.3">
      <c r="G74" t="s">
        <v>7</v>
      </c>
    </row>
    <row r="75" spans="7:7" x14ac:dyDescent="0.3">
      <c r="G75" t="s">
        <v>127</v>
      </c>
    </row>
    <row r="76" spans="7:7" ht="15" customHeight="1" thickBot="1" x14ac:dyDescent="0.35">
      <c r="G76" s="12" t="s">
        <v>7</v>
      </c>
    </row>
  </sheetData>
  <pageMargins left="0.7" right="0.7" top="0.75" bottom="0.75" header="0.3" footer="0.3"/>
  <pageSetup orientation="portrait" horizontalDpi="90" verticalDpi="9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Control Checks</vt:lpstr>
      <vt:lpstr>Bound Portfolio Report</vt:lpstr>
      <vt:lpstr>BoundPortfolio</vt:lpstr>
      <vt:lpstr>ETF Portfolio</vt:lpstr>
      <vt:lpstr>ILS Data pull</vt:lpstr>
      <vt:lpstr>TestCasePositions</vt:lpstr>
      <vt:lpstr>TestCaseHeaders</vt:lpstr>
      <vt:lpstr>Profit and Loss</vt:lpstr>
      <vt:lpstr>Historical Events Adjustment</vt:lpstr>
      <vt:lpstr>Guidelines</vt:lpstr>
      <vt:lpstr>BoundPortfolioDetails</vt:lpstr>
      <vt:lpstr>Setup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Mali, Akshaya</dc:creator>
  <cp:lastModifiedBy>sindhu raghavan</cp:lastModifiedBy>
  <cp:lastPrinted>2020-06-02T14:20:35Z</cp:lastPrinted>
  <dcterms:created xsi:type="dcterms:W3CDTF">2020-04-22T07:09:09Z</dcterms:created>
  <dcterms:modified xsi:type="dcterms:W3CDTF">2026-07-16T08:30:23Z</dcterms:modified>
</cp:coreProperties>
</file>