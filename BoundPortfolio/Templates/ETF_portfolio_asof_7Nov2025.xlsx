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APL_USER\Documents\ARAPL_Docs_2026\Bound Portfolio\"/>
    </mc:Choice>
  </mc:AlternateContent>
  <xr:revisionPtr revIDLastSave="0" documentId="13_ncr:1_{44866AEA-B13E-4ABB-A667-E5C363AEA766}" xr6:coauthVersionLast="47" xr6:coauthVersionMax="47" xr10:uidLastSave="{00000000-0000-0000-0000-000000000000}"/>
  <bookViews>
    <workbookView xWindow="-108" yWindow="-108" windowWidth="23256" windowHeight="12456" xr2:uid="{3B37C2DF-D16D-488F-AD11-18A7C9F2ACAF}"/>
  </bookViews>
  <sheets>
    <sheet name="ETF Portfolio" sheetId="1" r:id="rId1"/>
  </sheets>
  <definedNames>
    <definedName name="_xlnm._FilterDatabase" localSheetId="0" hidden="1">'ETF Portfolio'!$B$7:$AJ$13</definedName>
    <definedName name="CIQWBGuid" hidden="1">"f0b1c0f7-41d0-47c3-b294-5242a657cad6"</definedName>
    <definedName name="dMillion">1000000</definedName>
    <definedName name="dNoSH">#REF!</definedName>
    <definedName name="dSharePrice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EXPENSE_CODE_" hidden="1">"019802400"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42319.6118981481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SpreadsheetBuilder_1" hidden="1">#REF!</definedName>
    <definedName name="SpreadsheetBuilder_15" hidden="1">#REF!</definedName>
    <definedName name="SpreadsheetBuilder_16" hidden="1">#REF!</definedName>
    <definedName name="SpreadsheetBuilder_2" hidden="1">#REF!</definedName>
    <definedName name="SpreadsheetBuilder_3" hidden="1">#REF!</definedName>
    <definedName name="SpreadsheetBuilder_4" hidden="1">#REF!</definedName>
    <definedName name="SpreadsheetBuilder_5" hidden="1">#REF!</definedName>
    <definedName name="SpreadsheetBuilder_6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7" i="1" l="1"/>
  <c r="AJ16" i="1"/>
  <c r="AJ15" i="1"/>
  <c r="AJ14" i="1"/>
  <c r="Z14" i="1"/>
  <c r="AJ13" i="1"/>
  <c r="Z13" i="1"/>
  <c r="AI11" i="1"/>
  <c r="Z10" i="1"/>
  <c r="AA17" i="1" l="1"/>
  <c r="Z12" i="1"/>
  <c r="AA12" i="1" s="1"/>
  <c r="AJ10" i="1"/>
  <c r="Z16" i="1"/>
  <c r="AA16" i="1" s="1"/>
  <c r="AI10" i="1"/>
  <c r="Z11" i="1"/>
  <c r="Z15" i="1"/>
  <c r="AA15" i="1" s="1"/>
  <c r="AJ8" i="1"/>
  <c r="AI8" i="1"/>
  <c r="AF11" i="1"/>
  <c r="AG11" i="1"/>
  <c r="AH11" i="1" s="1"/>
  <c r="AG9" i="1"/>
  <c r="AH9" i="1" s="1"/>
  <c r="AG12" i="1"/>
  <c r="AH12" i="1" s="1"/>
  <c r="AG8" i="1"/>
  <c r="AH8" i="1" s="1"/>
  <c r="AA14" i="1"/>
  <c r="AA13" i="1"/>
  <c r="AJ9" i="1"/>
  <c r="AI9" i="1"/>
  <c r="U5" i="1"/>
  <c r="U4" i="1"/>
  <c r="AB4" i="1"/>
  <c r="AI12" i="1"/>
  <c r="AJ12" i="1"/>
  <c r="Z8" i="1"/>
  <c r="AA10" i="1"/>
  <c r="AJ11" i="1"/>
  <c r="AB5" i="1"/>
  <c r="AF10" i="1"/>
  <c r="Z9" i="1"/>
  <c r="AG10" i="1"/>
  <c r="AH10" i="1" s="1"/>
  <c r="AF12" i="1"/>
  <c r="AF8" i="1"/>
  <c r="AF9" i="1"/>
  <c r="AI5" i="1" l="1"/>
  <c r="AA11" i="1"/>
  <c r="AA8" i="1"/>
  <c r="AJ4" i="1"/>
  <c r="AJ5" i="1"/>
  <c r="Z5" i="1"/>
  <c r="Z4" i="1"/>
  <c r="AA9" i="1"/>
  <c r="AI4" i="1"/>
  <c r="AA5" i="1" l="1"/>
  <c r="AA4" i="1"/>
</calcChain>
</file>

<file path=xl/sharedStrings.xml><?xml version="1.0" encoding="utf-8"?>
<sst xmlns="http://schemas.openxmlformats.org/spreadsheetml/2006/main" count="134" uniqueCount="90">
  <si>
    <t>AUM</t>
  </si>
  <si>
    <t>Coupon</t>
  </si>
  <si>
    <t>CUSIP</t>
  </si>
  <si>
    <t>without Treasury -------------&gt;</t>
  </si>
  <si>
    <t>with Treasury -------------&gt;</t>
  </si>
  <si>
    <t>Security Instrument</t>
  </si>
  <si>
    <t>Transaction Type</t>
  </si>
  <si>
    <t>Purchase Date</t>
  </si>
  <si>
    <t>Setltement Date</t>
  </si>
  <si>
    <t>Broker</t>
  </si>
  <si>
    <t>Security Description</t>
  </si>
  <si>
    <t>Cedent1</t>
  </si>
  <si>
    <t>Accumulation</t>
  </si>
  <si>
    <t>Trigger Type</t>
  </si>
  <si>
    <t>Issue Date</t>
  </si>
  <si>
    <t>Maturity Date</t>
  </si>
  <si>
    <t>Amount Outstanding</t>
  </si>
  <si>
    <t>Risk</t>
  </si>
  <si>
    <t>Swiss Re EL</t>
  </si>
  <si>
    <t>Original Spread</t>
  </si>
  <si>
    <t>ICE Price 9/2</t>
  </si>
  <si>
    <t>Price</t>
  </si>
  <si>
    <t>Unit</t>
  </si>
  <si>
    <t>Local Currency</t>
  </si>
  <si>
    <t>Local to USD Rate</t>
  </si>
  <si>
    <t>Acrrued Interest Paid (USD)</t>
  </si>
  <si>
    <t># Days of Interest Paid</t>
  </si>
  <si>
    <t>Invested AUM (USD)</t>
  </si>
  <si>
    <t>Total Paid (USD)</t>
  </si>
  <si>
    <t>Market Value as of 11/6</t>
  </si>
  <si>
    <t>Maturity (yrs)</t>
  </si>
  <si>
    <t>Yield to Maturity (YTM)</t>
  </si>
  <si>
    <t xml:space="preserve">Spread </t>
  </si>
  <si>
    <t>Net  Spread</t>
  </si>
  <si>
    <t>Loss Ratio</t>
  </si>
  <si>
    <t xml:space="preserve"> EL Multiple</t>
  </si>
  <si>
    <t>Premium (USD)</t>
  </si>
  <si>
    <t>AAL (USD)</t>
  </si>
  <si>
    <t>Cat Bond</t>
  </si>
  <si>
    <t>USD</t>
  </si>
  <si>
    <t>Treasury</t>
  </si>
  <si>
    <t>US Govt.</t>
  </si>
  <si>
    <t>ETF Bound Portfolio as of Nov 7, 2025</t>
  </si>
  <si>
    <t>Buy</t>
  </si>
  <si>
    <t>BH</t>
  </si>
  <si>
    <t>Aggregate</t>
  </si>
  <si>
    <t>Indemnity</t>
  </si>
  <si>
    <t>RBC</t>
  </si>
  <si>
    <t>Occurrence</t>
  </si>
  <si>
    <t>Industry Loss Index</t>
  </si>
  <si>
    <t>GeoVera</t>
  </si>
  <si>
    <t>2/5/2025</t>
  </si>
  <si>
    <t>3/8/2028</t>
  </si>
  <si>
    <t>US EQ</t>
  </si>
  <si>
    <t xml:space="preserve">Baldwin Re 2023-1 A </t>
  </si>
  <si>
    <t>05826BAB2</t>
  </si>
  <si>
    <t>Vermont Mutual</t>
  </si>
  <si>
    <t>6/28/2023</t>
  </si>
  <si>
    <t>7/7/2027</t>
  </si>
  <si>
    <t>NE WD,QK,TH,WF</t>
  </si>
  <si>
    <t>Lightning Re 2023-1 A</t>
  </si>
  <si>
    <t>532242AA2</t>
  </si>
  <si>
    <t>FL Citizens</t>
  </si>
  <si>
    <t>3/24/2023</t>
  </si>
  <si>
    <t>3/31/2026</t>
  </si>
  <si>
    <t>FL HU</t>
  </si>
  <si>
    <t>Tullet</t>
  </si>
  <si>
    <t>Black Kite Re 2025-1 A</t>
  </si>
  <si>
    <t>092168AB9</t>
  </si>
  <si>
    <t>Peak Re</t>
  </si>
  <si>
    <t>4/29/2025</t>
  </si>
  <si>
    <t>5/8/2028</t>
  </si>
  <si>
    <t>JP WS/EQ, CH EQ, IN EQ</t>
  </si>
  <si>
    <t>Veraison 2025-1 B</t>
  </si>
  <si>
    <t>92335TAE9</t>
  </si>
  <si>
    <t>Bonanza 2024-1 C</t>
  </si>
  <si>
    <t>09785EAQ4</t>
  </si>
  <si>
    <t>Progressive</t>
  </si>
  <si>
    <t>12/19/2024</t>
  </si>
  <si>
    <t>12/19/2027</t>
  </si>
  <si>
    <t>US WD,QK,TH,WS,&amp; WF</t>
  </si>
  <si>
    <t>Treasury 7/31/25</t>
  </si>
  <si>
    <t>912797PG6</t>
  </si>
  <si>
    <t>Treasury 8/7/25</t>
  </si>
  <si>
    <t>912797MG9</t>
  </si>
  <si>
    <t>Treasury 8/14/25</t>
  </si>
  <si>
    <t>912797PN1</t>
  </si>
  <si>
    <t>Sell</t>
  </si>
  <si>
    <t>Treasury 11/13/2025</t>
  </si>
  <si>
    <t>912797QQ3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</si>
</sst>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6"/>
      <color rgb="FF0070C0"/>
      <name val="Aptos Narrow"/>
      <family val="2"/>
      <scheme val="minor"/>
    </font>
    <font>
      <sz val="10"/>
      <name val="Arial"/>
      <family val="2"/>
    </font>
    <font>
      <b/>
      <sz val="9"/>
      <color indexed="9"/>
      <name val="Aptos Narrow"/>
      <family val="2"/>
      <scheme val="minor"/>
    </font>
    <font>
      <b/>
      <sz val="9.5"/>
      <color indexed="9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</cellStyleXfs>
  <cellXfs count="4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2" fillId="0" borderId="0" xfId="1" applyNumberFormat="1" applyFont="1"/>
    <xf numFmtId="10" fontId="2" fillId="0" borderId="0" xfId="2" applyNumberFormat="1" applyFont="1"/>
    <xf numFmtId="43" fontId="2" fillId="0" borderId="0" xfId="1" applyFont="1"/>
    <xf numFmtId="0" fontId="5" fillId="0" borderId="0" xfId="0" applyFont="1"/>
    <xf numFmtId="0" fontId="3" fillId="2" borderId="0" xfId="0" applyFont="1" applyFill="1"/>
    <xf numFmtId="164" fontId="3" fillId="2" borderId="0" xfId="1" applyNumberFormat="1" applyFont="1" applyFill="1" applyAlignment="1">
      <alignment horizontal="center"/>
    </xf>
    <xf numFmtId="165" fontId="2" fillId="0" borderId="0" xfId="2" applyNumberFormat="1" applyFont="1"/>
    <xf numFmtId="164" fontId="4" fillId="0" borderId="0" xfId="1" applyNumberFormat="1" applyFont="1"/>
    <xf numFmtId="0" fontId="4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 wrapText="1"/>
    </xf>
    <xf numFmtId="0" fontId="4" fillId="0" borderId="0" xfId="3" applyFont="1" applyAlignment="1">
      <alignment horizontal="left" vertical="center" wrapText="1"/>
    </xf>
    <xf numFmtId="164" fontId="4" fillId="0" borderId="0" xfId="1" applyNumberFormat="1" applyFont="1" applyAlignment="1">
      <alignment horizontal="left" vertical="center" wrapText="1"/>
    </xf>
    <xf numFmtId="164" fontId="2" fillId="0" borderId="0" xfId="1" applyNumberFormat="1" applyFont="1" applyBorder="1"/>
    <xf numFmtId="164" fontId="2" fillId="0" borderId="0" xfId="1" applyNumberFormat="1" applyFont="1" applyAlignment="1">
      <alignment horizontal="center"/>
    </xf>
    <xf numFmtId="43" fontId="2" fillId="0" borderId="0" xfId="1" applyFont="1" applyBorder="1"/>
    <xf numFmtId="0" fontId="7" fillId="4" borderId="0" xfId="3" applyFont="1" applyFill="1" applyAlignment="1">
      <alignment horizontal="left" vertical="center" wrapText="1"/>
    </xf>
    <xf numFmtId="0" fontId="7" fillId="4" borderId="0" xfId="3" applyFont="1" applyFill="1" applyAlignment="1">
      <alignment horizontal="center" vertical="center" wrapText="1"/>
    </xf>
    <xf numFmtId="164" fontId="8" fillId="4" borderId="0" xfId="1" applyNumberFormat="1" applyFont="1" applyFill="1" applyAlignment="1">
      <alignment horizontal="center" vertical="center" wrapText="1"/>
    </xf>
    <xf numFmtId="10" fontId="7" fillId="4" borderId="0" xfId="2" applyNumberFormat="1" applyFont="1" applyFill="1" applyBorder="1" applyAlignment="1">
      <alignment horizontal="center" vertical="center" wrapText="1"/>
    </xf>
    <xf numFmtId="164" fontId="4" fillId="5" borderId="0" xfId="1" applyNumberFormat="1" applyFont="1" applyFill="1" applyBorder="1" applyAlignment="1">
      <alignment horizontal="center" vertical="center" wrapText="1"/>
    </xf>
    <xf numFmtId="164" fontId="4" fillId="5" borderId="0" xfId="1" applyNumberFormat="1" applyFont="1" applyFill="1" applyAlignment="1">
      <alignment horizontal="center" vertical="center" wrapText="1"/>
    </xf>
    <xf numFmtId="164" fontId="4" fillId="3" borderId="0" xfId="1" applyNumberFormat="1" applyFont="1" applyFill="1" applyAlignment="1">
      <alignment horizontal="center" vertical="center" wrapText="1"/>
    </xf>
    <xf numFmtId="10" fontId="4" fillId="5" borderId="0" xfId="2" applyNumberFormat="1" applyFont="1" applyFill="1" applyAlignment="1">
      <alignment horizontal="center" vertical="center" wrapText="1"/>
    </xf>
    <xf numFmtId="14" fontId="2" fillId="0" borderId="0" xfId="0" applyNumberFormat="1" applyFont="1"/>
    <xf numFmtId="43" fontId="2" fillId="0" borderId="0" xfId="2" applyNumberFormat="1" applyFont="1"/>
    <xf numFmtId="10" fontId="2" fillId="6" borderId="0" xfId="2" applyNumberFormat="1" applyFont="1" applyFill="1"/>
    <xf numFmtId="14" fontId="2" fillId="0" borderId="0" xfId="0" applyNumberFormat="1" applyFont="1" applyAlignment="1">
      <alignment horizontal="left"/>
    </xf>
    <xf numFmtId="0" fontId="2" fillId="7" borderId="0" xfId="0" applyFont="1" applyFill="1"/>
    <xf numFmtId="0" fontId="0" fillId="8" borderId="0" xfId="0" applyFill="1"/>
    <xf numFmtId="14" fontId="2" fillId="8" borderId="1" xfId="0" applyNumberFormat="1" applyFont="1" applyFill="1" applyBorder="1"/>
    <xf numFmtId="14" fontId="2" fillId="8" borderId="0" xfId="0" applyNumberFormat="1" applyFont="1" applyFill="1"/>
    <xf numFmtId="164" fontId="2" fillId="8" borderId="0" xfId="1" applyNumberFormat="1" applyFont="1" applyFill="1"/>
    <xf numFmtId="10" fontId="2" fillId="8" borderId="0" xfId="2" applyNumberFormat="1" applyFont="1" applyFill="1"/>
    <xf numFmtId="43" fontId="2" fillId="8" borderId="0" xfId="2" applyNumberFormat="1" applyFont="1" applyFill="1"/>
    <xf numFmtId="43" fontId="2" fillId="8" borderId="0" xfId="1" applyFont="1" applyFill="1"/>
    <xf numFmtId="0" fontId="2" fillId="8" borderId="0" xfId="0" applyFont="1" applyFill="1"/>
    <xf numFmtId="43" fontId="2" fillId="0" borderId="0" xfId="0" applyNumberFormat="1" applyFont="1"/>
  </cellXfs>
  <cellStyles count="4">
    <cellStyle name="Comma" xfId="1" builtinId="3"/>
    <cellStyle name="Normal" xfId="0" builtinId="0"/>
    <cellStyle name="Normal 36" xfId="3" xr:uid="{2E9E3199-70AE-4454-AE54-AC3C2F1D1158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F9D89-5DE9-4B43-901D-F4CCA1AE32C2}">
  <dimension ref="A2:AO17"/>
  <sheetViews>
    <sheetView tabSelected="1" workbookViewId="0">
      <selection activeCell="A8" sqref="A8"/>
    </sheetView>
  </sheetViews>
  <sheetFormatPr defaultColWidth="8.88671875" defaultRowHeight="14.4" x14ac:dyDescent="0.3"/>
  <cols>
    <col min="1" max="2" width="9.109375" customWidth="1"/>
    <col min="3" max="4" width="8" style="1" customWidth="1"/>
    <col min="5" max="5" width="9" style="1" bestFit="1" customWidth="1"/>
    <col min="6" max="6" width="9.44140625" style="2" bestFit="1" customWidth="1"/>
    <col min="7" max="7" width="18" style="1" customWidth="1"/>
    <col min="8" max="8" width="9" style="1" customWidth="1"/>
    <col min="9" max="9" width="11.6640625" style="1" customWidth="1"/>
    <col min="10" max="11" width="6.109375" style="1" customWidth="1"/>
    <col min="12" max="12" width="10.88671875" style="1" bestFit="1" customWidth="1"/>
    <col min="13" max="13" width="8.109375" style="1" bestFit="1" customWidth="1"/>
    <col min="14" max="14" width="10.109375" style="3" customWidth="1"/>
    <col min="15" max="15" width="9.44140625" style="1" bestFit="1" customWidth="1"/>
    <col min="16" max="16" width="6.109375" style="4" customWidth="1"/>
    <col min="17" max="17" width="10.6640625" style="4" customWidth="1"/>
    <col min="18" max="18" width="10.33203125" style="4" customWidth="1"/>
    <col min="19" max="19" width="6.6640625" style="4" customWidth="1"/>
    <col min="20" max="20" width="6.5546875" style="5" customWidth="1"/>
    <col min="21" max="21" width="8.88671875" style="3"/>
    <col min="22" max="22" width="5.33203125" style="3" customWidth="1"/>
    <col min="23" max="23" width="8.33203125" style="3" customWidth="1"/>
    <col min="24" max="24" width="9" style="3" customWidth="1"/>
    <col min="25" max="25" width="6.88671875" style="3" bestFit="1" customWidth="1"/>
    <col min="26" max="26" width="9" style="3" bestFit="1" customWidth="1"/>
    <col min="27" max="27" width="9.44140625" style="3" bestFit="1" customWidth="1"/>
    <col min="28" max="28" width="9.109375" style="3" customWidth="1"/>
    <col min="29" max="29" width="8" style="3" customWidth="1"/>
    <col min="30" max="30" width="9.33203125" style="3" customWidth="1"/>
    <col min="31" max="31" width="7.109375" style="3" customWidth="1"/>
    <col min="32" max="32" width="9.109375" style="4" customWidth="1"/>
    <col min="33" max="33" width="9.44140625" style="4" customWidth="1"/>
    <col min="34" max="34" width="7.5546875" style="4" customWidth="1"/>
    <col min="35" max="35" width="8.33203125" style="3" customWidth="1"/>
    <col min="36" max="36" width="7" style="3" customWidth="1"/>
    <col min="37" max="39" width="8.88671875" style="1"/>
    <col min="40" max="40" width="10.21875" style="1" bestFit="1" customWidth="1"/>
    <col min="41" max="16384" width="8.88671875" style="1"/>
  </cols>
  <sheetData>
    <row r="2" spans="1:41" ht="21" x14ac:dyDescent="0.4">
      <c r="D2" s="6" t="s">
        <v>42</v>
      </c>
      <c r="AF2" s="3"/>
      <c r="AG2" s="3"/>
      <c r="AH2" s="3"/>
      <c r="AN2" s="4"/>
      <c r="AO2" s="39"/>
    </row>
    <row r="3" spans="1:41" ht="17.399999999999999" customHeight="1" x14ac:dyDescent="0.3">
      <c r="H3" s="7" t="s">
        <v>0</v>
      </c>
      <c r="I3" s="8">
        <v>3000000</v>
      </c>
      <c r="N3" s="9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M3" s="4"/>
      <c r="AN3" s="3"/>
    </row>
    <row r="4" spans="1:41" x14ac:dyDescent="0.3">
      <c r="P4" s="11" t="s">
        <v>3</v>
      </c>
      <c r="U4" s="3">
        <f>SUM(U8:U12)</f>
        <v>1500000</v>
      </c>
      <c r="Z4" s="3">
        <f>SUM(Z8:Z12)</f>
        <v>1541750</v>
      </c>
      <c r="AA4" s="3">
        <f>SUM(AA8:AA12)</f>
        <v>1558469.69</v>
      </c>
      <c r="AB4" s="3">
        <f>SUM(AB8:AB12)</f>
        <v>1540600</v>
      </c>
      <c r="AI4" s="3">
        <f>SUM(AI8:AI12)</f>
        <v>158142.26999999999</v>
      </c>
      <c r="AJ4" s="3">
        <f>SUM(AJ8:AJ12)</f>
        <v>34135</v>
      </c>
      <c r="AN4" s="39"/>
    </row>
    <row r="5" spans="1:41" ht="12" customHeight="1" x14ac:dyDescent="0.3">
      <c r="C5" s="12"/>
      <c r="D5" s="12"/>
      <c r="E5" s="12"/>
      <c r="F5" s="13"/>
      <c r="G5" s="13"/>
      <c r="H5" s="13"/>
      <c r="I5" s="13"/>
      <c r="J5" s="13"/>
      <c r="K5" s="13"/>
      <c r="L5" s="13"/>
      <c r="M5" s="13"/>
      <c r="N5" s="14"/>
      <c r="O5" s="13"/>
      <c r="P5" s="11" t="s">
        <v>4</v>
      </c>
      <c r="Q5" s="13"/>
      <c r="R5" s="13"/>
      <c r="S5" s="13"/>
      <c r="T5" s="13"/>
      <c r="U5" s="15">
        <f>SUM(U8:U17)</f>
        <v>2800000</v>
      </c>
      <c r="V5" s="15"/>
      <c r="W5" s="15"/>
      <c r="Y5" s="16"/>
      <c r="Z5" s="15">
        <f>SUM(Z8:Z17)</f>
        <v>2826268.2079999996</v>
      </c>
      <c r="AA5" s="15">
        <f>SUM(AA8:AA17)</f>
        <v>2842987.8979999996</v>
      </c>
      <c r="AB5" s="15">
        <f>SUM(AB8:AB17)</f>
        <v>1540600</v>
      </c>
      <c r="AC5" s="15"/>
      <c r="AD5" s="16"/>
      <c r="AE5" s="16"/>
      <c r="AF5" s="17"/>
      <c r="AG5" s="17"/>
      <c r="AH5" s="17"/>
      <c r="AI5" s="15">
        <f>SUM(AI8:AI17)</f>
        <v>158142.26999999999</v>
      </c>
      <c r="AJ5" s="15">
        <f>SUM(AJ8:AJ17)</f>
        <v>34135</v>
      </c>
      <c r="AN5" s="4"/>
    </row>
    <row r="6" spans="1:41" ht="12" customHeight="1" x14ac:dyDescent="0.3">
      <c r="C6" s="12"/>
      <c r="D6" s="12"/>
      <c r="E6" s="12"/>
      <c r="F6" s="13"/>
      <c r="G6" s="13"/>
      <c r="H6" s="13"/>
      <c r="I6" s="13"/>
      <c r="J6" s="13"/>
      <c r="K6" s="13"/>
      <c r="L6" s="13"/>
      <c r="M6" s="13"/>
      <c r="N6" s="14"/>
      <c r="O6" s="13"/>
      <c r="P6" s="13"/>
      <c r="Q6" s="13"/>
      <c r="R6" s="13"/>
      <c r="S6" s="13"/>
      <c r="T6" s="13"/>
      <c r="U6" s="15"/>
      <c r="V6" s="15"/>
      <c r="W6" s="15"/>
      <c r="Y6" s="16"/>
      <c r="Z6" s="15"/>
      <c r="AA6" s="15"/>
      <c r="AB6" s="15"/>
      <c r="AC6" s="15"/>
      <c r="AD6" s="16"/>
      <c r="AE6" s="16"/>
      <c r="AF6" s="17"/>
      <c r="AG6" s="17"/>
      <c r="AH6" s="17"/>
      <c r="AI6" s="15"/>
      <c r="AJ6" s="15"/>
      <c r="AN6" s="4"/>
    </row>
    <row r="7" spans="1:41" ht="48" x14ac:dyDescent="0.3">
      <c r="B7" s="18" t="s">
        <v>5</v>
      </c>
      <c r="C7" s="18" t="s">
        <v>6</v>
      </c>
      <c r="D7" s="18" t="s">
        <v>7</v>
      </c>
      <c r="E7" s="18" t="s">
        <v>8</v>
      </c>
      <c r="F7" s="18" t="s">
        <v>9</v>
      </c>
      <c r="G7" s="18" t="s">
        <v>10</v>
      </c>
      <c r="H7" s="18" t="s">
        <v>2</v>
      </c>
      <c r="I7" s="18" t="s">
        <v>11</v>
      </c>
      <c r="J7" s="19" t="s">
        <v>12</v>
      </c>
      <c r="K7" s="19" t="s">
        <v>13</v>
      </c>
      <c r="L7" s="19" t="s">
        <v>14</v>
      </c>
      <c r="M7" s="19" t="s">
        <v>15</v>
      </c>
      <c r="N7" s="20" t="s">
        <v>16</v>
      </c>
      <c r="O7" s="18" t="s">
        <v>17</v>
      </c>
      <c r="P7" s="21" t="s">
        <v>18</v>
      </c>
      <c r="Q7" s="21" t="s">
        <v>19</v>
      </c>
      <c r="R7" s="21" t="s">
        <v>1</v>
      </c>
      <c r="S7" s="21" t="s">
        <v>20</v>
      </c>
      <c r="T7" s="21" t="s">
        <v>21</v>
      </c>
      <c r="U7" s="21" t="s">
        <v>22</v>
      </c>
      <c r="V7" s="21" t="s">
        <v>23</v>
      </c>
      <c r="W7" s="21" t="s">
        <v>24</v>
      </c>
      <c r="X7" s="21" t="s">
        <v>25</v>
      </c>
      <c r="Y7" s="21" t="s">
        <v>26</v>
      </c>
      <c r="Z7" s="22" t="s">
        <v>27</v>
      </c>
      <c r="AA7" s="23" t="s">
        <v>28</v>
      </c>
      <c r="AB7" s="24" t="s">
        <v>29</v>
      </c>
      <c r="AC7" s="23" t="s">
        <v>30</v>
      </c>
      <c r="AD7" s="21" t="s">
        <v>31</v>
      </c>
      <c r="AE7" s="21" t="s">
        <v>32</v>
      </c>
      <c r="AF7" s="25" t="s">
        <v>33</v>
      </c>
      <c r="AG7" s="25" t="s">
        <v>34</v>
      </c>
      <c r="AH7" s="25" t="s">
        <v>35</v>
      </c>
      <c r="AI7" s="23" t="s">
        <v>36</v>
      </c>
      <c r="AJ7" s="23" t="s">
        <v>37</v>
      </c>
    </row>
    <row r="8" spans="1:41" x14ac:dyDescent="0.3">
      <c r="B8" s="26" t="s">
        <v>38</v>
      </c>
      <c r="C8" s="26" t="s">
        <v>43</v>
      </c>
      <c r="D8" s="26">
        <v>45756</v>
      </c>
      <c r="E8" s="26">
        <v>45757</v>
      </c>
      <c r="F8" s="26" t="s">
        <v>47</v>
      </c>
      <c r="G8" s="26" t="s">
        <v>54</v>
      </c>
      <c r="H8" s="26" t="s">
        <v>55</v>
      </c>
      <c r="I8" s="26" t="s">
        <v>56</v>
      </c>
      <c r="J8" s="26" t="s">
        <v>48</v>
      </c>
      <c r="K8" s="26" t="s">
        <v>46</v>
      </c>
      <c r="L8" s="26" t="s">
        <v>57</v>
      </c>
      <c r="M8" s="26" t="s">
        <v>58</v>
      </c>
      <c r="N8" s="3">
        <v>100000000</v>
      </c>
      <c r="O8" s="26" t="s">
        <v>59</v>
      </c>
      <c r="P8" s="4">
        <v>1.204E-2</v>
      </c>
      <c r="Q8" s="4">
        <v>5.043372257801014E-2</v>
      </c>
      <c r="R8" s="4">
        <v>8.9099999999999999E-2</v>
      </c>
      <c r="S8" s="27">
        <v>103.37</v>
      </c>
      <c r="T8" s="5">
        <v>102.2</v>
      </c>
      <c r="U8" s="3">
        <v>250000</v>
      </c>
      <c r="V8" s="3" t="s">
        <v>39</v>
      </c>
      <c r="W8" s="5">
        <v>1</v>
      </c>
      <c r="X8" s="3">
        <v>281.25</v>
      </c>
      <c r="Y8" s="3">
        <v>9</v>
      </c>
      <c r="Z8" s="3">
        <f t="shared" ref="Z8:Z12" si="0">T8*U8*W8/100</f>
        <v>255500</v>
      </c>
      <c r="AA8" s="3">
        <f t="shared" ref="AA8" si="1">Z8+X8</f>
        <v>255781.25</v>
      </c>
      <c r="AB8" s="3">
        <v>258875</v>
      </c>
      <c r="AC8" s="5">
        <v>1.6657534246575343</v>
      </c>
      <c r="AD8" s="28">
        <v>8.1303790000000001E-2</v>
      </c>
      <c r="AE8" s="28">
        <v>3.9703792651760245E-2</v>
      </c>
      <c r="AF8" s="4">
        <f t="shared" ref="AF8" si="2">AE8-P8</f>
        <v>2.7663792651760243E-2</v>
      </c>
      <c r="AG8" s="4">
        <f t="shared" ref="AG8" si="3">P8/AE8</f>
        <v>0.30324558929677498</v>
      </c>
      <c r="AH8" s="5">
        <f t="shared" ref="AH8:AH12" si="4">1/AG8</f>
        <v>3.2976571969900537</v>
      </c>
      <c r="AI8" s="3">
        <f t="shared" ref="AI8" si="5">U8*R8</f>
        <v>22275</v>
      </c>
      <c r="AJ8" s="3">
        <f t="shared" ref="AJ8:AJ16" si="6">U8*P8</f>
        <v>3010</v>
      </c>
    </row>
    <row r="9" spans="1:41" x14ac:dyDescent="0.3">
      <c r="B9" s="26" t="s">
        <v>38</v>
      </c>
      <c r="C9" s="26" t="s">
        <v>43</v>
      </c>
      <c r="D9" s="26">
        <v>45789</v>
      </c>
      <c r="E9" s="26">
        <v>45790</v>
      </c>
      <c r="F9" s="26" t="s">
        <v>47</v>
      </c>
      <c r="G9" s="26" t="s">
        <v>60</v>
      </c>
      <c r="H9" s="26" t="s">
        <v>61</v>
      </c>
      <c r="I9" s="26" t="s">
        <v>62</v>
      </c>
      <c r="J9" s="26" t="s">
        <v>45</v>
      </c>
      <c r="K9" s="26" t="s">
        <v>49</v>
      </c>
      <c r="L9" s="26" t="s">
        <v>63</v>
      </c>
      <c r="M9" s="26" t="s">
        <v>64</v>
      </c>
      <c r="N9" s="3">
        <v>500000000</v>
      </c>
      <c r="O9" s="26" t="s">
        <v>65</v>
      </c>
      <c r="P9" s="4">
        <v>2.0400000000000001E-2</v>
      </c>
      <c r="Q9" s="4">
        <v>0.107284063065</v>
      </c>
      <c r="R9" s="4">
        <v>0.14878453999999999</v>
      </c>
      <c r="S9" s="27">
        <v>103</v>
      </c>
      <c r="T9" s="5">
        <v>102.8</v>
      </c>
      <c r="U9" s="3">
        <v>250000</v>
      </c>
      <c r="V9" s="3" t="s">
        <v>39</v>
      </c>
      <c r="W9" s="5">
        <v>1</v>
      </c>
      <c r="X9" s="3">
        <v>4354.17</v>
      </c>
      <c r="Y9" s="3">
        <v>57</v>
      </c>
      <c r="Z9" s="3">
        <f t="shared" si="0"/>
        <v>257000</v>
      </c>
      <c r="AA9" s="3">
        <f t="shared" ref="AA9" si="7">Z9+X9</f>
        <v>261354.17</v>
      </c>
      <c r="AB9" s="3">
        <v>260400</v>
      </c>
      <c r="AC9" s="5">
        <v>0.39726027397260272</v>
      </c>
      <c r="AD9" s="28">
        <v>0.11713435</v>
      </c>
      <c r="AE9" s="28">
        <v>7.5592968367092769E-2</v>
      </c>
      <c r="AF9" s="4">
        <f t="shared" ref="AF9" si="8">AE9-P9</f>
        <v>5.5192968367092768E-2</v>
      </c>
      <c r="AG9" s="4">
        <f t="shared" ref="AG9" si="9">P9/AE9</f>
        <v>0.2698663703869123</v>
      </c>
      <c r="AH9" s="5">
        <f t="shared" si="4"/>
        <v>3.7055376650535665</v>
      </c>
      <c r="AI9" s="3">
        <f t="shared" ref="AI9" si="10">U9*R9</f>
        <v>37196.134999999995</v>
      </c>
      <c r="AJ9" s="3">
        <f t="shared" si="6"/>
        <v>5100</v>
      </c>
    </row>
    <row r="10" spans="1:41" x14ac:dyDescent="0.3">
      <c r="B10" s="26" t="s">
        <v>38</v>
      </c>
      <c r="C10" s="26" t="s">
        <v>43</v>
      </c>
      <c r="D10" s="26">
        <v>45918</v>
      </c>
      <c r="E10" s="26">
        <v>45919</v>
      </c>
      <c r="F10" s="26" t="s">
        <v>66</v>
      </c>
      <c r="G10" s="26" t="s">
        <v>67</v>
      </c>
      <c r="H10" s="26" t="s">
        <v>68</v>
      </c>
      <c r="I10" s="26" t="s">
        <v>69</v>
      </c>
      <c r="J10" s="26" t="s">
        <v>48</v>
      </c>
      <c r="K10" s="26" t="s">
        <v>49</v>
      </c>
      <c r="L10" s="26" t="s">
        <v>70</v>
      </c>
      <c r="M10" s="26" t="s">
        <v>71</v>
      </c>
      <c r="N10" s="3">
        <v>50000000</v>
      </c>
      <c r="O10" s="26" t="s">
        <v>72</v>
      </c>
      <c r="P10" s="4">
        <v>3.78E-2</v>
      </c>
      <c r="Q10" s="4">
        <v>7.9826155574328886E-2</v>
      </c>
      <c r="R10" s="4">
        <v>0.11890000000000001</v>
      </c>
      <c r="S10" s="27">
        <v>100.43</v>
      </c>
      <c r="T10" s="5">
        <v>104.65</v>
      </c>
      <c r="U10" s="3">
        <v>250000</v>
      </c>
      <c r="V10" s="3" t="s">
        <v>39</v>
      </c>
      <c r="W10" s="5">
        <v>1</v>
      </c>
      <c r="X10" s="3">
        <v>2333.33</v>
      </c>
      <c r="Y10" s="3">
        <v>42</v>
      </c>
      <c r="Z10" s="3">
        <f t="shared" si="0"/>
        <v>261625</v>
      </c>
      <c r="AA10" s="3">
        <f t="shared" ref="AA10" si="11">Z10+X10</f>
        <v>263958.33</v>
      </c>
      <c r="AB10" s="3">
        <v>253575</v>
      </c>
      <c r="AC10" s="5">
        <v>2.504109589041096</v>
      </c>
      <c r="AD10" s="28">
        <v>9.9497470000000005E-2</v>
      </c>
      <c r="AE10" s="28">
        <v>5.9797468299949516E-2</v>
      </c>
      <c r="AF10" s="4">
        <f t="shared" ref="AF10:AF12" si="12">AE10-P10</f>
        <v>2.1997468299949516E-2</v>
      </c>
      <c r="AG10" s="4">
        <f t="shared" ref="AG10:AG12" si="13">P10/AE10</f>
        <v>0.63213378550395771</v>
      </c>
      <c r="AH10" s="5">
        <f t="shared" si="4"/>
        <v>1.5819436058187704</v>
      </c>
      <c r="AI10" s="3">
        <f t="shared" ref="AI10:AI12" si="14">U10*R10</f>
        <v>29725</v>
      </c>
      <c r="AJ10" s="3">
        <f t="shared" si="6"/>
        <v>9450</v>
      </c>
    </row>
    <row r="11" spans="1:41" x14ac:dyDescent="0.3">
      <c r="B11" s="26" t="s">
        <v>38</v>
      </c>
      <c r="C11" s="26" t="s">
        <v>43</v>
      </c>
      <c r="D11" s="26">
        <v>45957</v>
      </c>
      <c r="E11" s="26">
        <v>45958</v>
      </c>
      <c r="F11" s="26" t="s">
        <v>44</v>
      </c>
      <c r="G11" s="26" t="s">
        <v>73</v>
      </c>
      <c r="H11" s="26" t="s">
        <v>74</v>
      </c>
      <c r="I11" s="26" t="s">
        <v>50</v>
      </c>
      <c r="J11" s="26" t="s">
        <v>48</v>
      </c>
      <c r="K11" s="26" t="s">
        <v>46</v>
      </c>
      <c r="L11" s="29" t="s">
        <v>51</v>
      </c>
      <c r="M11" s="26" t="s">
        <v>52</v>
      </c>
      <c r="N11" s="3">
        <v>150000000</v>
      </c>
      <c r="O11" s="26" t="s">
        <v>53</v>
      </c>
      <c r="P11" s="4">
        <v>2.5700000000000001E-2</v>
      </c>
      <c r="Q11" s="4">
        <v>4.9959879564915204E-2</v>
      </c>
      <c r="R11" s="4">
        <v>8.8784539999999995E-2</v>
      </c>
      <c r="S11" s="27">
        <v>100.97</v>
      </c>
      <c r="T11" s="5">
        <v>101.25</v>
      </c>
      <c r="U11" s="3">
        <v>250000</v>
      </c>
      <c r="V11" s="3" t="s">
        <v>39</v>
      </c>
      <c r="W11" s="5">
        <v>1</v>
      </c>
      <c r="X11" s="3">
        <v>1088.72</v>
      </c>
      <c r="Y11" s="3">
        <v>18</v>
      </c>
      <c r="Z11" s="3">
        <f t="shared" si="0"/>
        <v>253125</v>
      </c>
      <c r="AA11" s="3">
        <f t="shared" ref="AA11:AA12" si="15">Z11+X11</f>
        <v>254213.72</v>
      </c>
      <c r="AB11" s="3">
        <v>253250</v>
      </c>
      <c r="AC11" s="5">
        <v>2.3369863013698629</v>
      </c>
      <c r="AD11" s="28">
        <v>8.3334779999999997E-2</v>
      </c>
      <c r="AE11" s="28">
        <v>4.4182315962045297E-2</v>
      </c>
      <c r="AF11" s="4">
        <f t="shared" si="12"/>
        <v>1.8482315962045297E-2</v>
      </c>
      <c r="AG11" s="4">
        <f t="shared" si="13"/>
        <v>0.58168068921686944</v>
      </c>
      <c r="AH11" s="5">
        <f t="shared" si="4"/>
        <v>1.7191562631146029</v>
      </c>
      <c r="AI11" s="3">
        <f t="shared" si="14"/>
        <v>22196.134999999998</v>
      </c>
      <c r="AJ11" s="3">
        <f t="shared" si="6"/>
        <v>6425</v>
      </c>
    </row>
    <row r="12" spans="1:41" s="30" customFormat="1" x14ac:dyDescent="0.3">
      <c r="A12"/>
      <c r="B12" s="26" t="s">
        <v>38</v>
      </c>
      <c r="C12" s="26" t="s">
        <v>43</v>
      </c>
      <c r="D12" s="26">
        <v>45966</v>
      </c>
      <c r="E12" s="26">
        <v>45968</v>
      </c>
      <c r="F12" s="26" t="s">
        <v>44</v>
      </c>
      <c r="G12" s="26" t="s">
        <v>75</v>
      </c>
      <c r="H12" s="26" t="s">
        <v>76</v>
      </c>
      <c r="I12" s="26" t="s">
        <v>77</v>
      </c>
      <c r="J12" s="26" t="s">
        <v>48</v>
      </c>
      <c r="K12" s="26" t="s">
        <v>46</v>
      </c>
      <c r="L12" s="29" t="s">
        <v>78</v>
      </c>
      <c r="M12" s="26" t="s">
        <v>79</v>
      </c>
      <c r="N12" s="3">
        <v>200000000</v>
      </c>
      <c r="O12" s="26" t="s">
        <v>80</v>
      </c>
      <c r="P12" s="4">
        <v>2.0299999999999999E-2</v>
      </c>
      <c r="Q12" s="4">
        <v>5.610743814497457E-2</v>
      </c>
      <c r="R12" s="4">
        <v>9.35E-2</v>
      </c>
      <c r="S12" s="27">
        <v>100.48</v>
      </c>
      <c r="T12" s="5">
        <v>102.9</v>
      </c>
      <c r="U12" s="3">
        <v>500000</v>
      </c>
      <c r="V12" s="3" t="s">
        <v>39</v>
      </c>
      <c r="W12" s="5">
        <v>1</v>
      </c>
      <c r="X12" s="3">
        <v>8662.2199999999993</v>
      </c>
      <c r="Y12" s="3">
        <v>66</v>
      </c>
      <c r="Z12" s="3">
        <f t="shared" si="0"/>
        <v>514500</v>
      </c>
      <c r="AA12" s="3">
        <f t="shared" si="15"/>
        <v>523162.22</v>
      </c>
      <c r="AB12" s="3">
        <v>514500</v>
      </c>
      <c r="AC12" s="5">
        <v>2.117808219178082</v>
      </c>
      <c r="AD12" s="28">
        <v>7.9524259999999999E-2</v>
      </c>
      <c r="AE12" s="28">
        <v>4.1124258599312957E-2</v>
      </c>
      <c r="AF12" s="4">
        <f t="shared" si="12"/>
        <v>2.0824258599312959E-2</v>
      </c>
      <c r="AG12" s="4">
        <f t="shared" si="13"/>
        <v>0.49362592035492991</v>
      </c>
      <c r="AH12" s="5">
        <f t="shared" si="4"/>
        <v>2.0258255467641852</v>
      </c>
      <c r="AI12" s="3">
        <f t="shared" si="14"/>
        <v>46750</v>
      </c>
      <c r="AJ12" s="3">
        <f t="shared" si="6"/>
        <v>10150</v>
      </c>
    </row>
    <row r="13" spans="1:41" s="38" customFormat="1" x14ac:dyDescent="0.3">
      <c r="A13" s="31"/>
      <c r="B13" s="32" t="s">
        <v>40</v>
      </c>
      <c r="C13" s="33" t="s">
        <v>43</v>
      </c>
      <c r="D13" s="33">
        <v>45783</v>
      </c>
      <c r="E13" s="33">
        <v>45784</v>
      </c>
      <c r="F13" s="33" t="s">
        <v>47</v>
      </c>
      <c r="G13" s="33" t="s">
        <v>81</v>
      </c>
      <c r="H13" s="33" t="s">
        <v>82</v>
      </c>
      <c r="I13" s="33" t="s">
        <v>41</v>
      </c>
      <c r="J13" s="33"/>
      <c r="K13" s="33"/>
      <c r="L13" s="33"/>
      <c r="M13" s="33">
        <v>45869</v>
      </c>
      <c r="N13" s="34"/>
      <c r="O13" s="33"/>
      <c r="P13" s="35"/>
      <c r="Q13" s="35"/>
      <c r="R13" s="35">
        <v>4.1724999999999998E-2</v>
      </c>
      <c r="S13" s="36"/>
      <c r="T13" s="37">
        <v>99.014825999999999</v>
      </c>
      <c r="U13" s="34">
        <v>750000</v>
      </c>
      <c r="V13" s="34" t="s">
        <v>39</v>
      </c>
      <c r="W13" s="37">
        <v>1</v>
      </c>
      <c r="X13" s="34"/>
      <c r="Y13" s="34"/>
      <c r="Z13" s="34">
        <f t="shared" ref="Z13:Z17" si="16">T13*U13*W13/100</f>
        <v>742611.19499999995</v>
      </c>
      <c r="AA13" s="34">
        <f t="shared" ref="AA13:AA17" si="17">Z13+X13</f>
        <v>742611.19499999995</v>
      </c>
      <c r="AB13" s="34">
        <v>0</v>
      </c>
      <c r="AC13" s="37"/>
      <c r="AD13" s="35">
        <v>4.210566121851822E-2</v>
      </c>
      <c r="AE13" s="35"/>
      <c r="AF13" s="35"/>
      <c r="AG13" s="35"/>
      <c r="AH13" s="37"/>
      <c r="AI13" s="34"/>
      <c r="AJ13" s="34">
        <f t="shared" si="6"/>
        <v>0</v>
      </c>
    </row>
    <row r="14" spans="1:41" s="38" customFormat="1" x14ac:dyDescent="0.3">
      <c r="A14" s="31"/>
      <c r="B14" s="32" t="s">
        <v>40</v>
      </c>
      <c r="C14" s="33" t="s">
        <v>43</v>
      </c>
      <c r="D14" s="33">
        <v>45786</v>
      </c>
      <c r="E14" s="33">
        <v>45789</v>
      </c>
      <c r="F14" s="33" t="s">
        <v>47</v>
      </c>
      <c r="G14" s="33" t="s">
        <v>83</v>
      </c>
      <c r="H14" s="33" t="s">
        <v>84</v>
      </c>
      <c r="I14" s="33" t="s">
        <v>41</v>
      </c>
      <c r="J14" s="33"/>
      <c r="K14" s="33"/>
      <c r="L14" s="33"/>
      <c r="M14" s="33">
        <v>45876</v>
      </c>
      <c r="N14" s="34"/>
      <c r="O14" s="33"/>
      <c r="P14" s="35"/>
      <c r="Q14" s="35"/>
      <c r="R14" s="35">
        <v>4.2099999999999999E-2</v>
      </c>
      <c r="S14" s="36"/>
      <c r="T14" s="37">
        <v>98.982583000000005</v>
      </c>
      <c r="U14" s="34">
        <v>500000</v>
      </c>
      <c r="V14" s="34" t="s">
        <v>39</v>
      </c>
      <c r="W14" s="37">
        <v>1</v>
      </c>
      <c r="X14" s="34"/>
      <c r="Y14" s="34"/>
      <c r="Z14" s="34">
        <f t="shared" si="16"/>
        <v>494912.91499999998</v>
      </c>
      <c r="AA14" s="34">
        <f t="shared" si="17"/>
        <v>494912.91499999998</v>
      </c>
      <c r="AB14" s="34">
        <v>0</v>
      </c>
      <c r="AC14" s="37"/>
      <c r="AD14" s="35">
        <v>4.3007721475601945E-2</v>
      </c>
      <c r="AE14" s="34"/>
      <c r="AF14" s="35"/>
      <c r="AG14" s="35"/>
      <c r="AH14" s="35"/>
      <c r="AI14" s="34"/>
      <c r="AJ14" s="34">
        <f t="shared" si="6"/>
        <v>0</v>
      </c>
    </row>
    <row r="15" spans="1:41" s="38" customFormat="1" x14ac:dyDescent="0.3">
      <c r="A15" s="31"/>
      <c r="B15" s="32" t="s">
        <v>40</v>
      </c>
      <c r="C15" s="33" t="s">
        <v>43</v>
      </c>
      <c r="D15" s="33">
        <v>45796</v>
      </c>
      <c r="E15" s="33">
        <v>45797</v>
      </c>
      <c r="F15" s="33" t="s">
        <v>47</v>
      </c>
      <c r="G15" s="33" t="s">
        <v>85</v>
      </c>
      <c r="H15" s="33" t="s">
        <v>86</v>
      </c>
      <c r="I15" s="33" t="s">
        <v>41</v>
      </c>
      <c r="J15" s="33"/>
      <c r="K15" s="33"/>
      <c r="L15" s="33"/>
      <c r="M15" s="33">
        <v>45883</v>
      </c>
      <c r="N15" s="34"/>
      <c r="O15" s="33"/>
      <c r="P15" s="35"/>
      <c r="Q15" s="35"/>
      <c r="R15" s="35">
        <v>4.2450000000000002E-2</v>
      </c>
      <c r="S15" s="36"/>
      <c r="T15" s="37">
        <v>98.985917000000001</v>
      </c>
      <c r="U15" s="34">
        <v>500000</v>
      </c>
      <c r="V15" s="34" t="s">
        <v>39</v>
      </c>
      <c r="W15" s="37">
        <v>1</v>
      </c>
      <c r="X15" s="34"/>
      <c r="Y15" s="34"/>
      <c r="Z15" s="34">
        <f t="shared" si="16"/>
        <v>494929.58500000002</v>
      </c>
      <c r="AA15" s="34">
        <f t="shared" si="17"/>
        <v>494929.58500000002</v>
      </c>
      <c r="AB15" s="34">
        <v>0</v>
      </c>
      <c r="AC15" s="37"/>
      <c r="AD15" s="35">
        <v>4.3364420892538058E-2</v>
      </c>
      <c r="AE15" s="34"/>
      <c r="AF15" s="35"/>
      <c r="AG15" s="35"/>
      <c r="AH15" s="35"/>
      <c r="AI15" s="34"/>
      <c r="AJ15" s="34">
        <f t="shared" si="6"/>
        <v>0</v>
      </c>
    </row>
    <row r="16" spans="1:41" s="38" customFormat="1" x14ac:dyDescent="0.3">
      <c r="A16" s="31"/>
      <c r="B16" s="32" t="s">
        <v>40</v>
      </c>
      <c r="C16" s="33" t="s">
        <v>87</v>
      </c>
      <c r="D16" s="33">
        <v>45805</v>
      </c>
      <c r="E16" s="33">
        <v>45806</v>
      </c>
      <c r="F16" s="33" t="s">
        <v>47</v>
      </c>
      <c r="G16" s="33" t="s">
        <v>81</v>
      </c>
      <c r="H16" s="33" t="s">
        <v>82</v>
      </c>
      <c r="I16" s="33" t="s">
        <v>41</v>
      </c>
      <c r="J16" s="33"/>
      <c r="K16" s="33"/>
      <c r="L16" s="33"/>
      <c r="M16" s="33">
        <v>45869</v>
      </c>
      <c r="N16" s="34"/>
      <c r="O16" s="33"/>
      <c r="P16" s="35"/>
      <c r="Q16" s="35"/>
      <c r="R16" s="35">
        <v>4.1799999999999997E-2</v>
      </c>
      <c r="S16" s="36"/>
      <c r="T16" s="37">
        <v>99.259749999999997</v>
      </c>
      <c r="U16" s="34">
        <v>-250000</v>
      </c>
      <c r="V16" s="34" t="s">
        <v>39</v>
      </c>
      <c r="W16" s="37">
        <v>1</v>
      </c>
      <c r="X16" s="34"/>
      <c r="Y16" s="34"/>
      <c r="Z16" s="34">
        <f t="shared" si="16"/>
        <v>-248149.375</v>
      </c>
      <c r="AA16" s="34">
        <f t="shared" si="17"/>
        <v>-248149.375</v>
      </c>
      <c r="AB16" s="34">
        <v>0</v>
      </c>
      <c r="AC16" s="37"/>
      <c r="AD16" s="35">
        <v>4.2224419519832704E-2</v>
      </c>
      <c r="AE16" s="34"/>
      <c r="AF16" s="35"/>
      <c r="AG16" s="35"/>
      <c r="AH16" s="35"/>
      <c r="AI16" s="34"/>
      <c r="AJ16" s="34">
        <f t="shared" si="6"/>
        <v>0</v>
      </c>
    </row>
    <row r="17" spans="1:36" s="38" customFormat="1" x14ac:dyDescent="0.3">
      <c r="A17" s="31"/>
      <c r="B17" s="32" t="s">
        <v>40</v>
      </c>
      <c r="C17" s="33" t="s">
        <v>87</v>
      </c>
      <c r="D17" s="33">
        <v>45964</v>
      </c>
      <c r="E17" s="33">
        <v>45964</v>
      </c>
      <c r="F17" s="33" t="s">
        <v>47</v>
      </c>
      <c r="G17" s="33" t="s">
        <v>88</v>
      </c>
      <c r="H17" s="33" t="s">
        <v>89</v>
      </c>
      <c r="I17" s="33" t="s">
        <v>41</v>
      </c>
      <c r="J17" s="33"/>
      <c r="K17" s="33"/>
      <c r="L17" s="33"/>
      <c r="M17" s="33">
        <v>45974</v>
      </c>
      <c r="N17" s="34"/>
      <c r="O17" s="33"/>
      <c r="P17" s="35"/>
      <c r="Q17" s="35"/>
      <c r="R17" s="35">
        <v>3.85E-2</v>
      </c>
      <c r="S17" s="36"/>
      <c r="T17" s="37">
        <v>99.893056000000001</v>
      </c>
      <c r="U17" s="34">
        <v>-200000</v>
      </c>
      <c r="V17" s="34" t="s">
        <v>39</v>
      </c>
      <c r="W17" s="37">
        <v>1</v>
      </c>
      <c r="X17" s="34"/>
      <c r="Y17" s="34"/>
      <c r="Z17" s="34">
        <f t="shared" si="16"/>
        <v>-199786.11199999999</v>
      </c>
      <c r="AA17" s="34">
        <f t="shared" si="17"/>
        <v>-199786.11199999999</v>
      </c>
      <c r="AB17" s="34"/>
      <c r="AC17" s="37"/>
      <c r="AD17" s="35">
        <v>3.8213846727572894E-2</v>
      </c>
      <c r="AE17" s="34"/>
      <c r="AF17" s="35"/>
      <c r="AG17" s="35"/>
      <c r="AH17" s="35"/>
      <c r="AI17" s="34"/>
      <c r="AJ17" s="3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ETF Portfolio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Khan</dc:creator>
  <cp:lastModifiedBy>sindhu raghavan</cp:lastModifiedBy>
  <dcterms:created xsi:type="dcterms:W3CDTF">2025-11-06T18:53:32Z</dcterms:created>
  <dcterms:modified xsi:type="dcterms:W3CDTF">2026-06-04T10:37:41Z</dcterms:modified>
</cp:coreProperties>
</file>