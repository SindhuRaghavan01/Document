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showInkAnnotation="0" codeName="ThisWorkbook" hidePivotFieldList="1"/>
  <mc:AlternateContent xmlns:mc="http://schemas.openxmlformats.org/markup-compatibility/2006">
    <mc:Choice Requires="x15">
      <x15ac:absPath xmlns:x15ac="http://schemas.microsoft.com/office/spreadsheetml/2010/11/ac" url="C:\Users\ARAPL_USER\Documents\ARAPL_Docs_2026\Bound Portfolio\"/>
    </mc:Choice>
  </mc:AlternateContent>
  <xr:revisionPtr revIDLastSave="0" documentId="13_ncr:1_{D5DF0758-EC74-48A5-9D21-ED7E64196796}" xr6:coauthVersionLast="47" xr6:coauthVersionMax="47" xr10:uidLastSave="{00000000-0000-0000-0000-000000000000}"/>
  <bookViews>
    <workbookView xWindow="-108" yWindow="-108" windowWidth="23256" windowHeight="12456" tabRatio="857" activeTab="10" xr2:uid="{00000000-000D-0000-FFFF-FFFF00000000}"/>
  </bookViews>
  <sheets>
    <sheet name="Control Checks" sheetId="75" r:id="rId1"/>
    <sheet name="ETF Portfolio" sheetId="84" r:id="rId2"/>
    <sheet name="ILS Data pull" sheetId="77" r:id="rId3"/>
    <sheet name="Tasks" sheetId="78" r:id="rId4"/>
    <sheet name="Bound Portfolio Report" sheetId="70" r:id="rId5"/>
    <sheet name="BoundPortfolio" sheetId="74" r:id="rId6"/>
    <sheet name="Profit and Loss" sheetId="71" r:id="rId7"/>
    <sheet name="Historical Events Adjustment" sheetId="72" state="hidden" r:id="rId8"/>
    <sheet name="Guidelines" sheetId="73" r:id="rId9"/>
    <sheet name="BoundPortfolioDetails" sheetId="64" r:id="rId10"/>
    <sheet name="Setup" sheetId="65" r:id="rId11"/>
  </sheets>
  <functionGroups builtInGroupCount="19"/>
  <externalReferences>
    <externalReference r:id="rId12"/>
  </externalReferences>
  <definedNames>
    <definedName name="_100__Premium">#REF!</definedName>
    <definedName name="_100_AEP">#REF!</definedName>
    <definedName name="_500_AEP">#REF!</definedName>
    <definedName name="_xlnm._FilterDatabase" localSheetId="4" hidden="1">'Bound Portfolio Report'!$A$1:$AS$6</definedName>
    <definedName name="_xlnm._FilterDatabase" localSheetId="1" hidden="1">'ETF Portfolio'!$A$7:$AK$17</definedName>
    <definedName name="_xlnm._FilterDatabase" localSheetId="2" hidden="1">'ILS Data pull'!$A$1:$H$6</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customWorkbookViews>
    <customWorkbookView name="Mali, Akshaya - Personal View" guid="{D56A7A4B-BFD7-4A85-A4E7-6E1C9DD24B18}" mergeInterval="0" personalView="1" maximized="1" xWindow="-8" yWindow="-8" windowWidth="1382" windowHeight="754" tabRatio="926" activeSheetId="7"/>
    <customWorkbookView name="Manghnani, Vijay - Personal View" guid="{5FFA5C24-F31B-48DC-9A7B-9DABB8F4304A}" mergeInterval="0" personalView="1" maximized="1" xWindow="-8" yWindow="-8" windowWidth="2064" windowHeight="1138" tabRatio="926" activeSheetId="10"/>
    <customWorkbookView name="Belambe, Mandar - Personal View" guid="{C32C0BC3-A762-4E97-BB37-2FAA4746F4FA}" mergeInterval="0" personalView="1" maximized="1" xWindow="-8" yWindow="-8" windowWidth="1382" windowHeight="754" tabRatio="92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70" l="1" a="1"/>
  <c r="L2" i="70" s="1"/>
  <c r="L3" i="70" a="1"/>
  <c r="L3" i="70" s="1"/>
  <c r="L4" i="70" a="1"/>
  <c r="L4" i="70" s="1"/>
  <c r="L5" i="70" a="1"/>
  <c r="L5" i="70" s="1"/>
  <c r="L6" i="70" a="1"/>
  <c r="L6" i="70" s="1"/>
  <c r="AO2" i="70"/>
  <c r="AO3" i="70"/>
  <c r="AO4" i="70"/>
  <c r="AO5" i="70"/>
  <c r="AO6" i="70"/>
  <c r="AN2" i="70"/>
  <c r="AN3" i="70"/>
  <c r="AN4" i="70"/>
  <c r="AN5" i="70"/>
  <c r="AN6" i="70"/>
  <c r="AC2" i="70"/>
  <c r="AC3" i="70"/>
  <c r="AC4" i="70"/>
  <c r="AC5" i="70"/>
  <c r="AC6" i="70"/>
  <c r="AA2" i="70"/>
  <c r="AA3" i="70"/>
  <c r="AA4" i="70"/>
  <c r="AA5" i="70"/>
  <c r="AA6" i="70"/>
  <c r="W2" i="70"/>
  <c r="W3" i="70"/>
  <c r="W4" i="70"/>
  <c r="W5" i="70"/>
  <c r="W6" i="70"/>
  <c r="V2" i="70"/>
  <c r="V3" i="70"/>
  <c r="V4" i="70"/>
  <c r="V5" i="70"/>
  <c r="V6" i="70"/>
  <c r="U2" i="70"/>
  <c r="U3" i="70"/>
  <c r="U4" i="70"/>
  <c r="U5" i="70"/>
  <c r="U6" i="70"/>
  <c r="T2" i="70" l="1"/>
  <c r="T3" i="70"/>
  <c r="T4" i="70"/>
  <c r="T5" i="70"/>
  <c r="T6" i="70"/>
  <c r="R2" i="70"/>
  <c r="Z2" i="70" s="1"/>
  <c r="R3" i="70"/>
  <c r="Z3" i="70" s="1"/>
  <c r="R4" i="70"/>
  <c r="Z4" i="70" s="1"/>
  <c r="R5" i="70"/>
  <c r="Z5" i="70" s="1"/>
  <c r="R6" i="70"/>
  <c r="Z6" i="70" s="1"/>
  <c r="AI5" i="70"/>
  <c r="AJ5" i="70" s="1"/>
  <c r="AK5" i="70" s="1"/>
  <c r="AL5" i="70" s="1"/>
  <c r="AM5" i="70" s="1"/>
  <c r="AI6" i="70"/>
  <c r="AJ6" i="70" s="1"/>
  <c r="AK6" i="70" s="1"/>
  <c r="AL6" i="70" s="1"/>
  <c r="AM6" i="70" s="1"/>
  <c r="O5" i="70"/>
  <c r="O6" i="70"/>
  <c r="O2" i="70"/>
  <c r="O3" i="70"/>
  <c r="O4" i="70"/>
  <c r="I5" i="70"/>
  <c r="I6" i="70"/>
  <c r="I2" i="70"/>
  <c r="I3" i="70"/>
  <c r="I4" i="70"/>
  <c r="C5" i="70"/>
  <c r="Q5" i="70" s="1"/>
  <c r="C6" i="70"/>
  <c r="Q6" i="70" s="1"/>
  <c r="C2" i="70"/>
  <c r="Q2" i="70" s="1"/>
  <c r="C3" i="70"/>
  <c r="Q3" i="70" s="1"/>
  <c r="C4" i="70"/>
  <c r="Q4" i="70" s="1"/>
  <c r="F6" i="70" l="1"/>
  <c r="E6" i="70"/>
  <c r="D6" i="70"/>
  <c r="F5" i="70"/>
  <c r="E5" i="70"/>
  <c r="D5" i="70"/>
  <c r="P5" i="70"/>
  <c r="P2" i="70"/>
  <c r="P3" i="70"/>
  <c r="P4" i="70"/>
  <c r="P6" i="70"/>
  <c r="AK8" i="84" l="1"/>
  <c r="AK9" i="84"/>
  <c r="AK10" i="84"/>
  <c r="AK11" i="84"/>
  <c r="AK12" i="84"/>
  <c r="I18" i="75"/>
  <c r="I17" i="75"/>
  <c r="I16" i="75"/>
  <c r="I15" i="75"/>
  <c r="I14" i="75"/>
  <c r="I13" i="75"/>
  <c r="I12" i="75"/>
  <c r="I11" i="75"/>
  <c r="I10" i="75"/>
  <c r="I8" i="75"/>
  <c r="I7" i="75"/>
  <c r="I5" i="75"/>
  <c r="H11" i="75"/>
  <c r="Z17" i="84" l="1"/>
  <c r="AA17" i="84" s="1"/>
  <c r="Z16" i="84"/>
  <c r="AA16" i="84" s="1"/>
  <c r="AJ15" i="84"/>
  <c r="Z15" i="84"/>
  <c r="AA15" i="84" s="1"/>
  <c r="AJ14" i="84"/>
  <c r="Z14" i="84"/>
  <c r="AA14" i="84" s="1"/>
  <c r="AJ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A10" i="84" s="1"/>
  <c r="AJ9" i="84"/>
  <c r="AI9" i="84"/>
  <c r="AG9" i="84"/>
  <c r="AH9" i="84" s="1"/>
  <c r="AF9" i="84"/>
  <c r="Z9" i="84"/>
  <c r="AA9" i="84" s="1"/>
  <c r="AJ8" i="84"/>
  <c r="AI8" i="84"/>
  <c r="AG8" i="84"/>
  <c r="AH8" i="84" s="1"/>
  <c r="AF8" i="84"/>
  <c r="Z8" i="84"/>
  <c r="AA8" i="84" s="1"/>
  <c r="AB5" i="84"/>
  <c r="U5" i="84"/>
  <c r="AB4" i="84"/>
  <c r="U4" i="84"/>
  <c r="AJ5" i="84" l="1"/>
  <c r="Z5" i="84"/>
  <c r="AI4" i="84"/>
  <c r="AI5" i="84"/>
  <c r="AJ4" i="84"/>
  <c r="Z4" i="84"/>
  <c r="AA4" i="84" l="1"/>
  <c r="AA5" i="84"/>
  <c r="AI4" i="70" l="1"/>
  <c r="AJ4" i="70" s="1"/>
  <c r="AK4" i="70" s="1"/>
  <c r="AL4" i="70" s="1"/>
  <c r="AM4" i="70" s="1"/>
  <c r="F4" i="70" l="1"/>
  <c r="D4" i="70"/>
  <c r="E4" i="70"/>
  <c r="AI2" i="70"/>
  <c r="AJ2" i="70" s="1"/>
  <c r="AK2" i="70" s="1"/>
  <c r="AL2" i="70" s="1"/>
  <c r="AM2" i="70" s="1"/>
  <c r="AI3" i="70"/>
  <c r="AJ3" i="70" s="1"/>
  <c r="AK3" i="70" s="1"/>
  <c r="AL3" i="70" s="1"/>
  <c r="AM3" i="70" s="1"/>
  <c r="D2" i="70"/>
  <c r="D3" i="70"/>
  <c r="E2" i="70"/>
  <c r="E3" i="70" l="1"/>
  <c r="F3" i="70"/>
  <c r="F2" i="70"/>
  <c r="D12" i="73" l="1"/>
  <c r="D13" i="73"/>
  <c r="D14" i="73"/>
  <c r="D15" i="73"/>
  <c r="D16" i="73"/>
  <c r="D17" i="73"/>
  <c r="D18" i="73"/>
  <c r="D19" i="73"/>
  <c r="D35" i="73" l="1"/>
  <c r="D36" i="73"/>
  <c r="D37" i="73"/>
  <c r="D38" i="73"/>
  <c r="D39" i="73"/>
  <c r="D40" i="73"/>
  <c r="D41" i="73"/>
  <c r="D42" i="73"/>
  <c r="D43" i="73"/>
  <c r="D44" i="73"/>
  <c r="D45" i="73"/>
  <c r="D46" i="73"/>
  <c r="D47" i="73"/>
  <c r="D34" i="73"/>
  <c r="D21" i="73"/>
  <c r="D22" i="73"/>
  <c r="D23" i="73"/>
  <c r="D24" i="73"/>
  <c r="D25" i="73"/>
  <c r="D26" i="73"/>
  <c r="D27" i="73"/>
  <c r="D28" i="73"/>
  <c r="D29" i="73"/>
  <c r="D30" i="73"/>
  <c r="D31" i="73"/>
  <c r="D32" i="73"/>
  <c r="D33" i="73"/>
  <c r="D20" i="73"/>
  <c r="D5" i="73"/>
  <c r="D6" i="73"/>
  <c r="D7" i="73"/>
  <c r="D8" i="73"/>
  <c r="D9" i="73"/>
  <c r="D10" i="73"/>
  <c r="D11" i="73"/>
  <c r="D4"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8"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0"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2"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tc={C2B1742B-6161-4B1F-BF90-7EDCD3FFFB1A}</author>
    <author>tc={40AFDB99-AC66-40E3-B369-A9CADE5140D7}</author>
    <author>tc={AFF31ADC-B757-4451-9198-133FC77F411D}</author>
    <author>tc={F35F7744-C95B-48C5-A762-85C146D3229F}</author>
    <author>tc={BD840986-B0A4-4933-B7A6-2CA4269FDA07}</author>
    <author>tc={AACDEA72-7669-4FF4-A560-10AA1CE7B619}</author>
    <author>tc={616CC7F1-1BEC-4EEF-A220-D94429A89909}</author>
    <author>tc={FCFBD4EC-5303-4185-BE62-FBEEE538E9CF}</author>
    <author>tc={48A1DD2D-A1E8-49C6-B104-8ECD31B55592}</author>
    <author>tc={6C9EEC69-8E9D-4E1B-9B97-3C7320D7596B}</author>
    <author>tc={2DBC254C-AF08-49E8-8891-8256237BD205}</author>
    <author>tc={853463D6-1A4E-452F-9B81-5045B628E8AD}</author>
    <author>tc={FA3DF436-EFC7-4BD5-97C7-0D509B2612B2}</author>
    <author>tc={9B4BD157-C7FE-4F71-A2D4-32CB229A2C6B}</author>
    <author>tc={F7C3DF7E-D192-4692-8C6B-B0E8D63DBF12}</author>
    <author>tc={1A841EC4-2872-431F-87A7-2F66A35F3123}</author>
    <author>tc={826855AD-C521-4ACD-8644-5F63FCB655EF}</author>
    <author>tc={96A34C92-7694-411F-90A1-106495A6EBFA}</author>
    <author>tc={B3DCB090-6E1F-4B5C-9E6E-408E1BAB52B5}</author>
    <author>tc={56002281-BAC5-4AAA-BD3B-B927F998252F}</author>
    <author>tc={59A866CF-7661-4BAC-9FF7-78A2F714BA0A}</author>
    <author>tc={29E5783C-A4C9-495D-A537-CA9F5F2CDAD6}</author>
    <author>tc={134051E9-F7B2-4029-BB6C-53C62A0E91BD}</author>
    <author>tc={3E59BC6E-8AB4-4098-A2E1-2CE01E9D4945}</author>
    <author>tc={6857FA81-0D07-4B4F-B386-70DD584C01C2}</author>
    <author>tc={6896B3CF-4220-4164-AC0A-FEBE903B0111}</author>
    <author>tc={A9B25032-73C9-4839-8AD4-4EB9207B5674}</author>
    <author>tc={48798FEE-BC48-4B7A-A1AB-697E5C1DD153}</author>
    <author>tc={FFDE2420-C2B3-4C5B-83F6-8939BDA70E42}</author>
    <author>tc={61F2716C-55F7-4DC5-B54A-E7F7624E5D59}</author>
    <author>tc={BE075BA8-7FEE-442E-9F86-9E506363030C}</author>
    <author>tc={F0EDB3E3-4F32-4327-9F85-9B2833AD5C94}</author>
    <author>tc={009A9BAC-FB65-4041-8520-F24DA7BBBB59}</author>
    <author>tc={ED7B3E1D-26A9-42A3-843B-9E79A68E4333}</author>
    <author>tc={E8CFE035-B2B4-43EB-8D41-A17AF4199450}</author>
    <author>tc={7FB34129-2A8E-48DF-96B7-6B4A9475BE93}</author>
    <author>tc={D287E212-CE56-4FE5-B269-7CD6BC23C435}</author>
    <author>tc={06FCC537-5BA6-4138-9A2B-34E813D3FE90}</author>
  </authors>
  <commentList>
    <comment ref="C1" authorId="0" shapeId="0" xr:uid="{C2B1742B-6161-4B1F-BF90-7EDCD3FFFB1A}">
      <text>
        <t xml:space="preserve">[Threaded comment]
Your version of Excel allows you to read this threaded comment; however, any edits to it will get removed if the file is opened in a newer version of Excel. Learn more: https://go.microsoft.com/fwlink/?linkid=870924
Comment:
    Name of the deal as per TS Re
</t>
      </text>
    </comment>
    <comment ref="D1" authorId="1" shapeId="0" xr:uid="{40AFDB99-AC66-40E3-B369-A9CADE5140D7}">
      <text>
        <t>[Threaded comment]
Your version of Excel allows you to read this threaded comment; however, any edits to it will get removed if the file is opened in a newer version of Excel. Learn more: https://go.microsoft.com/fwlink/?linkid=870924
Comment:
    Fill in Series information of CAT Bond</t>
      </text>
    </comment>
    <comment ref="F1" authorId="2" shapeId="0" xr:uid="{AFF31ADC-B757-4451-9198-133FC77F411D}">
      <text>
        <t>[Threaded comment]
Your version of Excel allows you to read this threaded comment; however, any edits to it will get removed if the file is opened in a newer version of Excel. Learn more: https://go.microsoft.com/fwlink/?linkid=870924
Comment:
    Fill in Reset information of the deal if reset happened</t>
      </text>
    </comment>
    <comment ref="H1" authorId="3" shapeId="0" xr:uid="{F35F7744-C95B-48C5-A762-85C146D3229F}">
      <text>
        <t>[Threaded comment]
Your version of Excel allows you to read this threaded comment; however, any edits to it will get removed if the file is opened in a newer version of Excel. Learn more: https://go.microsoft.com/fwlink/?linkid=870924
Comment:
    This is mandatory</t>
      </text>
    </comment>
    <comment ref="J1" authorId="4" shapeId="0" xr:uid="{BD840986-B0A4-4933-B7A6-2CA4269FDA07}">
      <text>
        <t>[Threaded comment]
Your version of Excel allows you to read this threaded comment; however, any edits to it will get removed if the file is opened in a newer version of Excel. Learn more: https://go.microsoft.com/fwlink/?linkid=870924
Comment:
    Keep thi blank as there is  no Hedging</t>
      </text>
    </comment>
    <comment ref="K1" authorId="5" shapeId="0" xr:uid="{AACDEA72-7669-4FF4-A560-10AA1CE7B619}">
      <text>
        <t>[Threaded comment]
Your version of Excel allows you to read this threaded comment; however, any edits to it will get removed if the file is opened in a newer version of Excel. Learn more: https://go.microsoft.com/fwlink/?linkid=870924
Comment:
    ID we get from bloomberg</t>
      </text>
    </comment>
    <comment ref="L1" authorId="6" shapeId="0" xr:uid="{616CC7F1-1BEC-4EEF-A220-D94429A89909}">
      <text>
        <t>[Threaded comment]
Your version of Excel allows you to read this threaded comment; however, any edits to it will get removed if the file is opened in a newer version of Excel. Learn more: https://go.microsoft.com/fwlink/?linkid=870924
Comment:
    This is inception date of deal</t>
      </text>
    </comment>
    <comment ref="M1" authorId="7" shapeId="0" xr:uid="{FCFBD4EC-5303-4185-BE62-FBEEE538E9CF}">
      <text>
        <t>[Threaded comment]
Your version of Excel allows you to read this threaded comment; however, any edits to it will get removed if the file is opened in a newer version of Excel. Learn more: https://go.microsoft.com/fwlink/?linkid=870924
Comment:
    This is Expiration date of deal</t>
      </text>
    </comment>
    <comment ref="N1" authorId="8" shapeId="0" xr:uid="{48A1DD2D-A1E8-49C6-B104-8ECD31B55592}">
      <text>
        <t>[Threaded comment]
Your version of Excel allows you to read this threaded comment; however, any edits to it will get removed if the file is opened in a newer version of Excel. Learn more: https://go.microsoft.com/fwlink/?linkid=870924
Comment:
    Keep this as blank since there is no fronting</t>
      </text>
    </comment>
    <comment ref="O1" authorId="9" shapeId="0" xr:uid="{6C9EEC69-8E9D-4E1B-9B97-3C7320D7596B}">
      <text>
        <t>[Threaded comment]
Your version of Excel allows you to read this threaded comment; however, any edits to it will get removed if the file is opened in a newer version of Excel. Learn more: https://go.microsoft.com/fwlink/?linkid=870924
Comment:
    This can be CAT Bond, ILW, Treasury ,Collateral or sidecar</t>
      </text>
    </comment>
    <comment ref="P1" authorId="10" shapeId="0" xr:uid="{2DBC254C-AF08-49E8-8891-8256237BD205}">
      <text>
        <t>[Threaded comment]
Your version of Excel allows you to read this threaded comment; however, any edits to it will get removed if the file is opened in a newer version of Excel. Learn more: https://go.microsoft.com/fwlink/?linkid=870924
Comment:
    This Deal limit as per the OC or TS Re</t>
      </text>
    </comment>
    <comment ref="Q1" authorId="11" shapeId="0" xr:uid="{853463D6-1A4E-452F-9B81-5045B628E8AD}">
      <text>
        <t>[Threaded comment]
Your version of Excel allows you to read this threaded comment; however, any edits to it will get removed if the file is opened in a newer version of Excel. Learn more: https://go.microsoft.com/fwlink/?linkid=870924
Comment:
    This is Agg limit or total layer of deal</t>
      </text>
    </comment>
    <comment ref="R1" authorId="12" shapeId="0" xr:uid="{FA3DF436-EFC7-4BD5-97C7-0D509B2612B2}">
      <text>
        <t>[Threaded comment]
Your version of Excel allows you to read this threaded comment; however, any edits to it will get removed if the file is opened in a newer version of Excel. Learn more: https://go.microsoft.com/fwlink/?linkid=870924
Comment:
    This is the money invested in this particular deal by Asset or Portfolio Manager</t>
      </text>
    </comment>
    <comment ref="T1" authorId="13" shapeId="0" xr:uid="{9B4BD157-C7FE-4F71-A2D4-32CB229A2C6B}">
      <text>
        <t>[Threaded comment]
Your version of Excel allows you to read this threaded comment; however, any edits to it will get removed if the file is opened in a newer version of Excel. Learn more: https://go.microsoft.com/fwlink/?linkid=870924
Comment:
    Price at which rate we buy or sell this particular deal for our ETF portfolio</t>
      </text>
    </comment>
    <comment ref="V1" authorId="14" shapeId="0" xr:uid="{F7C3DF7E-D192-4692-8C6B-B0E8D63DBF12}">
      <text>
        <t>[Threaded comment]
Your version of Excel allows you to read this threaded comment; however, any edits to it will get removed if the file is opened in a newer version of Excel. Learn more: https://go.microsoft.com/fwlink/?linkid=870924
Comment:
    Enter buy or sell based on the Transaction</t>
      </text>
    </comment>
    <comment ref="W1" authorId="15" shapeId="0" xr:uid="{1A841EC4-2872-431F-87A7-2F66A35F3123}">
      <text>
        <t>[Threaded comment]
Your version of Excel allows you to read this threaded comment; however, any edits to it will get removed if the file is opened in a newer version of Excel. Learn more: https://go.microsoft.com/fwlink/?linkid=870924
Comment:
    This is the date when Asset manger bought this deal</t>
      </text>
    </comment>
    <comment ref="X1" authorId="16" shapeId="0" xr:uid="{826855AD-C521-4ACD-8644-5F63FCB655EF}">
      <text>
        <t>[Threaded comment]
Your version of Excel allows you to read this threaded comment; however, any edits to it will get removed if the file is opened in a newer version of Excel. Learn more: https://go.microsoft.com/fwlink/?linkid=870924
Comment:
    We don’t use as we use the field bond price for both buy and sell.</t>
      </text>
    </comment>
    <comment ref="Y1" authorId="17" shapeId="0" xr:uid="{96A34C92-7694-411F-90A1-106495A6EBFA}">
      <text>
        <t>[Threaded comment]
Your version of Excel allows you to read this threaded comment; however, any edits to it will get removed if the file is opened in a newer version of Excel. Learn more: https://go.microsoft.com/fwlink/?linkid=870924
Comment:
    Sell date to calculate Profit and gain</t>
      </text>
    </comment>
    <comment ref="Z1" authorId="18" shapeId="0" xr:uid="{B3DCB090-6E1F-4B5C-9E6E-408E1BAB52B5}">
      <text>
        <t>[Threaded comment]
Your version of Excel allows you to read this threaded comment; however, any edits to it will get removed if the file is opened in a newer version of Excel. Learn more: https://go.microsoft.com/fwlink/?linkid=870924
Comment:
    We are participating a portion of total principal amount . If a deal has 100m has Principal amount and if I invest 250k then share is 250k/100m</t>
      </text>
    </comment>
    <comment ref="AA1" authorId="19" shapeId="0" xr:uid="{56002281-BAC5-4AAA-BD3B-B927F998252F}">
      <text>
        <t>[Threaded comment]
Your version of Excel allows you to read this threaded comment; however, any edits to it will get removed if the file is opened in a newer version of Excel. Learn more: https://go.microsoft.com/fwlink/?linkid=870924
Comment:
    This we get from the OC or TSRe</t>
      </text>
    </comment>
    <comment ref="AB1" authorId="20" shapeId="0" xr:uid="{59A866CF-7661-4BAC-9FF7-78A2F714BA0A}">
      <text>
        <t>[Threaded comment]
Your version of Excel allows you to read this threaded comment; however, any edits to it will get removed if the file is opened in a newer version of Excel. Learn more: https://go.microsoft.com/fwlink/?linkid=870924
Comment:
    No need of data.</t>
      </text>
    </comment>
    <comment ref="AC1" authorId="21" shapeId="0" xr:uid="{29E5783C-A4C9-495D-A537-CA9F5F2CDAD6}">
      <text>
        <t xml:space="preserve">[Threaded comment]
Your version of Excel allows you to read this threaded comment; however, any edits to it will get removed if the file is opened in a newer version of Excel. Learn more: https://go.microsoft.com/fwlink/?linkid=870924
Comment:
    This is YTM value as given in ETF file which is calculated using formula 
</t>
      </text>
    </comment>
    <comment ref="AD1" authorId="22" shapeId="0" xr:uid="{134051E9-F7B2-4029-BB6C-53C62A0E91BD}">
      <text>
        <t>[Threaded comment]
Your version of Excel allows you to read this threaded comment; however, any edits to it will get removed if the file is opened in a newer version of Excel. Learn more: https://go.microsoft.com/fwlink/?linkid=870924
Comment:
    Update as zero</t>
      </text>
    </comment>
    <comment ref="AE1" authorId="23" shapeId="0" xr:uid="{3E59BC6E-8AB4-4098-A2E1-2CE01E9D4945}">
      <text>
        <t>[Threaded comment]
Your version of Excel allows you to read this threaded comment; however, any edits to it will get removed if the file is opened in a newer version of Excel. Learn more: https://go.microsoft.com/fwlink/?linkid=870924
Comment:
    Update as zero</t>
      </text>
    </comment>
    <comment ref="AF1" authorId="24" shapeId="0" xr:uid="{6857FA81-0D07-4B4F-B386-70DD584C01C2}">
      <text>
        <t>[Threaded comment]
Your version of Excel allows you to read this threaded comment; however, any edits to it will get removed if the file is opened in a newer version of Excel. Learn more: https://go.microsoft.com/fwlink/?linkid=870924
Comment:
    Update as zero</t>
      </text>
    </comment>
    <comment ref="AG1" authorId="25" shapeId="0" xr:uid="{6896B3CF-4220-4164-AC0A-FEBE903B0111}">
      <text>
        <t>[Threaded comment]
Your version of Excel allows you to read this threaded comment; however, any edits to it will get removed if the file is opened in a newer version of Excel. Learn more: https://go.microsoft.com/fwlink/?linkid=870924
Comment:
    Leave blank</t>
      </text>
    </comment>
    <comment ref="AH1" authorId="26" shapeId="0" xr:uid="{A9B25032-73C9-4839-8AD4-4EB9207B5674}">
      <text>
        <t>[Threaded comment]
Your version of Excel allows you to read this threaded comment; however, any edits to it will get removed if the file is opened in a newer version of Excel. Learn more: https://go.microsoft.com/fwlink/?linkid=870924
Comment:
    Update as zero</t>
      </text>
    </comment>
    <comment ref="AI1" authorId="27" shapeId="0" xr:uid="{48798FEE-BC48-4B7A-A1AB-697E5C1DD153}">
      <text>
        <t>[Threaded comment]
Your version of Excel allows you to read this threaded comment; however, any edits to it will get removed if the file is opened in a newer version of Excel. Learn more: https://go.microsoft.com/fwlink/?linkid=870924
Comment:
    Information purpose</t>
      </text>
    </comment>
    <comment ref="AJ1" authorId="28" shapeId="0" xr:uid="{FFDE2420-C2B3-4C5B-83F6-8939BDA70E42}">
      <text>
        <t>[Threaded comment]
Your version of Excel allows you to read this threaded comment; however, any edits to it will get removed if the file is opened in a newer version of Excel. Learn more: https://go.microsoft.com/fwlink/?linkid=870924
Comment:
    Information purpose</t>
      </text>
    </comment>
    <comment ref="AK1" authorId="29" shapeId="0" xr:uid="{61F2716C-55F7-4DC5-B54A-E7F7624E5D59}">
      <text>
        <t>[Threaded comment]
Your version of Excel allows you to read this threaded comment; however, any edits to it will get removed if the file is opened in a newer version of Excel. Learn more: https://go.microsoft.com/fwlink/?linkid=870924
Comment:
    Information purpose</t>
      </text>
    </comment>
    <comment ref="AL1" authorId="30" shapeId="0" xr:uid="{BE075BA8-7FEE-442E-9F86-9E506363030C}">
      <text>
        <t>[Threaded comment]
Your version of Excel allows you to read this threaded comment; however, any edits to it will get removed if the file is opened in a newer version of Excel. Learn more: https://go.microsoft.com/fwlink/?linkid=870924
Comment:
    Information purpose</t>
      </text>
    </comment>
    <comment ref="AM1" authorId="31" shapeId="0" xr:uid="{F0EDB3E3-4F32-4327-9F85-9B2833AD5C94}">
      <text>
        <t>[Threaded comment]
Your version of Excel allows you to read this threaded comment; however, any edits to it will get removed if the file is opened in a newer version of Excel. Learn more: https://go.microsoft.com/fwlink/?linkid=870924
Comment:
    Information purpose</t>
      </text>
    </comment>
    <comment ref="AN1" authorId="32" shapeId="0" xr:uid="{009A9BAC-FB65-4041-8520-F24DA7BBBB59}">
      <text>
        <t>[Threaded comment]
Your version of Excel allows you to read this threaded comment; however, any edits to it will get removed if the file is opened in a newer version of Excel. Learn more: https://go.microsoft.com/fwlink/?linkid=870924
Comment:
    This should come from OC which talk whether treaty is indemnity, parametric or ILW</t>
      </text>
    </comment>
    <comment ref="AO1" authorId="33" shapeId="0" xr:uid="{ED7B3E1D-26A9-42A3-843B-9E79A68E4333}">
      <text>
        <t>[Threaded comment]
Your version of Excel allows you to read this threaded comment; however, any edits to it will get removed if the file is opened in a newer version of Excel. Learn more: https://go.microsoft.com/fwlink/?linkid=870924
Comment:
    Get this information from OC or TSRe which is occ or Agg</t>
      </text>
    </comment>
    <comment ref="AP1" authorId="34" shapeId="0" xr:uid="{E8CFE035-B2B4-43EB-8D41-A17AF4199450}">
      <text>
        <t>[Threaded comment]
Your version of Excel allows you to read this threaded comment; however, any edits to it will get removed if the file is opened in a newer version of Excel. Learn more: https://go.microsoft.com/fwlink/?linkid=870924
Comment:
    keep it as zero</t>
      </text>
    </comment>
    <comment ref="AQ1" authorId="35" shapeId="0" xr:uid="{7FB34129-2A8E-48DF-96B7-6B4A9475BE93}">
      <text>
        <t>[Threaded comment]
Your version of Excel allows you to read this threaded comment; however, any edits to it will get removed if the file is opened in a newer version of Excel. Learn more: https://go.microsoft.com/fwlink/?linkid=870924
Comment:
    keep it as zero</t>
      </text>
    </comment>
    <comment ref="AR1" authorId="36" shapeId="0" xr:uid="{D287E212-CE56-4FE5-B269-7CD6BC23C435}">
      <text>
        <t>[Threaded comment]
Your version of Excel allows you to read this threaded comment; however, any edits to it will get removed if the file is opened in a newer version of Excel. Learn more: https://go.microsoft.com/fwlink/?linkid=870924
Comment:
    keep it as zero</t>
      </text>
    </comment>
    <comment ref="AS1" authorId="37" shapeId="0" xr:uid="{06FCC537-5BA6-4138-9A2B-34E813D3FE90}">
      <text>
        <t>[Threaded comment]
Your version of Excel allows you to read this threaded comment; however, any edits to it will get removed if the file is opened in a newer version of Excel. Learn more: https://go.microsoft.com/fwlink/?linkid=870924
Comment:
    keep it as zero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tc={27018D4F-6572-4745-8B6C-A0FAFB19FE8B}</author>
  </authors>
  <commentList>
    <comment ref="A1" authorId="0" shapeId="0" xr:uid="{27018D4F-6572-4745-8B6C-A0FAFB19FE8B}">
      <text>
        <t>[Threaded comment]
Your version of Excel allows you to read this threaded comment; however, any edits to it will get removed if the file is opened in a newer version of Excel. Learn more: https://go.microsoft.com/fwlink/?linkid=870924
Comment:
    This ID is always 1 for all ETF portfolio and cant be changed whenever we run new Report unless we handle new portfolio like UCEIT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<sst xmlns="http://schemas.openxmlformats.org/spreadsheetml/2006/main" count="1243" uniqueCount="503">
  <si>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</si>
  <si>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</si>
  <si>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</si>
  <si>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</si>
  <si>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</si>
  <si>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</si>
  <si>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</si>
  <si>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</si>
  <si>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</si>
  <si>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</si>
  <si>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</si>
  <si>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</si>
  <si>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</si>
  <si>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</si>
  <si>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</si>
  <si>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</si>
  <si>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</si>
  <si>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</si>
  <si>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</si>
  <si>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</si>
  <si>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</si>
  <si>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</si>
  <si>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</si>
  <si>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</si>
  <si>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</si>
  <si>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</si>
  <si>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</si>
  <si>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</si>
  <si>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</si>
  <si>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</si>
  <si>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</si>
  <si>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</si>
  <si>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</si>
  <si>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</si>
  <si>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</si>
  <si>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</si>
  <si>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</si>
  <si>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</si>
  <si>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</si>
  <si>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</si>
  <si>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</si>
  <si>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</si>
  <si>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</si>
  <si>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</si>
  <si>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</si>
  <si>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</si>
  <si>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</si>
  <si>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</si>
  <si>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</si>
  <si>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</si>
  <si>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</si>
  <si>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</si>
  <si>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</si>
  <si>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</si>
  <si>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</si>
  <si>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</si>
  <si>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</si>
  <si>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</si>
  <si>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</si>
  <si>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</si>
  <si>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</si>
  <si>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</si>
  <si>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</si>
  <si>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</si>
  <si>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</si>
  <si>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</si>
  <si>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</si>
  <si>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</si>
  <si>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</si>
  <si>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</si>
  <si>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</si>
  <si>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</si>
  <si>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</si>
  <si>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</si>
  <si>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</si>
  <si>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</si>
  <si>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</si>
  <si>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</si>
  <si>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</si>
  <si>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</si>
  <si>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</si>
  <si>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</si>
  <si>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</si>
  <si>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</si>
  <si>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</si>
  <si>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</si>
  <si>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</si>
  <si>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</si>
  <si>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</si>
  <si>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</si>
  <si>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</si>
  <si>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</si>
  <si>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</si>
  <si>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</si>
  <si>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</si>
  <si>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</si>
  <si>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</si>
  <si>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</si>
  <si>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</si>
  <si>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</si>
  <si>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</si>
  <si>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</si>
  <si>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</si>
  <si>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</si>
  <si>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</si>
  <si>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</si>
  <si>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</si>
  <si>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</si>
  <si>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</si>
  <si>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</si>
  <si>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</si>
  <si>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</si>
  <si>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</si>
  <si>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</si>
  <si>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</si>
  <si>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</si>
  <si>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</si>
  <si>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</si>
  <si>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</si>
  <si>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</si>
  <si>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</si>
  <si>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</si>
  <si>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</si>
  <si>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</si>
  <si>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</si>
  <si>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</si>
  <si>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</si>
  <si>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</si>
  <si>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</si>
  <si>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</si>
  <si>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</si>
  <si>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</si>
  <si>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</si>
  <si>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</si>
  <si>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</si>
  <si>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</si>
  <si>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</si>
  <si>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</si>
  <si>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</si>
  <si>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</si>
  <si>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</si>
  <si>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</si>
  <si>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</si>
  <si>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</si>
  <si>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</si>
  <si>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</si>
  <si>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</si>
  <si>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</si>
  <si>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</si>
  <si>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</si>
  <si>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</si>
  <si>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</si>
  <si>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</si>
  <si>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</si>
  <si>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</si>
  <si>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</si>
  <si>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</si>
  <si>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</si>
  <si>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</si>
  <si>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</si>
  <si>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</si>
  <si>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</si>
  <si>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</si>
  <si>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</si>
  <si>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</si>
  <si>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</si>
  <si>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</si>
  <si>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</si>
  <si>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</si>
  <si>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</si>
  <si>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</si>
  <si>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</si>
  <si>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</si>
  <si>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</si>
  <si>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</si>
  <si>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</si>
  <si>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</si>
  <si>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</si>
  <si>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</si>
  <si>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</si>
  <si>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</si>
  <si>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</si>
  <si>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</si>
  <si>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</si>
  <si>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</si>
  <si>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</si>
  <si>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</si>
  <si>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</si>
  <si>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</si>
  <si>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</si>
  <si>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</si>
  <si>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</si>
  <si>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</si>
  <si>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</si>
  <si>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</si>
  <si>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</si>
  <si>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</si>
  <si>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</si>
  <si>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</si>
  <si>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</si>
  <si>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</si>
  <si>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</si>
  <si>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</si>
  <si>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</si>
  <si>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2018 events</t>
  </si>
  <si>
    <t>2017 events</t>
  </si>
  <si>
    <t>2005 events</t>
  </si>
  <si>
    <t>FloodSmart Re Ltd. Series 2021-1 Class A Reset 2022</t>
  </si>
  <si>
    <t>FloodSmart Re Ltd. Series 2022-1 Class A</t>
  </si>
  <si>
    <t>FloodSmart Re Ltd. Series 2021-1 Class B Reset 2022</t>
  </si>
  <si>
    <t>Floodsmart Re 2020-1 A</t>
  </si>
  <si>
    <t>Floodsmart Re 2020-1 B</t>
  </si>
  <si>
    <t>FloodSmart Re Ltd. Series 2022-1 Class B</t>
  </si>
  <si>
    <t>FloodSmart Re Ltd. Series 2022-1 Class C</t>
  </si>
  <si>
    <t>MetroCat Re Ltd. Series 2020-1 Class A</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</si>
  <si>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</si>
  <si>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</si>
  <si>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</si>
  <si>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</si>
  <si>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</si>
  <si>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</si>
  <si>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</si>
  <si>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</si>
  <si>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</si>
  <si>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</si>
  <si>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CB-Lightning Re Ltd. Series 2023-1 Class A Reset 2025</t>
  </si>
  <si>
    <t>LOD</t>
  </si>
  <si>
    <t>ARAPL_Configuration</t>
  </si>
  <si>
    <t>Buy</t>
  </si>
  <si>
    <t>CompanyShare</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</si>
  <si>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</si>
  <si>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</si>
  <si>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</si>
  <si>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</si>
  <si>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</si>
  <si>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</si>
  <si>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</si>
  <si>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</si>
  <si>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</si>
  <si>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</si>
  <si>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</si>
  <si>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</si>
  <si>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</si>
  <si>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</si>
  <si>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</si>
  <si>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</si>
  <si>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</si>
  <si>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</si>
  <si>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</si>
  <si>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</si>
  <si>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</si>
  <si>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</si>
  <si>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</si>
  <si>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</si>
  <si>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</si>
  <si>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</si>
  <si>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('OPt02','ci02','CB-Montoya Re Ltd. Series 2025-1 Class B Reset 2025','2025-1','Class B','2025','','LOD','Inigo Insurance','','613752AE4','1/29/2025','4/7/2028','','CAT Bond',5000000,5000000,250000,'',100.2,0.10612121925354,'Buy','4/4/2025',0,'',8.33333333333333E-03,6.60991191604096E-02,0,0.10523115,0,'0',0,'0',0,'4/4/2025','4/4/2025',4/4/2025,4/4/2025,4/4/2025,'Industry Loss Index','Occurrence',0,0,'0',1,14,86,'USD')</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</si>
  <si>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</si>
  <si>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</si>
  <si>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</si>
  <si>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</si>
  <si>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</si>
  <si>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</si>
  <si>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</si>
  <si>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</si>
  <si>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</si>
  <si>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</si>
  <si>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</si>
  <si>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</si>
  <si>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</si>
  <si>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</si>
  <si>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</si>
  <si>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</si>
  <si>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</si>
  <si>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</si>
  <si>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</si>
  <si>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</si>
  <si>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</si>
  <si>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</si>
  <si>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</si>
  <si>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</si>
  <si>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</si>
  <si>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</si>
  <si>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</si>
  <si>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</si>
  <si>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</si>
  <si>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</si>
  <si>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</si>
  <si>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</si>
  <si>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</si>
  <si>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</si>
  <si>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</si>
  <si>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Aggregate</t>
  </si>
  <si>
    <t>Indemnity</t>
  </si>
  <si>
    <t>RBC</t>
  </si>
  <si>
    <t>Occurrence</t>
  </si>
  <si>
    <t>Industry Loss Index</t>
  </si>
  <si>
    <t>GeoVera</t>
  </si>
  <si>
    <t>2/5/2025</t>
  </si>
  <si>
    <t>3/8/2028</t>
  </si>
  <si>
    <t>US EQ</t>
  </si>
  <si>
    <t>05826BAB2</t>
  </si>
  <si>
    <t xml:space="preserve">Baldwin Re 2023-1 A </t>
  </si>
  <si>
    <t>Vermont Mutual</t>
  </si>
  <si>
    <t>6/28/2023</t>
  </si>
  <si>
    <t>7/7/2027</t>
  </si>
  <si>
    <t>NE WD,QK,TH,WF</t>
  </si>
  <si>
    <t>532242AA2</t>
  </si>
  <si>
    <t>FL Citizens</t>
  </si>
  <si>
    <t>3/24/2023</t>
  </si>
  <si>
    <t>3/31/2026</t>
  </si>
  <si>
    <t>FL HU</t>
  </si>
  <si>
    <t>Tullet</t>
  </si>
  <si>
    <t>912797PG6</t>
  </si>
  <si>
    <t>Treasury</t>
  </si>
  <si>
    <t>Treasury 7/31/25</t>
  </si>
  <si>
    <t>US Govt.</t>
  </si>
  <si>
    <t>912797MG9</t>
  </si>
  <si>
    <t>Treasury 8/7/25</t>
  </si>
  <si>
    <t>Sell</t>
  </si>
  <si>
    <t>912797QQ3</t>
  </si>
  <si>
    <t>Treasury 11/13/2025</t>
  </si>
  <si>
    <t>ILSInstrumentID</t>
  </si>
  <si>
    <t>CUSIP_ID</t>
  </si>
  <si>
    <t>PrincipalAmount</t>
  </si>
  <si>
    <t>OccurrenceLimit</t>
  </si>
  <si>
    <t>92335TAE9</t>
  </si>
  <si>
    <t>CB-Veraison Re Ltd. Series 2025-1 Class B</t>
  </si>
  <si>
    <t>092168AB9</t>
  </si>
  <si>
    <t>CB-Black Kite Re Ltd. Series 2025-1 Class A</t>
  </si>
  <si>
    <t>09785EAQ4</t>
  </si>
  <si>
    <t>CB-Bonanza Re Ltd. Series 2024-1 Class C</t>
  </si>
  <si>
    <t>OPt09</t>
  </si>
  <si>
    <t>ci09</t>
  </si>
  <si>
    <t>OPt23</t>
  </si>
  <si>
    <t>ci23</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</si>
  <si>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</si>
  <si>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</si>
  <si>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</si>
  <si>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</si>
  <si>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</si>
  <si>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</si>
  <si>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</si>
  <si>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</si>
  <si>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</si>
  <si>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</si>
  <si>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</si>
  <si>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</si>
  <si>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</si>
  <si>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</si>
  <si>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</si>
  <si>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</si>
  <si>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</si>
  <si>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</si>
  <si>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</si>
  <si>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</si>
  <si>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</si>
  <si>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</si>
  <si>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</si>
  <si>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</si>
  <si>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</si>
  <si>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</si>
  <si>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</si>
  <si>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</si>
  <si>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</si>
  <si>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</si>
  <si>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</si>
  <si>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</si>
  <si>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</si>
  <si>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</si>
  <si>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</si>
  <si>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</si>
  <si>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</si>
  <si>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</si>
  <si>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</si>
  <si>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</si>
  <si>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</si>
  <si>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</si>
  <si>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</si>
  <si>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</si>
  <si>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</si>
  <si>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</si>
  <si>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</si>
  <si>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</si>
  <si>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</si>
  <si>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</si>
  <si>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</si>
  <si>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</si>
  <si>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</si>
  <si>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</si>
  <si>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</si>
  <si>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</si>
  <si>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</si>
  <si>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</si>
  <si>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</si>
  <si>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</si>
  <si>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</si>
  <si>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</si>
  <si>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</si>
  <si>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</si>
  <si>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</si>
  <si>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</si>
  <si>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</si>
  <si>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</si>
  <si>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</si>
  <si>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</si>
  <si>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</si>
  <si>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</si>
  <si>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</si>
  <si>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</si>
  <si>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</si>
  <si>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</si>
  <si>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</si>
  <si>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</si>
  <si>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</si>
  <si>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</si>
  <si>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</si>
  <si>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</si>
  <si>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</si>
  <si>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</si>
  <si>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</si>
  <si>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</si>
  <si>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</si>
  <si>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</si>
  <si>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</si>
  <si>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</si>
  <si>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</si>
  <si>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</si>
  <si>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</si>
  <si>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</si>
  <si>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</si>
  <si>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</si>
  <si>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</si>
  <si>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</si>
  <si>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</si>
  <si>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</si>
  <si>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</si>
  <si>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</si>
  <si>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</si>
  <si>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</si>
  <si>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</si>
  <si>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</si>
  <si>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</si>
  <si>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</si>
  <si>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</si>
  <si>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</si>
  <si>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</si>
  <si>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</si>
  <si>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</si>
  <si>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</si>
  <si>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</si>
  <si>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</si>
  <si>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</si>
  <si>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</si>
  <si>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</si>
  <si>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</si>
  <si>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</si>
  <si>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</si>
  <si>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</si>
  <si>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</si>
  <si>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</si>
  <si>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</si>
  <si>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</si>
  <si>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</si>
  <si>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</si>
  <si>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</si>
  <si>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</si>
  <si>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</si>
  <si>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</si>
  <si>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</si>
  <si>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</si>
  <si>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</si>
  <si>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</si>
  <si>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</si>
  <si>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OPt39</t>
  </si>
  <si>
    <t>ci39</t>
  </si>
  <si>
    <t>Bound Portfolio Oct17 2025</t>
  </si>
  <si>
    <t>ARAPL-LP-22\SQLEXPRESS</t>
  </si>
  <si>
    <t>ETF Bound Portfolio as of Nov 7, 2025</t>
  </si>
  <si>
    <t>Market Value as of 11/6</t>
  </si>
  <si>
    <t>Veraison 2025-1 B</t>
  </si>
  <si>
    <t>Bonanza 2024-1 C</t>
  </si>
  <si>
    <t>Progressive</t>
  </si>
  <si>
    <t>12/19/2024</t>
  </si>
  <si>
    <t>12/19/2027</t>
  </si>
  <si>
    <t>US WD,QK,TH,WS,&amp; WF</t>
  </si>
  <si>
    <t>Treasury 1/15/2026</t>
  </si>
  <si>
    <t>912797RJ8</t>
  </si>
  <si>
    <t xml:space="preserve">Deployed AUM </t>
  </si>
  <si>
    <t>OPt48</t>
  </si>
  <si>
    <t>OPt54</t>
  </si>
  <si>
    <t>ci48</t>
  </si>
  <si>
    <t>ci54</t>
  </si>
  <si>
    <t>OccurrenceRetention</t>
  </si>
  <si>
    <t>AggregateRetention</t>
  </si>
  <si>
    <t>CB-Baldwin Re Ltd. Series 2023-1 Class A Reset 2025</t>
  </si>
  <si>
    <t>This can be AIR/RMS or Company view</t>
  </si>
  <si>
    <t>This can be a name with date and month</t>
  </si>
  <si>
    <t>This is from ETF portfolio, total AUM available for investment</t>
  </si>
  <si>
    <t>Total money invested in bond and treasuries</t>
  </si>
  <si>
    <t>Date of report is getting created</t>
  </si>
  <si>
    <t>Database Server</t>
  </si>
  <si>
    <t>Database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</si>
</sst>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b/>
      <sz val="11"/>
      <color theme="0"/>
      <name val="Calibri"/>
      <family val="2"/>
      <scheme val="minor"/>
    </font>
    <font>
      <sz val="11"/>
      <color theme="0"/>
      <name val="Calibri"/>
      <family val="2"/>
      <scheme val="minor"/>
    </font>
    <font>
      <sz val="9"/>
      <color indexed="81"/>
      <name val="Tahoma"/>
      <family val="2"/>
    </font>
    <font>
      <sz val="9"/>
      <color indexed="81"/>
      <name val="Tahoma"/>
      <charset val="1"/>
    </font>
  </fonts>
  <fills count="1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224">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0" xfId="1" applyNumberFormat="1" applyFont="1" applyBorder="1"/>
    <xf numFmtId="0" fontId="9" fillId="0" borderId="2" xfId="0" applyFont="1" applyBorder="1" applyAlignment="1">
      <alignment vertical="center"/>
    </xf>
    <xf numFmtId="0" fontId="9" fillId="0" borderId="7" xfId="0" applyFont="1" applyBorder="1" applyAlignment="1">
      <alignment vertical="center"/>
    </xf>
    <xf numFmtId="164" fontId="0" fillId="0" borderId="20" xfId="1" applyNumberFormat="1" applyFont="1" applyBorder="1" applyAlignment="1">
      <alignment horizontal="left"/>
    </xf>
    <xf numFmtId="9" fontId="0" fillId="0" borderId="1" xfId="2" applyFont="1" applyBorder="1"/>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1" borderId="5" xfId="0" applyFont="1" applyFill="1" applyBorder="1"/>
    <xf numFmtId="0" fontId="2" fillId="11" borderId="6" xfId="0" applyFont="1" applyFill="1" applyBorder="1"/>
    <xf numFmtId="0" fontId="2" fillId="11"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2"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1"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7" fontId="11" fillId="0" borderId="0" xfId="0" applyNumberFormat="1" applyFont="1"/>
    <xf numFmtId="164" fontId="5" fillId="0" borderId="0" xfId="1" applyNumberFormat="1" applyFont="1"/>
    <xf numFmtId="0" fontId="19" fillId="0" borderId="0" xfId="0" applyFont="1"/>
    <xf numFmtId="164" fontId="19" fillId="0" borderId="0" xfId="1" applyNumberFormat="1" applyFont="1"/>
    <xf numFmtId="14" fontId="2" fillId="0" borderId="0" xfId="0" applyNumberFormat="1" applyFont="1" applyAlignment="1">
      <alignment wrapText="1"/>
    </xf>
    <xf numFmtId="43" fontId="10" fillId="0" borderId="0" xfId="0" applyNumberFormat="1" applyFont="1"/>
    <xf numFmtId="0" fontId="15" fillId="0" borderId="0" xfId="0" applyFont="1"/>
    <xf numFmtId="14" fontId="15" fillId="0" borderId="0" xfId="0" applyNumberFormat="1" applyFont="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0" fontId="10" fillId="0" borderId="0" xfId="1" applyNumberFormat="1" applyFont="1" applyFill="1"/>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0" fontId="21" fillId="4" borderId="10" xfId="0" applyFont="1" applyFill="1" applyBorder="1" applyAlignment="1">
      <alignment horizontal="left"/>
    </xf>
    <xf numFmtId="0" fontId="21" fillId="4" borderId="9" xfId="0" applyFont="1" applyFill="1" applyBorder="1" applyAlignment="1">
      <alignment horizontal="left"/>
    </xf>
    <xf numFmtId="0" fontId="21" fillId="5" borderId="9" xfId="0" applyFont="1" applyFill="1" applyBorder="1" applyAlignment="1">
      <alignment horizontal="left"/>
    </xf>
    <xf numFmtId="0" fontId="21" fillId="5" borderId="9" xfId="1" applyNumberFormat="1" applyFont="1" applyFill="1" applyBorder="1" applyAlignment="1">
      <alignment horizontal="left"/>
    </xf>
    <xf numFmtId="43" fontId="21" fillId="5" borderId="9" xfId="1" applyFont="1" applyFill="1" applyBorder="1" applyAlignment="1"/>
    <xf numFmtId="10" fontId="21" fillId="5" borderId="9" xfId="2" applyNumberFormat="1" applyFont="1" applyFill="1" applyBorder="1" applyAlignment="1"/>
    <xf numFmtId="43" fontId="21" fillId="4" borderId="9" xfId="1" applyFont="1" applyFill="1" applyBorder="1" applyAlignment="1"/>
    <xf numFmtId="14" fontId="21" fillId="5" borderId="9" xfId="1" applyNumberFormat="1" applyFont="1" applyFill="1" applyBorder="1" applyAlignment="1"/>
    <xf numFmtId="166" fontId="21" fillId="5" borderId="9" xfId="1" applyNumberFormat="1" applyFont="1" applyFill="1" applyBorder="1" applyAlignment="1">
      <alignment horizontal="left"/>
    </xf>
    <xf numFmtId="167" fontId="21" fillId="5" borderId="9" xfId="0" applyNumberFormat="1" applyFont="1" applyFill="1" applyBorder="1" applyAlignment="1">
      <alignment horizontal="left"/>
    </xf>
    <xf numFmtId="0" fontId="21" fillId="5" borderId="8" xfId="0" applyFont="1" applyFill="1" applyBorder="1" applyAlignment="1">
      <alignment horizontal="left"/>
    </xf>
    <xf numFmtId="0" fontId="21" fillId="5" borderId="13" xfId="0" applyFont="1" applyFill="1" applyBorder="1" applyAlignment="1">
      <alignment horizontal="left"/>
    </xf>
    <xf numFmtId="0" fontId="22" fillId="0" borderId="0" xfId="0" applyFont="1" applyAlignment="1">
      <alignment horizontal="left"/>
    </xf>
    <xf numFmtId="164" fontId="0" fillId="0" borderId="0" xfId="1" applyNumberFormat="1" applyFont="1" applyFill="1"/>
    <xf numFmtId="164" fontId="5" fillId="0" borderId="0" xfId="1" applyNumberFormat="1" applyFont="1" applyFill="1"/>
    <xf numFmtId="0" fontId="2" fillId="12" borderId="5"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7" xfId="0" applyFont="1" applyFill="1" applyBorder="1" applyAlignment="1">
      <alignment horizontal="center" vertical="center" wrapText="1"/>
    </xf>
    <xf numFmtId="0" fontId="2" fillId="12" borderId="5" xfId="0" applyFont="1" applyFill="1" applyBorder="1" applyAlignment="1">
      <alignment horizontal="center" vertical="center"/>
    </xf>
    <xf numFmtId="0" fontId="2" fillId="12"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14</xdr:col>
      <xdr:colOff>0</xdr:colOff>
      <xdr:row>20</xdr:row>
      <xdr:rowOff>0</xdr:rowOff>
    </xdr:from>
    <xdr:to>
      <xdr:col>15</xdr:col>
      <xdr:colOff>202970</xdr:colOff>
      <xdr:row>30</xdr:row>
      <xdr:rowOff>173182</xdr:rowOff>
    </xdr:to>
    <xdr:sp macro="" textlink="">
      <xdr:nvSpPr>
        <xdr:cNvPr id="2" name="Speech Bubble: Oval 1">
          <a:extLst>
            <a:ext uri="{FF2B5EF4-FFF2-40B4-BE49-F238E27FC236}">
              <a16:creationId xmlns:a16="http://schemas.microsoft.com/office/drawing/2014/main" id="{D895A024-FD52-48E0-9D9C-CE045EB8D2DF}"/>
            </a:ext>
          </a:extLst>
        </xdr:cNvPr>
        <xdr:cNvSpPr/>
      </xdr:nvSpPr>
      <xdr:spPr>
        <a:xfrm>
          <a:off x="10241280" y="3939540"/>
          <a:ext cx="1780310" cy="2001982"/>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This</a:t>
          </a:r>
          <a:r>
            <a:rPr lang="en-IN" sz="1100" baseline="0">
              <a:solidFill>
                <a:schemeClr val="tx1"/>
              </a:solidFill>
            </a:rPr>
            <a:t> is received from Asset Manager</a:t>
          </a:r>
          <a:endParaRPr lang="en-IN"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1579417</xdr:colOff>
      <xdr:row>9</xdr:row>
      <xdr:rowOff>48490</xdr:rowOff>
    </xdr:from>
    <xdr:to>
      <xdr:col>2</xdr:col>
      <xdr:colOff>3359727</xdr:colOff>
      <xdr:row>21</xdr:row>
      <xdr:rowOff>55418</xdr:rowOff>
    </xdr:to>
    <xdr:sp macro="" textlink="">
      <xdr:nvSpPr>
        <xdr:cNvPr id="2" name="Speech Bubble: Oval 1">
          <a:extLst>
            <a:ext uri="{FF2B5EF4-FFF2-40B4-BE49-F238E27FC236}">
              <a16:creationId xmlns:a16="http://schemas.microsoft.com/office/drawing/2014/main" id="{0283F073-4C97-5FB2-740E-0CE0B44B65CC}"/>
            </a:ext>
          </a:extLst>
        </xdr:cNvPr>
        <xdr:cNvSpPr/>
      </xdr:nvSpPr>
      <xdr:spPr>
        <a:xfrm>
          <a:off x="3602181" y="1614054"/>
          <a:ext cx="1780310" cy="2001982"/>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This is dealwise</a:t>
          </a:r>
          <a:r>
            <a:rPr lang="en-IN" sz="1100" baseline="0">
              <a:solidFill>
                <a:schemeClr val="tx1"/>
              </a:solidFill>
            </a:rPr>
            <a:t> data from ILSData, terms to get terms details which need to be used in boundportfolio report</a:t>
          </a:r>
          <a:endParaRPr lang="en-IN"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37</xdr:col>
      <xdr:colOff>745067</xdr:colOff>
      <xdr:row>11</xdr:row>
      <xdr:rowOff>8467</xdr:rowOff>
    </xdr:from>
    <xdr:to>
      <xdr:col>40</xdr:col>
      <xdr:colOff>440267</xdr:colOff>
      <xdr:row>19</xdr:row>
      <xdr:rowOff>152400</xdr:rowOff>
    </xdr:to>
    <xdr:sp macro="" textlink="">
      <xdr:nvSpPr>
        <xdr:cNvPr id="3" name="Speech Bubble: Oval 2">
          <a:extLst>
            <a:ext uri="{FF2B5EF4-FFF2-40B4-BE49-F238E27FC236}">
              <a16:creationId xmlns:a16="http://schemas.microsoft.com/office/drawing/2014/main" id="{93A401FA-B5DC-43E9-99AF-E176237A28C3}"/>
            </a:ext>
          </a:extLst>
        </xdr:cNvPr>
        <xdr:cNvSpPr/>
      </xdr:nvSpPr>
      <xdr:spPr>
        <a:xfrm>
          <a:off x="43340867" y="2065867"/>
          <a:ext cx="3496733" cy="1634066"/>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This is import file which needs to filled completedly and VBA helped to push this data into SQL table called Bound portfolio Details (Import</a:t>
          </a:r>
          <a:r>
            <a:rPr lang="en-IN" sz="1100" baseline="0">
              <a:solidFill>
                <a:schemeClr val="tx1"/>
              </a:solidFill>
            </a:rPr>
            <a:t> button in Boundportfolio tab is used to push the data</a:t>
          </a:r>
        </a:p>
        <a:p>
          <a:pPr algn="l"/>
          <a:endParaRPr lang="en-IN"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twoCellAnchor>
    <xdr:from>
      <xdr:col>4</xdr:col>
      <xdr:colOff>797858</xdr:colOff>
      <xdr:row>10</xdr:row>
      <xdr:rowOff>98611</xdr:rowOff>
    </xdr:from>
    <xdr:to>
      <xdr:col>7</xdr:col>
      <xdr:colOff>331695</xdr:colOff>
      <xdr:row>16</xdr:row>
      <xdr:rowOff>53789</xdr:rowOff>
    </xdr:to>
    <xdr:sp macro="" textlink="">
      <xdr:nvSpPr>
        <xdr:cNvPr id="2" name="Speech Bubble: Oval 1">
          <a:extLst>
            <a:ext uri="{FF2B5EF4-FFF2-40B4-BE49-F238E27FC236}">
              <a16:creationId xmlns:a16="http://schemas.microsoft.com/office/drawing/2014/main" id="{1747BF09-CD3F-4CB7-BAA1-546162C29AEA}"/>
            </a:ext>
          </a:extLst>
        </xdr:cNvPr>
        <xdr:cNvSpPr/>
      </xdr:nvSpPr>
      <xdr:spPr>
        <a:xfrm>
          <a:off x="4948517" y="1909482"/>
          <a:ext cx="3173507" cy="1030942"/>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solidFill>
                <a:schemeClr val="tx1"/>
              </a:solidFill>
            </a:rPr>
            <a:t>data in this pushed into BoundPortfolio table</a:t>
          </a:r>
        </a:p>
        <a:p>
          <a:pPr algn="l"/>
          <a:endParaRPr lang="en-IN"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7</xdr:row>
      <xdr:rowOff>0</xdr:rowOff>
    </xdr:from>
    <xdr:to>
      <xdr:col>7</xdr:col>
      <xdr:colOff>460787</xdr:colOff>
      <xdr:row>12</xdr:row>
      <xdr:rowOff>116542</xdr:rowOff>
    </xdr:to>
    <xdr:sp macro="" textlink="">
      <xdr:nvSpPr>
        <xdr:cNvPr id="2" name="Speech Bubble: Oval 1">
          <a:extLst>
            <a:ext uri="{FF2B5EF4-FFF2-40B4-BE49-F238E27FC236}">
              <a16:creationId xmlns:a16="http://schemas.microsoft.com/office/drawing/2014/main" id="{31D9BCDA-BA73-44A0-BE72-CF938A1F34D1}"/>
            </a:ext>
          </a:extLst>
        </xdr:cNvPr>
        <xdr:cNvSpPr/>
      </xdr:nvSpPr>
      <xdr:spPr>
        <a:xfrm>
          <a:off x="3253740" y="1295400"/>
          <a:ext cx="3173507" cy="1030942"/>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solidFill>
                <a:schemeClr val="tx1"/>
              </a:solidFill>
            </a:rPr>
            <a:t>This data psuhed into Boundportfolio settings</a:t>
          </a:r>
        </a:p>
        <a:p>
          <a:pPr algn="l"/>
          <a:endParaRPr lang="en-IN"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571500</xdr:colOff>
      <xdr:row>7</xdr:row>
      <xdr:rowOff>38100</xdr:rowOff>
    </xdr:from>
    <xdr:to>
      <xdr:col>10</xdr:col>
      <xdr:colOff>361727</xdr:colOff>
      <xdr:row>12</xdr:row>
      <xdr:rowOff>139402</xdr:rowOff>
    </xdr:to>
    <xdr:sp macro="" textlink="">
      <xdr:nvSpPr>
        <xdr:cNvPr id="2" name="Speech Bubble: Oval 1">
          <a:extLst>
            <a:ext uri="{FF2B5EF4-FFF2-40B4-BE49-F238E27FC236}">
              <a16:creationId xmlns:a16="http://schemas.microsoft.com/office/drawing/2014/main" id="{926B908D-9ADA-4463-80B3-7B3ABAF42CEE}"/>
            </a:ext>
          </a:extLst>
        </xdr:cNvPr>
        <xdr:cNvSpPr/>
      </xdr:nvSpPr>
      <xdr:spPr>
        <a:xfrm>
          <a:off x="7772400" y="1325880"/>
          <a:ext cx="3173507" cy="1030942"/>
        </a:xfrm>
        <a:prstGeom prst="wedgeEllipseCallout">
          <a:avLst>
            <a:gd name="adj1" fmla="val -108382"/>
            <a:gd name="adj2" fmla="val -7002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solidFill>
                <a:schemeClr val="tx1"/>
              </a:solidFill>
            </a:rPr>
            <a:t>This get pushed into guidelines table for portfolio under ReportID for that week or month report</a:t>
          </a:r>
        </a:p>
        <a:p>
          <a:pPr algn="l"/>
          <a:endParaRPr lang="en-IN" sz="1100">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 displayName="sindhu raghavan" id="{71E7DA4D-165F-4C0D-8C3B-C93F76276AA6}" userId="S::sindhu@advancedriskanalytics.com::bbaceb47-dae7-4ad4-a633-56435de1552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8" dT="2025-11-07T04:37:10.33" personId="{A9213413-F8FB-4978-BF61-56971C71A39C}" id="{9A5B99E5-5BA4-4CF3-81E8-365B37BF0E7E}">
    <text>Total Paid</text>
  </threadedComment>
  <threadedComment ref="H10" dT="2025-11-07T04:33:13.40" personId="{A9213413-F8FB-4978-BF61-56971C71A39C}" id="{67C1B1A0-A334-465F-AE39-D9C4658B7072}">
    <text>AVG(Original Spread - Coupon)</text>
  </threadedComment>
  <threadedComment ref="H12" dT="2025-11-07T04:37:31.95" personId="{A9213413-F8FB-4978-BF61-56971C71A39C}" id="{9EB7A050-B8C6-4E7E-8B73-F1508AD21BC6}">
    <text>Premium correspond to all Treasury 1.5m*3.7%</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6-06-04T11:06:00.06" personId="{71E7DA4D-165F-4C0D-8C3B-C93F76276AA6}" id="{C2B1742B-6161-4B1F-BF90-7EDCD3FFFB1A}">
    <text xml:space="preserve">Name of the deal as per TS Re
</text>
  </threadedComment>
  <threadedComment ref="D1" dT="2026-06-04T11:06:21.87" personId="{71E7DA4D-165F-4C0D-8C3B-C93F76276AA6}" id="{40AFDB99-AC66-40E3-B369-A9CADE5140D7}">
    <text>Fill in Series information of CAT Bond</text>
  </threadedComment>
  <threadedComment ref="F1" dT="2026-06-04T11:06:42.86" personId="{71E7DA4D-165F-4C0D-8C3B-C93F76276AA6}" id="{AFF31ADC-B757-4451-9198-133FC77F411D}">
    <text>Fill in Reset information of the deal if reset happened</text>
  </threadedComment>
  <threadedComment ref="H1" dT="2026-06-04T11:06:58.31" personId="{71E7DA4D-165F-4C0D-8C3B-C93F76276AA6}" id="{F35F7744-C95B-48C5-A762-85C146D3229F}">
    <text>This is mandatory</text>
  </threadedComment>
  <threadedComment ref="J1" dT="2026-06-04T11:07:19.37" personId="{71E7DA4D-165F-4C0D-8C3B-C93F76276AA6}" id="{BD840986-B0A4-4933-B7A6-2CA4269FDA07}">
    <text>Keep thi blank as there is  no Hedging</text>
  </threadedComment>
  <threadedComment ref="K1" dT="2026-06-04T11:07:34.54" personId="{71E7DA4D-165F-4C0D-8C3B-C93F76276AA6}" id="{AACDEA72-7669-4FF4-A560-10AA1CE7B619}">
    <text>ID we get from bloomberg</text>
  </threadedComment>
  <threadedComment ref="L1" dT="2026-06-04T11:25:53.88" personId="{71E7DA4D-165F-4C0D-8C3B-C93F76276AA6}" id="{616CC7F1-1BEC-4EEF-A220-D94429A89909}">
    <text>This is inception date of deal</text>
  </threadedComment>
  <threadedComment ref="M1" dT="2026-06-04T11:26:05.07" personId="{71E7DA4D-165F-4C0D-8C3B-C93F76276AA6}" id="{FCFBD4EC-5303-4185-BE62-FBEEE538E9CF}">
    <text>This is Expiration date of deal</text>
  </threadedComment>
  <threadedComment ref="N1" dT="2026-06-04T11:07:51.58" personId="{71E7DA4D-165F-4C0D-8C3B-C93F76276AA6}" id="{48A1DD2D-A1E8-49C6-B104-8ECD31B55592}">
    <text>Keep this as blank since there is no fronting</text>
  </threadedComment>
  <threadedComment ref="O1" dT="2026-06-04T11:08:21.29" personId="{71E7DA4D-165F-4C0D-8C3B-C93F76276AA6}" id="{6C9EEC69-8E9D-4E1B-9B97-3C7320D7596B}">
    <text>This can be CAT Bond, ILW, Treasury ,Collateral or sidecar</text>
  </threadedComment>
  <threadedComment ref="P1" dT="2026-06-04T11:08:37.47" personId="{71E7DA4D-165F-4C0D-8C3B-C93F76276AA6}" id="{2DBC254C-AF08-49E8-8891-8256237BD205}">
    <text>This Deal limit as per the OC or TS Re</text>
  </threadedComment>
  <threadedComment ref="Q1" dT="2026-06-04T11:08:52.97" personId="{71E7DA4D-165F-4C0D-8C3B-C93F76276AA6}" id="{853463D6-1A4E-452F-9B81-5045B628E8AD}">
    <text>This is Agg limit or total layer of deal</text>
  </threadedComment>
  <threadedComment ref="R1" dT="2026-06-04T11:09:32.46" personId="{71E7DA4D-165F-4C0D-8C3B-C93F76276AA6}" id="{FA3DF436-EFC7-4BD5-97C7-0D509B2612B2}">
    <text>This is the money invested in this particular deal by Asset or Portfolio Manager</text>
  </threadedComment>
  <threadedComment ref="T1" dT="2026-06-04T11:10:05.73" personId="{71E7DA4D-165F-4C0D-8C3B-C93F76276AA6}" id="{9B4BD157-C7FE-4F71-A2D4-32CB229A2C6B}">
    <text>Price at which rate we buy or sell this particular deal for our ETF portfolio</text>
  </threadedComment>
  <threadedComment ref="V1" dT="2026-06-04T11:10:40.08" personId="{71E7DA4D-165F-4C0D-8C3B-C93F76276AA6}" id="{F7C3DF7E-D192-4692-8C6B-B0E8D63DBF12}">
    <text>Enter buy or sell based on the Transaction</text>
  </threadedComment>
  <threadedComment ref="W1" dT="2026-06-04T11:11:07.43" personId="{71E7DA4D-165F-4C0D-8C3B-C93F76276AA6}" id="{1A841EC4-2872-431F-87A7-2F66A35F3123}">
    <text>This is the date when Asset manger bought this deal</text>
  </threadedComment>
  <threadedComment ref="X1" dT="2026-06-04T11:12:24.53" personId="{71E7DA4D-165F-4C0D-8C3B-C93F76276AA6}" id="{826855AD-C521-4ACD-8644-5F63FCB655EF}">
    <text>We don’t use as we use the field bond price for both buy and sell.</text>
  </threadedComment>
  <threadedComment ref="Y1" dT="2026-06-04T11:14:02.53" personId="{71E7DA4D-165F-4C0D-8C3B-C93F76276AA6}" id="{96A34C92-7694-411F-90A1-106495A6EBFA}">
    <text>Sell date to calculate Profit and gain</text>
  </threadedComment>
  <threadedComment ref="Z1" dT="2026-06-04T11:17:22.32" personId="{71E7DA4D-165F-4C0D-8C3B-C93F76276AA6}" id="{B3DCB090-6E1F-4B5C-9E6E-408E1BAB52B5}">
    <text>We are participating a portion of total principal amount . If a deal has 100m has Principal amount and if I invest 250k then share is 250k/100m</text>
  </threadedComment>
  <threadedComment ref="AA1" dT="2026-06-04T11:17:39.54" personId="{71E7DA4D-165F-4C0D-8C3B-C93F76276AA6}" id="{56002281-BAC5-4AAA-BD3B-B927F998252F}">
    <text>This we get from the OC or TSRe</text>
  </threadedComment>
  <threadedComment ref="AB1" dT="2026-06-04T11:18:04.86" personId="{71E7DA4D-165F-4C0D-8C3B-C93F76276AA6}" id="{59A866CF-7661-4BAC-9FF7-78A2F714BA0A}">
    <text>No need of data.</text>
  </threadedComment>
  <threadedComment ref="AC1" dT="2026-06-04T11:19:47.34" personId="{71E7DA4D-165F-4C0D-8C3B-C93F76276AA6}" id="{29E5783C-A4C9-495D-A537-CA9F5F2CDAD6}">
    <text xml:space="preserve">This is YTM value as given in ETF file which is calculated using formula 
</text>
  </threadedComment>
  <threadedComment ref="AD1" dT="2026-06-04T11:21:46.97" personId="{71E7DA4D-165F-4C0D-8C3B-C93F76276AA6}" id="{134051E9-F7B2-4029-BB6C-53C62A0E91BD}">
    <text>Update as zero</text>
  </threadedComment>
  <threadedComment ref="AE1" dT="2026-06-04T11:21:53.85" personId="{71E7DA4D-165F-4C0D-8C3B-C93F76276AA6}" id="{3E59BC6E-8AB4-4098-A2E1-2CE01E9D4945}">
    <text>Update as zero</text>
  </threadedComment>
  <threadedComment ref="AF1" dT="2026-06-04T11:22:02.20" personId="{71E7DA4D-165F-4C0D-8C3B-C93F76276AA6}" id="{6857FA81-0D07-4B4F-B386-70DD584C01C2}">
    <text>Update as zero</text>
  </threadedComment>
  <threadedComment ref="AG1" dT="2026-06-04T11:22:13.90" personId="{71E7DA4D-165F-4C0D-8C3B-C93F76276AA6}" id="{6896B3CF-4220-4164-AC0A-FEBE903B0111}">
    <text>Leave blank</text>
  </threadedComment>
  <threadedComment ref="AH1" dT="2026-06-04T11:22:20.17" personId="{71E7DA4D-165F-4C0D-8C3B-C93F76276AA6}" id="{A9B25032-73C9-4839-8AD4-4EB9207B5674}">
    <text>Update as zero</text>
  </threadedComment>
  <threadedComment ref="AI1" dT="2026-06-04T11:22:36.26" personId="{71E7DA4D-165F-4C0D-8C3B-C93F76276AA6}" id="{48798FEE-BC48-4B7A-A1AB-697E5C1DD153}">
    <text>Information purpose</text>
  </threadedComment>
  <threadedComment ref="AJ1" dT="2026-06-04T11:22:40.71" personId="{71E7DA4D-165F-4C0D-8C3B-C93F76276AA6}" id="{FFDE2420-C2B3-4C5B-83F6-8939BDA70E42}">
    <text>Information purpose</text>
  </threadedComment>
  <threadedComment ref="AK1" dT="2026-06-04T11:22:44.83" personId="{71E7DA4D-165F-4C0D-8C3B-C93F76276AA6}" id="{61F2716C-55F7-4DC5-B54A-E7F7624E5D59}">
    <text>Information purpose</text>
  </threadedComment>
  <threadedComment ref="AL1" dT="2026-06-04T11:22:51.35" personId="{71E7DA4D-165F-4C0D-8C3B-C93F76276AA6}" id="{BE075BA8-7FEE-442E-9F86-9E506363030C}">
    <text>Information purpose</text>
  </threadedComment>
  <threadedComment ref="AM1" dT="2026-06-04T11:22:55.85" personId="{71E7DA4D-165F-4C0D-8C3B-C93F76276AA6}" id="{F0EDB3E3-4F32-4327-9F85-9B2833AD5C94}">
    <text>Information purpose</text>
  </threadedComment>
  <threadedComment ref="AN1" dT="2026-06-04T11:23:40.02" personId="{71E7DA4D-165F-4C0D-8C3B-C93F76276AA6}" id="{009A9BAC-FB65-4041-8520-F24DA7BBBB59}">
    <text>This should come from OC which talk whether treaty is indemnity, parametric or ILW</text>
  </threadedComment>
  <threadedComment ref="AO1" dT="2026-06-04T11:24:47.86" personId="{71E7DA4D-165F-4C0D-8C3B-C93F76276AA6}" id="{ED7B3E1D-26A9-42A3-843B-9E79A68E4333}">
    <text>Get this information from OC or TSRe which is occ or Agg</text>
  </threadedComment>
  <threadedComment ref="AP1" dT="2026-06-04T11:25:05.19" personId="{71E7DA4D-165F-4C0D-8C3B-C93F76276AA6}" id="{E8CFE035-B2B4-43EB-8D41-A17AF4199450}">
    <text>keep it as zero</text>
  </threadedComment>
  <threadedComment ref="AQ1" dT="2026-06-04T11:25:10.68" personId="{71E7DA4D-165F-4C0D-8C3B-C93F76276AA6}" id="{7FB34129-2A8E-48DF-96B7-6B4A9475BE93}">
    <text>keep it as zero</text>
  </threadedComment>
  <threadedComment ref="AR1" dT="2026-06-04T11:25:15.25" personId="{71E7DA4D-165F-4C0D-8C3B-C93F76276AA6}" id="{D287E212-CE56-4FE5-B269-7CD6BC23C435}">
    <text>keep it as zero</text>
  </threadedComment>
  <threadedComment ref="AS1" dT="2026-06-04T11:25:19.76" personId="{71E7DA4D-165F-4C0D-8C3B-C93F76276AA6}" id="{06FCC537-5BA6-4138-9A2B-34E813D3FE90}">
    <text>keep it as zero</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6-06-04T11:31:13.21" personId="{71E7DA4D-165F-4C0D-8C3B-C93F76276AA6}" id="{27018D4F-6572-4745-8B6C-A0FAFB19FE8B}">
    <text>This ID is always 1 for all ETF portfolio and cant be changed whenever we run new Report unless we handle new portfolio like UCEIT</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M19"/>
  <sheetViews>
    <sheetView zoomScaleNormal="100" workbookViewId="0">
      <selection activeCell="E24" sqref="E24"/>
    </sheetView>
  </sheetViews>
  <sheetFormatPr defaultRowHeight="14.4" x14ac:dyDescent="0.3"/>
  <cols>
    <col min="1" max="1" width="24.21875" bestFit="1" customWidth="1"/>
    <col min="2" max="2" width="2.109375" customWidth="1"/>
    <col min="3" max="4" width="13.6640625" bestFit="1" customWidth="1"/>
    <col min="5" max="9" width="11.5546875" bestFit="1" customWidth="1"/>
    <col min="10" max="10" width="20.33203125" style="93" bestFit="1" customWidth="1"/>
    <col min="12" max="12" width="13.6640625" bestFit="1" customWidth="1"/>
    <col min="13" max="13" width="13.5546875" bestFit="1" customWidth="1"/>
  </cols>
  <sheetData>
    <row r="1" spans="1:13" ht="15" thickBot="1" x14ac:dyDescent="0.35"/>
    <row r="2" spans="1:13" ht="15" thickBot="1" x14ac:dyDescent="0.35">
      <c r="A2" s="107" t="s">
        <v>78</v>
      </c>
      <c r="B2" s="108"/>
      <c r="C2" s="109">
        <v>45894</v>
      </c>
      <c r="D2" s="110">
        <v>45911</v>
      </c>
      <c r="E2" s="110">
        <v>45915</v>
      </c>
      <c r="F2" s="110">
        <v>45933</v>
      </c>
      <c r="G2" s="110">
        <v>45947</v>
      </c>
      <c r="H2" s="196">
        <v>45968</v>
      </c>
      <c r="I2" s="197" t="s">
        <v>468</v>
      </c>
    </row>
    <row r="3" spans="1:13" ht="15" thickBot="1" x14ac:dyDescent="0.35">
      <c r="A3" s="1"/>
      <c r="B3" s="1"/>
      <c r="C3" s="17"/>
      <c r="D3" s="17"/>
      <c r="E3" s="17"/>
      <c r="F3" s="17"/>
      <c r="G3" s="17"/>
      <c r="H3" s="17"/>
      <c r="I3" s="64"/>
      <c r="J3" s="69"/>
      <c r="L3" s="203"/>
    </row>
    <row r="4" spans="1:13" x14ac:dyDescent="0.3">
      <c r="A4" s="94" t="s">
        <v>250</v>
      </c>
      <c r="B4" s="111"/>
      <c r="C4" s="115">
        <v>45891</v>
      </c>
      <c r="D4" s="114">
        <v>45912</v>
      </c>
      <c r="E4" s="164">
        <v>45919</v>
      </c>
      <c r="F4" s="164">
        <v>45933</v>
      </c>
      <c r="G4" s="164">
        <v>45946</v>
      </c>
      <c r="H4" s="164">
        <v>45968</v>
      </c>
      <c r="I4" s="170"/>
      <c r="L4" s="33"/>
    </row>
    <row r="5" spans="1:13" x14ac:dyDescent="0.3">
      <c r="A5" s="95" t="s">
        <v>252</v>
      </c>
      <c r="B5" s="97"/>
      <c r="C5" s="112">
        <v>33</v>
      </c>
      <c r="D5" s="113">
        <v>36</v>
      </c>
      <c r="E5" s="165">
        <v>39</v>
      </c>
      <c r="F5" s="165">
        <v>41</v>
      </c>
      <c r="G5" s="165">
        <v>44</v>
      </c>
      <c r="H5" s="165">
        <v>55</v>
      </c>
      <c r="I5" s="171">
        <f>H5/G5-1</f>
        <v>0.25</v>
      </c>
    </row>
    <row r="6" spans="1:13" x14ac:dyDescent="0.3">
      <c r="A6" s="95" t="s">
        <v>251</v>
      </c>
      <c r="C6" s="100">
        <v>41</v>
      </c>
      <c r="D6" s="113">
        <v>42</v>
      </c>
      <c r="E6" s="165">
        <v>43</v>
      </c>
      <c r="F6" s="165">
        <v>0</v>
      </c>
      <c r="G6" s="165">
        <v>0</v>
      </c>
      <c r="H6" s="165"/>
      <c r="I6" s="171"/>
    </row>
    <row r="7" spans="1:13" x14ac:dyDescent="0.3">
      <c r="A7" s="95" t="s">
        <v>255</v>
      </c>
      <c r="B7" s="97"/>
      <c r="C7" s="98">
        <v>12000000</v>
      </c>
      <c r="D7" s="113">
        <v>12000000</v>
      </c>
      <c r="E7" s="165">
        <v>12170460</v>
      </c>
      <c r="F7" s="165">
        <v>13000000</v>
      </c>
      <c r="G7" s="165">
        <v>13000000</v>
      </c>
      <c r="H7" s="165">
        <v>17000000</v>
      </c>
      <c r="I7" s="171">
        <f>H7/G7-1</f>
        <v>0.30769230769230771</v>
      </c>
    </row>
    <row r="8" spans="1:13" ht="18" x14ac:dyDescent="0.3">
      <c r="A8" s="95" t="s">
        <v>488</v>
      </c>
      <c r="B8" s="97"/>
      <c r="C8" s="98">
        <v>8459065</v>
      </c>
      <c r="D8" s="113">
        <v>9236432.5800000001</v>
      </c>
      <c r="E8" s="165">
        <v>10016084.98</v>
      </c>
      <c r="F8" s="165">
        <v>10992085.23</v>
      </c>
      <c r="G8" s="165">
        <v>12079741.700000001</v>
      </c>
      <c r="H8" s="165">
        <v>15545795.120000005</v>
      </c>
      <c r="I8" s="171">
        <f>H8/G8-1</f>
        <v>0.28693108727647743</v>
      </c>
      <c r="L8" s="194"/>
      <c r="M8" s="195"/>
    </row>
    <row r="9" spans="1:13" x14ac:dyDescent="0.3">
      <c r="A9" s="95" t="s">
        <v>254</v>
      </c>
      <c r="B9" s="97"/>
      <c r="C9" s="98"/>
      <c r="D9" s="99"/>
      <c r="E9" s="166"/>
      <c r="F9" s="166"/>
      <c r="G9" s="166"/>
      <c r="H9" s="166"/>
      <c r="I9" s="171"/>
    </row>
    <row r="10" spans="1:13" x14ac:dyDescent="0.3">
      <c r="A10" s="95" t="s">
        <v>253</v>
      </c>
      <c r="B10" s="97"/>
      <c r="C10" s="101">
        <v>4.7399999999999998E-2</v>
      </c>
      <c r="D10" s="102">
        <v>4.0087130679941629E-2</v>
      </c>
      <c r="E10" s="167">
        <v>4.0087130679941629E-2</v>
      </c>
      <c r="F10" s="167">
        <v>3.9484946631504619E-2</v>
      </c>
      <c r="G10" s="167">
        <v>3.95E-2</v>
      </c>
      <c r="H10" s="167">
        <v>3.8699999999999998E-2</v>
      </c>
      <c r="I10" s="171">
        <f t="shared" ref="I10:I18" si="0">H10/G10-1</f>
        <v>-2.0253164556962133E-2</v>
      </c>
    </row>
    <row r="11" spans="1:13" x14ac:dyDescent="0.3">
      <c r="A11" s="95" t="s">
        <v>244</v>
      </c>
      <c r="B11" s="97"/>
      <c r="C11" s="99">
        <v>167840.31899999999</v>
      </c>
      <c r="D11" s="99">
        <v>110783.48830836914</v>
      </c>
      <c r="E11" s="166">
        <v>86362.712960341843</v>
      </c>
      <c r="F11" s="166">
        <v>79282.40753405985</v>
      </c>
      <c r="G11" s="166">
        <v>36350.202849999958</v>
      </c>
      <c r="H11" s="166">
        <f>(H7-H8)*H10</f>
        <v>56277.728855999812</v>
      </c>
      <c r="I11" s="171">
        <f t="shared" si="0"/>
        <v>0.54820948560400895</v>
      </c>
      <c r="J11" s="75"/>
    </row>
    <row r="12" spans="1:13" x14ac:dyDescent="0.3">
      <c r="A12" s="95" t="s">
        <v>243</v>
      </c>
      <c r="B12" s="97"/>
      <c r="C12" s="98">
        <v>163700</v>
      </c>
      <c r="D12" s="99">
        <v>112710</v>
      </c>
      <c r="E12" s="166">
        <v>81010</v>
      </c>
      <c r="F12" s="166">
        <v>72650</v>
      </c>
      <c r="G12" s="166">
        <v>30988</v>
      </c>
      <c r="H12" s="166">
        <v>42550.000000000007</v>
      </c>
      <c r="I12" s="171">
        <f t="shared" si="0"/>
        <v>0.37311217245385331</v>
      </c>
    </row>
    <row r="13" spans="1:13" ht="18" x14ac:dyDescent="0.3">
      <c r="A13" s="95" t="s">
        <v>32</v>
      </c>
      <c r="C13" s="103">
        <v>118198</v>
      </c>
      <c r="D13" s="104">
        <v>118198.48</v>
      </c>
      <c r="E13" s="168">
        <v>117000</v>
      </c>
      <c r="F13" s="168">
        <v>117000</v>
      </c>
      <c r="G13" s="168">
        <v>117000</v>
      </c>
      <c r="H13" s="168">
        <v>117000</v>
      </c>
      <c r="I13" s="171">
        <f t="shared" si="0"/>
        <v>0</v>
      </c>
      <c r="L13" s="194"/>
    </row>
    <row r="14" spans="1:13" x14ac:dyDescent="0.3">
      <c r="A14" s="95" t="s">
        <v>245</v>
      </c>
      <c r="C14" s="98">
        <v>8250000</v>
      </c>
      <c r="D14" s="99">
        <v>9000000</v>
      </c>
      <c r="E14" s="166">
        <v>9750000</v>
      </c>
      <c r="F14" s="166">
        <v>10675000</v>
      </c>
      <c r="G14" s="166">
        <v>11675000</v>
      </c>
      <c r="H14" s="166">
        <v>14925000</v>
      </c>
      <c r="I14" s="171">
        <f t="shared" si="0"/>
        <v>0.27837259100642409</v>
      </c>
    </row>
    <row r="15" spans="1:13" x14ac:dyDescent="0.3">
      <c r="A15" s="95" t="s">
        <v>246</v>
      </c>
      <c r="C15" s="98">
        <v>11700000</v>
      </c>
      <c r="D15" s="99">
        <v>11700000</v>
      </c>
      <c r="E15" s="166">
        <v>11700000</v>
      </c>
      <c r="F15" s="166">
        <v>12425000</v>
      </c>
      <c r="G15" s="166">
        <v>12425000</v>
      </c>
      <c r="H15" s="166">
        <v>15575000</v>
      </c>
      <c r="I15" s="171">
        <f t="shared" si="0"/>
        <v>0.25352112676056349</v>
      </c>
    </row>
    <row r="16" spans="1:13" x14ac:dyDescent="0.3">
      <c r="A16" s="95" t="s">
        <v>247</v>
      </c>
      <c r="C16" s="103">
        <v>911703</v>
      </c>
      <c r="D16" s="99">
        <v>994208.167552948</v>
      </c>
      <c r="E16" s="166">
        <v>1060655.5913068771</v>
      </c>
      <c r="F16" s="166">
        <v>1158832.8125502586</v>
      </c>
      <c r="G16" s="166">
        <v>1303174.2059416198</v>
      </c>
      <c r="H16" s="166">
        <v>1745621.2453847504</v>
      </c>
      <c r="I16" s="171">
        <f t="shared" si="0"/>
        <v>0.33951488406220931</v>
      </c>
    </row>
    <row r="17" spans="1:9" x14ac:dyDescent="0.3">
      <c r="A17" s="95" t="s">
        <v>248</v>
      </c>
      <c r="C17" s="103">
        <v>1075473</v>
      </c>
      <c r="D17" s="99">
        <v>1106918.167552948</v>
      </c>
      <c r="E17" s="166">
        <v>1141665.5913068771</v>
      </c>
      <c r="F17" s="166">
        <v>1231482.8125502586</v>
      </c>
      <c r="G17" s="166">
        <v>1334161.7059416198</v>
      </c>
      <c r="H17" s="166">
        <v>1769671.2453847504</v>
      </c>
      <c r="I17" s="171">
        <f t="shared" si="0"/>
        <v>0.32642935073283219</v>
      </c>
    </row>
    <row r="18" spans="1:9" ht="15" thickBot="1" x14ac:dyDescent="0.35">
      <c r="A18" s="96" t="s">
        <v>249</v>
      </c>
      <c r="B18" s="12"/>
      <c r="C18" s="105">
        <v>134285</v>
      </c>
      <c r="D18" s="106">
        <v>150910</v>
      </c>
      <c r="E18" s="169">
        <v>166635</v>
      </c>
      <c r="F18" s="169">
        <v>181750</v>
      </c>
      <c r="G18" s="169">
        <v>198875</v>
      </c>
      <c r="H18" s="169">
        <v>308400</v>
      </c>
      <c r="I18" s="198">
        <f t="shared" si="0"/>
        <v>0.55072281583909488</v>
      </c>
    </row>
    <row r="19" spans="1:9" x14ac:dyDescent="0.3">
      <c r="A19" s="116"/>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dimension ref="A2:AO17"/>
  <sheetViews>
    <sheetView topLeftCell="I11" workbookViewId="0">
      <selection activeCell="Q30" sqref="Q30"/>
    </sheetView>
  </sheetViews>
  <sheetFormatPr defaultColWidth="8.88671875" defaultRowHeight="14.4" x14ac:dyDescent="0.3"/>
  <cols>
    <col min="1" max="1" width="11.5546875" style="192" bestFit="1" customWidth="1"/>
    <col min="2" max="2" width="9.109375" customWidth="1"/>
    <col min="3" max="3" width="8" style="118" customWidth="1"/>
    <col min="4" max="4" width="15.21875" style="118" customWidth="1"/>
    <col min="5" max="5" width="9" style="118" bestFit="1" customWidth="1"/>
    <col min="6" max="6" width="9.44140625" style="119" bestFit="1" customWidth="1"/>
    <col min="7" max="7" width="24.77734375" style="118" customWidth="1"/>
    <col min="8" max="8" width="9" style="118" customWidth="1"/>
    <col min="9" max="9" width="11.6640625" style="118" customWidth="1"/>
    <col min="10" max="11" width="6.109375" style="118" customWidth="1"/>
    <col min="12" max="12" width="10.88671875" style="118" bestFit="1" customWidth="1"/>
    <col min="13" max="13" width="8.33203125" style="118" bestFit="1" customWidth="1"/>
    <col min="14" max="14" width="10.109375" style="120" customWidth="1"/>
    <col min="15" max="15" width="23" style="118" customWidth="1"/>
    <col min="16" max="16" width="6.109375" style="121" customWidth="1"/>
    <col min="17" max="17" width="10.6640625" style="121" customWidth="1"/>
    <col min="18" max="18" width="10.33203125" style="121" customWidth="1"/>
    <col min="19" max="19" width="6.6640625" style="121" customWidth="1"/>
    <col min="20" max="20" width="6.5546875" style="122" customWidth="1"/>
    <col min="21" max="21" width="8.88671875" style="120"/>
    <col min="22" max="22" width="5.33203125" style="120" customWidth="1"/>
    <col min="23" max="23" width="8.33203125" style="120" customWidth="1"/>
    <col min="24" max="24" width="9" style="120" customWidth="1"/>
    <col min="25" max="25" width="6.88671875" style="120" bestFit="1" customWidth="1"/>
    <col min="26" max="26" width="9" style="120" bestFit="1" customWidth="1"/>
    <col min="27" max="27" width="9.44140625" style="120" bestFit="1" customWidth="1"/>
    <col min="28" max="28" width="9.109375" style="120" customWidth="1"/>
    <col min="29" max="29" width="8" style="120" customWidth="1"/>
    <col min="30" max="30" width="9.33203125" style="120" customWidth="1"/>
    <col min="31" max="31" width="7.109375" style="120" customWidth="1"/>
    <col min="32" max="32" width="9.109375" style="121" customWidth="1"/>
    <col min="33" max="33" width="9.44140625" style="121" customWidth="1"/>
    <col min="34" max="34" width="7.5546875" style="121" customWidth="1"/>
    <col min="35" max="35" width="8.33203125" style="120" customWidth="1"/>
    <col min="36" max="36" width="7" style="120" customWidth="1"/>
    <col min="37" max="39" width="8.88671875" style="118"/>
    <col min="40" max="40" width="10.21875" style="118" bestFit="1" customWidth="1"/>
    <col min="41" max="16384" width="8.88671875" style="118"/>
  </cols>
  <sheetData>
    <row r="2" spans="1:41" ht="21" x14ac:dyDescent="0.4">
      <c r="D2" s="123" t="s">
        <v>478</v>
      </c>
      <c r="AF2" s="120"/>
      <c r="AG2" s="120"/>
      <c r="AH2" s="120"/>
      <c r="AN2" s="121"/>
      <c r="AO2" s="191"/>
    </row>
    <row r="3" spans="1:41" ht="17.399999999999999" customHeight="1" x14ac:dyDescent="0.3">
      <c r="H3" s="124" t="s">
        <v>255</v>
      </c>
      <c r="I3" s="179">
        <v>3000000</v>
      </c>
      <c r="L3" s="200"/>
      <c r="N3" s="163"/>
      <c r="U3" s="125"/>
      <c r="V3" s="125"/>
      <c r="W3" s="125"/>
      <c r="X3" s="125"/>
      <c r="Y3" s="125"/>
      <c r="Z3" s="125"/>
      <c r="AA3" s="125"/>
      <c r="AB3" s="125"/>
      <c r="AC3" s="125"/>
      <c r="AD3" s="125"/>
      <c r="AE3" s="125"/>
      <c r="AF3" s="125"/>
      <c r="AG3" s="125"/>
      <c r="AH3" s="125"/>
      <c r="AI3" s="125"/>
      <c r="AJ3" s="125"/>
      <c r="AM3" s="121"/>
      <c r="AN3" s="120"/>
    </row>
    <row r="4" spans="1:41" x14ac:dyDescent="0.3">
      <c r="M4" s="201"/>
      <c r="P4" s="126" t="s">
        <v>257</v>
      </c>
      <c r="U4" s="120">
        <f>SUM(U8:U12)</f>
        <v>1500000</v>
      </c>
      <c r="Z4" s="120">
        <f>SUM(Z8:Z12)</f>
        <v>1541750</v>
      </c>
      <c r="AA4" s="120">
        <f>SUM(AA8:AA12)</f>
        <v>1558469.69</v>
      </c>
      <c r="AB4" s="120">
        <f>SUM(AB8:AB12)</f>
        <v>1540600</v>
      </c>
      <c r="AI4" s="120">
        <f>SUM(AI8:AI12)</f>
        <v>158142.26999999999</v>
      </c>
      <c r="AJ4" s="120">
        <f>SUM(AJ8:AJ12)</f>
        <v>34135</v>
      </c>
      <c r="AN4" s="191"/>
    </row>
    <row r="5" spans="1:41" ht="12" customHeight="1" x14ac:dyDescent="0.3">
      <c r="C5" s="127"/>
      <c r="D5" s="127"/>
      <c r="E5" s="127"/>
      <c r="F5" s="128"/>
      <c r="G5" s="128"/>
      <c r="H5" s="128"/>
      <c r="I5" s="128"/>
      <c r="J5" s="128"/>
      <c r="K5" s="128"/>
      <c r="L5" s="128"/>
      <c r="M5" s="128"/>
      <c r="N5" s="129"/>
      <c r="O5" s="128"/>
      <c r="P5" s="126" t="s">
        <v>258</v>
      </c>
      <c r="Q5" s="128"/>
      <c r="R5" s="128"/>
      <c r="S5" s="128"/>
      <c r="T5" s="128"/>
      <c r="U5" s="130">
        <f>SUM(U8:U17)</f>
        <v>2500000</v>
      </c>
      <c r="V5" s="130"/>
      <c r="W5" s="130"/>
      <c r="Y5" s="131"/>
      <c r="Z5" s="130">
        <f>SUM(Z8:Z17)</f>
        <v>2529292.6574999997</v>
      </c>
      <c r="AA5" s="130">
        <f>SUM(AA8:AA17)</f>
        <v>2546012.3474999997</v>
      </c>
      <c r="AB5" s="130">
        <f>SUM(AB8:AB17)</f>
        <v>1540600</v>
      </c>
      <c r="AC5" s="130"/>
      <c r="AD5" s="131"/>
      <c r="AE5" s="131"/>
      <c r="AF5" s="132"/>
      <c r="AG5" s="132"/>
      <c r="AH5" s="132"/>
      <c r="AI5" s="130">
        <f>SUM(AI8:AI17)</f>
        <v>158142.26999999999</v>
      </c>
      <c r="AJ5" s="130">
        <f>SUM(AJ8:AJ17)</f>
        <v>34135</v>
      </c>
      <c r="AN5" s="121"/>
    </row>
    <row r="6" spans="1:41" ht="12" customHeight="1" x14ac:dyDescent="0.3">
      <c r="C6" s="127"/>
      <c r="D6" s="127"/>
      <c r="E6" s="127"/>
      <c r="F6" s="128"/>
      <c r="G6" s="128"/>
      <c r="H6" s="128"/>
      <c r="I6" s="128"/>
      <c r="J6" s="128"/>
      <c r="K6" s="128"/>
      <c r="L6" s="128"/>
      <c r="M6" s="128"/>
      <c r="N6" s="129"/>
      <c r="O6" s="128"/>
      <c r="P6" s="128"/>
      <c r="Q6" s="128"/>
      <c r="R6" s="128"/>
      <c r="S6" s="128"/>
      <c r="T6" s="128"/>
      <c r="U6" s="130"/>
      <c r="V6" s="130"/>
      <c r="W6" s="130"/>
      <c r="Y6" s="131"/>
      <c r="Z6" s="130"/>
      <c r="AA6" s="130"/>
      <c r="AB6" s="130"/>
      <c r="AC6" s="130"/>
      <c r="AD6" s="131"/>
      <c r="AE6" s="131"/>
      <c r="AF6" s="132"/>
      <c r="AG6" s="132"/>
      <c r="AH6" s="132"/>
      <c r="AI6" s="130"/>
      <c r="AJ6" s="130"/>
      <c r="AN6" s="121"/>
    </row>
    <row r="7" spans="1:41" ht="37.799999999999997" x14ac:dyDescent="0.3">
      <c r="B7" s="133" t="s">
        <v>191</v>
      </c>
      <c r="C7" s="133" t="s">
        <v>259</v>
      </c>
      <c r="D7" s="133" t="s">
        <v>260</v>
      </c>
      <c r="E7" s="133" t="s">
        <v>261</v>
      </c>
      <c r="F7" s="133" t="s">
        <v>262</v>
      </c>
      <c r="G7" s="133" t="s">
        <v>263</v>
      </c>
      <c r="H7" s="133" t="s">
        <v>62</v>
      </c>
      <c r="I7" s="133" t="s">
        <v>264</v>
      </c>
      <c r="J7" s="134" t="s">
        <v>265</v>
      </c>
      <c r="K7" s="134" t="s">
        <v>266</v>
      </c>
      <c r="L7" s="134" t="s">
        <v>267</v>
      </c>
      <c r="M7" s="134" t="s">
        <v>268</v>
      </c>
      <c r="N7" s="135" t="s">
        <v>269</v>
      </c>
      <c r="O7" s="133" t="s">
        <v>270</v>
      </c>
      <c r="P7" s="136" t="s">
        <v>271</v>
      </c>
      <c r="Q7" s="136" t="s">
        <v>272</v>
      </c>
      <c r="R7" s="136" t="s">
        <v>273</v>
      </c>
      <c r="S7" s="136" t="s">
        <v>274</v>
      </c>
      <c r="T7" s="136" t="s">
        <v>275</v>
      </c>
      <c r="U7" s="136" t="s">
        <v>276</v>
      </c>
      <c r="V7" s="136" t="s">
        <v>277</v>
      </c>
      <c r="W7" s="136" t="s">
        <v>278</v>
      </c>
      <c r="X7" s="136" t="s">
        <v>279</v>
      </c>
      <c r="Y7" s="136" t="s">
        <v>280</v>
      </c>
      <c r="Z7" s="137" t="s">
        <v>281</v>
      </c>
      <c r="AA7" s="138" t="s">
        <v>282</v>
      </c>
      <c r="AB7" s="139" t="s">
        <v>479</v>
      </c>
      <c r="AC7" s="138" t="s">
        <v>283</v>
      </c>
      <c r="AD7" s="136" t="s">
        <v>284</v>
      </c>
      <c r="AE7" s="136" t="s">
        <v>285</v>
      </c>
      <c r="AF7" s="140" t="s">
        <v>286</v>
      </c>
      <c r="AG7" s="140" t="s">
        <v>287</v>
      </c>
      <c r="AH7" s="140" t="s">
        <v>288</v>
      </c>
      <c r="AI7" s="138" t="s">
        <v>289</v>
      </c>
      <c r="AJ7" s="138" t="s">
        <v>290</v>
      </c>
    </row>
    <row r="8" spans="1:41" ht="13.8" x14ac:dyDescent="0.3">
      <c r="A8" s="193" t="s">
        <v>301</v>
      </c>
      <c r="B8" s="80" t="s">
        <v>8</v>
      </c>
      <c r="C8" s="80" t="s">
        <v>228</v>
      </c>
      <c r="D8" s="80">
        <v>45756</v>
      </c>
      <c r="E8" s="80">
        <v>45757</v>
      </c>
      <c r="F8" s="80" t="s">
        <v>294</v>
      </c>
      <c r="G8" s="80" t="s">
        <v>302</v>
      </c>
      <c r="H8" s="80" t="s">
        <v>301</v>
      </c>
      <c r="I8" s="80" t="s">
        <v>303</v>
      </c>
      <c r="J8" s="80" t="s">
        <v>295</v>
      </c>
      <c r="K8" s="80" t="s">
        <v>293</v>
      </c>
      <c r="L8" s="80" t="s">
        <v>304</v>
      </c>
      <c r="M8" s="200" t="s">
        <v>305</v>
      </c>
      <c r="N8" s="120">
        <v>100000000</v>
      </c>
      <c r="O8" s="80" t="s">
        <v>306</v>
      </c>
      <c r="P8" s="121">
        <v>1.204E-2</v>
      </c>
      <c r="Q8" s="121">
        <v>5.043372257801014E-2</v>
      </c>
      <c r="R8" s="121">
        <v>8.9099999999999999E-2</v>
      </c>
      <c r="S8" s="141">
        <v>103.37</v>
      </c>
      <c r="T8" s="122">
        <v>102.2</v>
      </c>
      <c r="U8" s="120">
        <v>250000</v>
      </c>
      <c r="V8" s="120" t="s">
        <v>28</v>
      </c>
      <c r="W8" s="122">
        <v>1</v>
      </c>
      <c r="X8" s="120">
        <v>281.25</v>
      </c>
      <c r="Y8" s="120">
        <v>9</v>
      </c>
      <c r="Z8" s="120">
        <f t="shared" ref="Z8:Z12" si="0">T8*U8*W8/100</f>
        <v>255500</v>
      </c>
      <c r="AA8" s="120">
        <f t="shared" ref="AA8" si="1">Z8+X8</f>
        <v>255781.25</v>
      </c>
      <c r="AB8" s="120">
        <v>258875</v>
      </c>
      <c r="AC8" s="122">
        <v>1.6657534246575343</v>
      </c>
      <c r="AD8" s="142">
        <v>8.1303790000000001E-2</v>
      </c>
      <c r="AE8" s="142">
        <v>3.9703792651760245E-2</v>
      </c>
      <c r="AF8" s="121">
        <f t="shared" ref="AF8" si="2">AE8-P8</f>
        <v>2.7663792651760243E-2</v>
      </c>
      <c r="AG8" s="121">
        <f t="shared" ref="AG8" si="3">P8/AE8</f>
        <v>0.30324558929677498</v>
      </c>
      <c r="AH8" s="122">
        <f t="shared" ref="AH8:AH12" si="4">1/AG8</f>
        <v>3.2976571969900537</v>
      </c>
      <c r="AI8" s="120">
        <f t="shared" ref="AI8" si="5">U8*R8</f>
        <v>22275</v>
      </c>
      <c r="AJ8" s="120">
        <f t="shared" ref="AJ8:AJ15" si="6">U8*P8</f>
        <v>3010</v>
      </c>
      <c r="AK8" s="118">
        <f>COUNTIF($H$8:$H$17,H8)</f>
        <v>1</v>
      </c>
    </row>
    <row r="9" spans="1:41" ht="13.8" x14ac:dyDescent="0.3">
      <c r="A9" s="193" t="s">
        <v>307</v>
      </c>
      <c r="B9" s="80" t="s">
        <v>8</v>
      </c>
      <c r="C9" s="80" t="s">
        <v>228</v>
      </c>
      <c r="D9" s="80">
        <v>45789</v>
      </c>
      <c r="E9" s="80">
        <v>45790</v>
      </c>
      <c r="F9" s="80" t="s">
        <v>294</v>
      </c>
      <c r="G9" s="80" t="s">
        <v>462</v>
      </c>
      <c r="H9" s="80" t="s">
        <v>307</v>
      </c>
      <c r="I9" s="80" t="s">
        <v>308</v>
      </c>
      <c r="J9" s="80" t="s">
        <v>292</v>
      </c>
      <c r="K9" s="80" t="s">
        <v>296</v>
      </c>
      <c r="L9" s="80" t="s">
        <v>309</v>
      </c>
      <c r="M9" s="200" t="s">
        <v>310</v>
      </c>
      <c r="N9" s="120">
        <v>500000000</v>
      </c>
      <c r="O9" s="80" t="s">
        <v>311</v>
      </c>
      <c r="P9" s="121">
        <v>2.0400000000000001E-2</v>
      </c>
      <c r="Q9" s="121">
        <v>0.107284063065</v>
      </c>
      <c r="R9" s="121">
        <v>0.14878453999999999</v>
      </c>
      <c r="S9" s="141">
        <v>103</v>
      </c>
      <c r="T9" s="122">
        <v>102.8</v>
      </c>
      <c r="U9" s="120">
        <v>250000</v>
      </c>
      <c r="V9" s="120" t="s">
        <v>28</v>
      </c>
      <c r="W9" s="122">
        <v>1</v>
      </c>
      <c r="X9" s="120">
        <v>4354.17</v>
      </c>
      <c r="Y9" s="120">
        <v>57</v>
      </c>
      <c r="Z9" s="120">
        <f t="shared" si="0"/>
        <v>257000</v>
      </c>
      <c r="AA9" s="120">
        <f t="shared" ref="AA9" si="7">Z9+X9</f>
        <v>261354.17</v>
      </c>
      <c r="AB9" s="120">
        <v>260400</v>
      </c>
      <c r="AC9" s="122">
        <v>0.39726027397260272</v>
      </c>
      <c r="AD9" s="142">
        <v>0.11713435</v>
      </c>
      <c r="AE9" s="142">
        <v>7.5592968367092769E-2</v>
      </c>
      <c r="AF9" s="121">
        <f t="shared" ref="AF9" si="8">AE9-P9</f>
        <v>5.5192968367092768E-2</v>
      </c>
      <c r="AG9" s="121">
        <f t="shared" ref="AG9" si="9">P9/AE9</f>
        <v>0.2698663703869123</v>
      </c>
      <c r="AH9" s="122">
        <f t="shared" si="4"/>
        <v>3.7055376650535665</v>
      </c>
      <c r="AI9" s="120">
        <f t="shared" ref="AI9" si="10">U9*R9</f>
        <v>37196.134999999995</v>
      </c>
      <c r="AJ9" s="120">
        <f t="shared" si="6"/>
        <v>5100</v>
      </c>
      <c r="AK9" s="118">
        <f>COUNTIF($H$8:$H$17,H9)</f>
        <v>1</v>
      </c>
    </row>
    <row r="10" spans="1:41" ht="13.8" x14ac:dyDescent="0.3">
      <c r="A10" s="193" t="s">
        <v>328</v>
      </c>
      <c r="B10" s="80" t="s">
        <v>8</v>
      </c>
      <c r="C10" s="80" t="s">
        <v>228</v>
      </c>
      <c r="D10" s="80">
        <v>45918</v>
      </c>
      <c r="E10" s="80">
        <v>45919</v>
      </c>
      <c r="F10" s="80" t="s">
        <v>312</v>
      </c>
      <c r="G10" s="80" t="s">
        <v>463</v>
      </c>
      <c r="H10" s="80" t="s">
        <v>328</v>
      </c>
      <c r="I10" s="80" t="s">
        <v>464</v>
      </c>
      <c r="J10" s="80" t="s">
        <v>295</v>
      </c>
      <c r="K10" s="80" t="s">
        <v>296</v>
      </c>
      <c r="L10" s="80" t="s">
        <v>465</v>
      </c>
      <c r="M10" s="200" t="s">
        <v>466</v>
      </c>
      <c r="N10" s="120">
        <v>50000000</v>
      </c>
      <c r="O10" s="80" t="s">
        <v>467</v>
      </c>
      <c r="P10" s="121">
        <v>3.78E-2</v>
      </c>
      <c r="Q10" s="121">
        <v>7.9826155574328886E-2</v>
      </c>
      <c r="R10" s="121">
        <v>0.11890000000000001</v>
      </c>
      <c r="S10" s="141">
        <v>100.43</v>
      </c>
      <c r="T10" s="122">
        <v>104.65</v>
      </c>
      <c r="U10" s="120">
        <v>250000</v>
      </c>
      <c r="V10" s="120" t="s">
        <v>28</v>
      </c>
      <c r="W10" s="122">
        <v>1</v>
      </c>
      <c r="X10" s="120">
        <v>2333.33</v>
      </c>
      <c r="Y10" s="120">
        <v>42</v>
      </c>
      <c r="Z10" s="120">
        <f t="shared" si="0"/>
        <v>261625</v>
      </c>
      <c r="AA10" s="120">
        <f t="shared" ref="AA10" si="11">Z10+X10</f>
        <v>263958.33</v>
      </c>
      <c r="AB10" s="120">
        <v>253575</v>
      </c>
      <c r="AC10" s="122">
        <v>2.504109589041096</v>
      </c>
      <c r="AD10" s="142">
        <v>9.9497470000000005E-2</v>
      </c>
      <c r="AE10" s="142">
        <v>5.9797468299949516E-2</v>
      </c>
      <c r="AF10" s="121">
        <f t="shared" ref="AF10:AF12" si="12">AE10-P10</f>
        <v>2.1997468299949516E-2</v>
      </c>
      <c r="AG10" s="121">
        <f t="shared" ref="AG10:AG12" si="13">P10/AE10</f>
        <v>0.63213378550395771</v>
      </c>
      <c r="AH10" s="122">
        <f t="shared" si="4"/>
        <v>1.5819436058187704</v>
      </c>
      <c r="AI10" s="120">
        <f t="shared" ref="AI10:AI12" si="14">U10*R10</f>
        <v>29725</v>
      </c>
      <c r="AJ10" s="120">
        <f t="shared" si="6"/>
        <v>9450</v>
      </c>
      <c r="AK10" s="118">
        <f>COUNTIF($H$8:$H$17,H10)</f>
        <v>1</v>
      </c>
    </row>
    <row r="11" spans="1:41" ht="13.8" x14ac:dyDescent="0.3">
      <c r="A11" s="193" t="s">
        <v>326</v>
      </c>
      <c r="B11" s="80" t="s">
        <v>8</v>
      </c>
      <c r="C11" s="80" t="s">
        <v>228</v>
      </c>
      <c r="D11" s="80">
        <v>45957</v>
      </c>
      <c r="E11" s="80">
        <v>45958</v>
      </c>
      <c r="F11" s="80" t="s">
        <v>291</v>
      </c>
      <c r="G11" s="80" t="s">
        <v>480</v>
      </c>
      <c r="H11" s="80" t="s">
        <v>326</v>
      </c>
      <c r="I11" s="80" t="s">
        <v>297</v>
      </c>
      <c r="J11" s="80" t="s">
        <v>295</v>
      </c>
      <c r="K11" s="80" t="s">
        <v>293</v>
      </c>
      <c r="L11" s="180" t="s">
        <v>298</v>
      </c>
      <c r="M11" s="200" t="s">
        <v>299</v>
      </c>
      <c r="N11" s="120">
        <v>150000000</v>
      </c>
      <c r="O11" s="80" t="s">
        <v>300</v>
      </c>
      <c r="P11" s="121">
        <v>2.5700000000000001E-2</v>
      </c>
      <c r="Q11" s="121">
        <v>4.9959879564915204E-2</v>
      </c>
      <c r="R11" s="121">
        <v>8.8784539999999995E-2</v>
      </c>
      <c r="S11" s="141">
        <v>100.97</v>
      </c>
      <c r="T11" s="122">
        <v>101.25</v>
      </c>
      <c r="U11" s="120">
        <v>250000</v>
      </c>
      <c r="V11" s="120" t="s">
        <v>28</v>
      </c>
      <c r="W11" s="122">
        <v>1</v>
      </c>
      <c r="X11" s="120">
        <v>1088.72</v>
      </c>
      <c r="Y11" s="120">
        <v>18</v>
      </c>
      <c r="Z11" s="120">
        <f t="shared" si="0"/>
        <v>253125</v>
      </c>
      <c r="AA11" s="120">
        <f t="shared" ref="AA11:AA12" si="15">Z11+X11</f>
        <v>254213.72</v>
      </c>
      <c r="AB11" s="120">
        <v>253250</v>
      </c>
      <c r="AC11" s="122">
        <v>2.3369863013698629</v>
      </c>
      <c r="AD11" s="142">
        <v>8.3334779999999997E-2</v>
      </c>
      <c r="AE11" s="142">
        <v>4.4182315962045297E-2</v>
      </c>
      <c r="AF11" s="121">
        <f t="shared" si="12"/>
        <v>1.8482315962045297E-2</v>
      </c>
      <c r="AG11" s="121">
        <f t="shared" si="13"/>
        <v>0.58168068921686944</v>
      </c>
      <c r="AH11" s="122">
        <f t="shared" si="4"/>
        <v>1.7191562631146029</v>
      </c>
      <c r="AI11" s="120">
        <f t="shared" si="14"/>
        <v>22196.134999999998</v>
      </c>
      <c r="AJ11" s="120">
        <f t="shared" si="6"/>
        <v>6425</v>
      </c>
      <c r="AK11" s="118">
        <f>COUNTIF($H$8:$H$17,H11)</f>
        <v>1</v>
      </c>
    </row>
    <row r="12" spans="1:41" s="143" customFormat="1" ht="13.8" x14ac:dyDescent="0.3">
      <c r="A12" s="193" t="s">
        <v>330</v>
      </c>
      <c r="B12" s="80" t="s">
        <v>8</v>
      </c>
      <c r="C12" s="80" t="s">
        <v>228</v>
      </c>
      <c r="D12" s="80">
        <v>45966</v>
      </c>
      <c r="E12" s="80">
        <v>45968</v>
      </c>
      <c r="F12" s="80" t="s">
        <v>291</v>
      </c>
      <c r="G12" s="80" t="s">
        <v>481</v>
      </c>
      <c r="H12" s="80" t="s">
        <v>330</v>
      </c>
      <c r="I12" s="80" t="s">
        <v>482</v>
      </c>
      <c r="J12" s="80" t="s">
        <v>295</v>
      </c>
      <c r="K12" s="80" t="s">
        <v>293</v>
      </c>
      <c r="L12" s="180" t="s">
        <v>483</v>
      </c>
      <c r="M12" s="200" t="s">
        <v>484</v>
      </c>
      <c r="N12" s="120">
        <v>200000000</v>
      </c>
      <c r="O12" s="80" t="s">
        <v>485</v>
      </c>
      <c r="P12" s="121">
        <v>2.0299999999999999E-2</v>
      </c>
      <c r="Q12" s="121">
        <v>5.610743814497457E-2</v>
      </c>
      <c r="R12" s="121">
        <v>9.35E-2</v>
      </c>
      <c r="S12" s="141">
        <v>100.48</v>
      </c>
      <c r="T12" s="122">
        <v>102.9</v>
      </c>
      <c r="U12" s="120">
        <v>500000</v>
      </c>
      <c r="V12" s="120" t="s">
        <v>28</v>
      </c>
      <c r="W12" s="122">
        <v>1</v>
      </c>
      <c r="X12" s="120">
        <v>8662.2199999999993</v>
      </c>
      <c r="Y12" s="120">
        <v>66</v>
      </c>
      <c r="Z12" s="120">
        <f t="shared" si="0"/>
        <v>514500</v>
      </c>
      <c r="AA12" s="120">
        <f t="shared" si="15"/>
        <v>523162.22</v>
      </c>
      <c r="AB12" s="120">
        <v>514500</v>
      </c>
      <c r="AC12" s="122">
        <v>2.117808219178082</v>
      </c>
      <c r="AD12" s="142">
        <v>7.9524259999999999E-2</v>
      </c>
      <c r="AE12" s="142">
        <v>4.1124258599312957E-2</v>
      </c>
      <c r="AF12" s="121">
        <f t="shared" si="12"/>
        <v>2.0824258599312959E-2</v>
      </c>
      <c r="AG12" s="121">
        <f t="shared" si="13"/>
        <v>0.49362592035492991</v>
      </c>
      <c r="AH12" s="122">
        <f t="shared" si="4"/>
        <v>2.0258255467641852</v>
      </c>
      <c r="AI12" s="120">
        <f t="shared" si="14"/>
        <v>46750</v>
      </c>
      <c r="AJ12" s="120">
        <f t="shared" si="6"/>
        <v>10150</v>
      </c>
      <c r="AK12" s="118">
        <f>COUNTIF($H$8:$H$17,H12)</f>
        <v>1</v>
      </c>
    </row>
    <row r="13" spans="1:41" s="150" customFormat="1" ht="13.8" x14ac:dyDescent="0.3">
      <c r="A13" s="193" t="s">
        <v>313</v>
      </c>
      <c r="B13" s="145" t="s">
        <v>314</v>
      </c>
      <c r="C13" s="144" t="s">
        <v>228</v>
      </c>
      <c r="D13" s="144">
        <v>45782</v>
      </c>
      <c r="E13" s="144">
        <v>45783</v>
      </c>
      <c r="F13" s="144" t="s">
        <v>294</v>
      </c>
      <c r="G13" s="144" t="s">
        <v>315</v>
      </c>
      <c r="H13" s="144" t="s">
        <v>313</v>
      </c>
      <c r="I13" s="144" t="s">
        <v>316</v>
      </c>
      <c r="J13" s="144"/>
      <c r="K13" s="144"/>
      <c r="L13" s="144"/>
      <c r="M13" s="200">
        <v>45869</v>
      </c>
      <c r="N13" s="146"/>
      <c r="O13" s="144"/>
      <c r="P13" s="147"/>
      <c r="Q13" s="147"/>
      <c r="R13" s="147">
        <v>4.1825000000000001E-2</v>
      </c>
      <c r="S13" s="148"/>
      <c r="T13" s="149">
        <v>99.000846999999993</v>
      </c>
      <c r="U13" s="146">
        <v>250000</v>
      </c>
      <c r="V13" s="146" t="s">
        <v>28</v>
      </c>
      <c r="W13" s="149">
        <v>1</v>
      </c>
      <c r="X13" s="146"/>
      <c r="Y13" s="146"/>
      <c r="Z13" s="146">
        <f>T13*U13*W13/100</f>
        <v>247502.11749999999</v>
      </c>
      <c r="AA13" s="146">
        <f>Z13+X13</f>
        <v>247502.11749999999</v>
      </c>
      <c r="AB13" s="146">
        <v>0</v>
      </c>
      <c r="AC13" s="149"/>
      <c r="AD13" s="147">
        <v>4.22173920042722E-2</v>
      </c>
      <c r="AE13" s="147"/>
      <c r="AF13" s="147"/>
      <c r="AG13" s="147"/>
      <c r="AH13" s="149"/>
      <c r="AI13" s="146"/>
      <c r="AJ13" s="146">
        <f t="shared" si="6"/>
        <v>0</v>
      </c>
      <c r="AK13" s="118"/>
    </row>
    <row r="14" spans="1:41" s="150" customFormat="1" ht="13.8" x14ac:dyDescent="0.3">
      <c r="A14" s="193" t="s">
        <v>313</v>
      </c>
      <c r="B14" s="145" t="s">
        <v>314</v>
      </c>
      <c r="C14" s="144" t="s">
        <v>228</v>
      </c>
      <c r="D14" s="144">
        <v>45783</v>
      </c>
      <c r="E14" s="144">
        <v>45784</v>
      </c>
      <c r="F14" s="144" t="s">
        <v>294</v>
      </c>
      <c r="G14" s="144" t="s">
        <v>315</v>
      </c>
      <c r="H14" s="144" t="s">
        <v>313</v>
      </c>
      <c r="I14" s="144" t="s">
        <v>316</v>
      </c>
      <c r="J14" s="144"/>
      <c r="K14" s="144"/>
      <c r="L14" s="144"/>
      <c r="M14" s="200">
        <v>45869</v>
      </c>
      <c r="N14" s="146"/>
      <c r="O14" s="144"/>
      <c r="P14" s="147"/>
      <c r="Q14" s="147"/>
      <c r="R14" s="147">
        <v>4.1724999999999998E-2</v>
      </c>
      <c r="S14" s="148"/>
      <c r="T14" s="149">
        <v>99.014825999999999</v>
      </c>
      <c r="U14" s="146">
        <v>750000</v>
      </c>
      <c r="V14" s="146" t="s">
        <v>28</v>
      </c>
      <c r="W14" s="149">
        <v>1</v>
      </c>
      <c r="X14" s="146"/>
      <c r="Y14" s="146"/>
      <c r="Z14" s="146">
        <f t="shared" ref="Z14:Z17" si="16">T14*U14*W14/100</f>
        <v>742611.19499999995</v>
      </c>
      <c r="AA14" s="146">
        <f t="shared" ref="AA14:AA17" si="17">Z14+X14</f>
        <v>742611.19499999995</v>
      </c>
      <c r="AB14" s="146">
        <v>0</v>
      </c>
      <c r="AC14" s="149"/>
      <c r="AD14" s="147">
        <v>4.210566121851822E-2</v>
      </c>
      <c r="AE14" s="147"/>
      <c r="AF14" s="147"/>
      <c r="AG14" s="147"/>
      <c r="AH14" s="149"/>
      <c r="AI14" s="146"/>
      <c r="AJ14" s="146">
        <f t="shared" si="6"/>
        <v>0</v>
      </c>
      <c r="AK14" s="118"/>
    </row>
    <row r="15" spans="1:41" s="150" customFormat="1" ht="13.8" x14ac:dyDescent="0.3">
      <c r="A15" s="193" t="s">
        <v>317</v>
      </c>
      <c r="B15" s="145" t="s">
        <v>314</v>
      </c>
      <c r="C15" s="144" t="s">
        <v>228</v>
      </c>
      <c r="D15" s="144">
        <v>45786</v>
      </c>
      <c r="E15" s="144">
        <v>45789</v>
      </c>
      <c r="F15" s="144" t="s">
        <v>294</v>
      </c>
      <c r="G15" s="144" t="s">
        <v>318</v>
      </c>
      <c r="H15" s="144" t="s">
        <v>317</v>
      </c>
      <c r="I15" s="144" t="s">
        <v>316</v>
      </c>
      <c r="J15" s="144"/>
      <c r="K15" s="144"/>
      <c r="L15" s="144"/>
      <c r="M15" s="200">
        <v>45876</v>
      </c>
      <c r="N15" s="146"/>
      <c r="O15" s="144"/>
      <c r="P15" s="147"/>
      <c r="Q15" s="147"/>
      <c r="R15" s="147">
        <v>4.2099999999999999E-2</v>
      </c>
      <c r="S15" s="148"/>
      <c r="T15" s="149">
        <v>98.982583000000005</v>
      </c>
      <c r="U15" s="146">
        <v>500000</v>
      </c>
      <c r="V15" s="146" t="s">
        <v>28</v>
      </c>
      <c r="W15" s="149">
        <v>1</v>
      </c>
      <c r="X15" s="146"/>
      <c r="Y15" s="146"/>
      <c r="Z15" s="146">
        <f t="shared" si="16"/>
        <v>494912.91499999998</v>
      </c>
      <c r="AA15" s="146">
        <f t="shared" si="17"/>
        <v>494912.91499999998</v>
      </c>
      <c r="AB15" s="146">
        <v>0</v>
      </c>
      <c r="AC15" s="149"/>
      <c r="AD15" s="147">
        <v>4.3007721475601945E-2</v>
      </c>
      <c r="AE15" s="146"/>
      <c r="AF15" s="147"/>
      <c r="AG15" s="147"/>
      <c r="AH15" s="147"/>
      <c r="AI15" s="146"/>
      <c r="AJ15" s="146">
        <f t="shared" si="6"/>
        <v>0</v>
      </c>
      <c r="AK15" s="118"/>
    </row>
    <row r="16" spans="1:41" s="150" customFormat="1" ht="13.8" x14ac:dyDescent="0.3">
      <c r="A16" s="193" t="s">
        <v>320</v>
      </c>
      <c r="B16" s="145" t="s">
        <v>314</v>
      </c>
      <c r="C16" s="144" t="s">
        <v>319</v>
      </c>
      <c r="D16" s="144">
        <v>45964</v>
      </c>
      <c r="E16" s="144">
        <v>45964</v>
      </c>
      <c r="F16" s="144" t="s">
        <v>294</v>
      </c>
      <c r="G16" s="144" t="s">
        <v>321</v>
      </c>
      <c r="H16" s="144" t="s">
        <v>320</v>
      </c>
      <c r="I16" s="144" t="s">
        <v>316</v>
      </c>
      <c r="J16" s="144"/>
      <c r="K16" s="144"/>
      <c r="L16" s="144"/>
      <c r="M16" s="200">
        <v>45974</v>
      </c>
      <c r="N16" s="146"/>
      <c r="O16" s="144"/>
      <c r="P16" s="147"/>
      <c r="Q16" s="147"/>
      <c r="R16" s="147">
        <v>3.85E-2</v>
      </c>
      <c r="S16" s="148"/>
      <c r="T16" s="149">
        <v>99.893056000000001</v>
      </c>
      <c r="U16" s="146">
        <v>-200000</v>
      </c>
      <c r="V16" s="146" t="s">
        <v>28</v>
      </c>
      <c r="W16" s="149">
        <v>1</v>
      </c>
      <c r="X16" s="146"/>
      <c r="Y16" s="146"/>
      <c r="Z16" s="146">
        <f t="shared" si="16"/>
        <v>-199786.11199999999</v>
      </c>
      <c r="AA16" s="146">
        <f t="shared" si="17"/>
        <v>-199786.11199999999</v>
      </c>
      <c r="AB16" s="146"/>
      <c r="AC16" s="149"/>
      <c r="AD16" s="147">
        <v>3.8213846727572894E-2</v>
      </c>
      <c r="AE16" s="146"/>
      <c r="AF16" s="147"/>
      <c r="AG16" s="147"/>
      <c r="AH16" s="147"/>
      <c r="AI16" s="146"/>
      <c r="AJ16" s="146"/>
    </row>
    <row r="17" spans="1:36" s="150" customFormat="1" ht="13.8" x14ac:dyDescent="0.3">
      <c r="A17" s="193" t="s">
        <v>487</v>
      </c>
      <c r="B17" s="145" t="s">
        <v>314</v>
      </c>
      <c r="C17" s="144" t="s">
        <v>319</v>
      </c>
      <c r="D17" s="144">
        <v>45964</v>
      </c>
      <c r="E17" s="144">
        <v>45964</v>
      </c>
      <c r="F17" s="144" t="s">
        <v>294</v>
      </c>
      <c r="G17" s="144" t="s">
        <v>486</v>
      </c>
      <c r="H17" s="144" t="s">
        <v>487</v>
      </c>
      <c r="I17" s="144" t="s">
        <v>316</v>
      </c>
      <c r="J17" s="144"/>
      <c r="K17" s="144"/>
      <c r="L17" s="144"/>
      <c r="M17" s="200">
        <v>46037</v>
      </c>
      <c r="N17" s="146"/>
      <c r="O17" s="144"/>
      <c r="P17" s="147"/>
      <c r="Q17" s="147"/>
      <c r="R17" s="147">
        <v>3.7850000000000002E-2</v>
      </c>
      <c r="S17" s="148"/>
      <c r="T17" s="149">
        <v>99.232485999999994</v>
      </c>
      <c r="U17" s="146">
        <v>-300000</v>
      </c>
      <c r="V17" s="146" t="s">
        <v>28</v>
      </c>
      <c r="W17" s="149">
        <v>1</v>
      </c>
      <c r="X17" s="146"/>
      <c r="Y17" s="146"/>
      <c r="Z17" s="146">
        <f t="shared" si="16"/>
        <v>-297697.45799999998</v>
      </c>
      <c r="AA17" s="146">
        <f t="shared" si="17"/>
        <v>-297697.45799999998</v>
      </c>
      <c r="AB17" s="146"/>
      <c r="AC17" s="149"/>
      <c r="AD17" s="147">
        <v>3.8334524756236381E-2</v>
      </c>
      <c r="AE17" s="146"/>
      <c r="AF17" s="147"/>
      <c r="AG17" s="147"/>
      <c r="AH17" s="147"/>
      <c r="AI17" s="146"/>
      <c r="AJ17" s="14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8"/>
  <sheetViews>
    <sheetView zoomScale="110" zoomScaleNormal="110" workbookViewId="0">
      <pane ySplit="1" topLeftCell="A2" activePane="bottomLeft" state="frozen"/>
      <selection pane="bottomLeft" activeCell="E14" sqref="E14"/>
    </sheetView>
  </sheetViews>
  <sheetFormatPr defaultColWidth="10.33203125" defaultRowHeight="13.2" x14ac:dyDescent="0.25"/>
  <cols>
    <col min="1" max="1" width="16" style="151" bestFit="1" customWidth="1"/>
    <col min="2" max="2" width="13.5546875" style="151" bestFit="1" customWidth="1"/>
    <col min="3" max="3" width="53.109375" style="151" bestFit="1" customWidth="1"/>
    <col min="4" max="4" width="16.33203125" style="187" bestFit="1" customWidth="1"/>
    <col min="5" max="5" width="19.88671875" style="187" bestFit="1" customWidth="1"/>
    <col min="6" max="6" width="17.77734375" style="187" bestFit="1" customWidth="1"/>
    <col min="7" max="7" width="18.77734375" style="187" bestFit="1" customWidth="1"/>
    <col min="8" max="8" width="15.109375" style="187" bestFit="1" customWidth="1"/>
    <col min="9" max="16384" width="10.33203125" style="151"/>
  </cols>
  <sheetData>
    <row r="1" spans="1:8" x14ac:dyDescent="0.25">
      <c r="A1" s="188" t="s">
        <v>322</v>
      </c>
      <c r="B1" s="188" t="s">
        <v>323</v>
      </c>
      <c r="C1" s="188" t="s">
        <v>60</v>
      </c>
      <c r="D1" s="189" t="s">
        <v>325</v>
      </c>
      <c r="E1" s="189" t="s">
        <v>493</v>
      </c>
      <c r="F1" s="189" t="s">
        <v>71</v>
      </c>
      <c r="G1" s="189" t="s">
        <v>494</v>
      </c>
      <c r="H1" s="189" t="s">
        <v>324</v>
      </c>
    </row>
    <row r="2" spans="1:8" ht="14.4" x14ac:dyDescent="0.3">
      <c r="A2">
        <v>10</v>
      </c>
      <c r="B2" s="151" t="s">
        <v>307</v>
      </c>
      <c r="C2" s="217" t="s">
        <v>225</v>
      </c>
      <c r="D2" s="217"/>
      <c r="E2" s="218"/>
      <c r="F2" s="218">
        <v>16626000000</v>
      </c>
      <c r="G2" s="218">
        <v>58160000000</v>
      </c>
      <c r="H2" s="218">
        <v>500000000</v>
      </c>
    </row>
    <row r="3" spans="1:8" ht="14.4" x14ac:dyDescent="0.3">
      <c r="A3">
        <v>22</v>
      </c>
      <c r="B3" s="151" t="s">
        <v>330</v>
      </c>
      <c r="C3" s="217" t="s">
        <v>331</v>
      </c>
      <c r="D3" s="217"/>
      <c r="E3" s="218">
        <v>1050000000</v>
      </c>
      <c r="F3" s="218">
        <v>200000000</v>
      </c>
      <c r="G3" s="218"/>
      <c r="H3" s="218">
        <v>200000000</v>
      </c>
    </row>
    <row r="4" spans="1:8" ht="14.4" x14ac:dyDescent="0.3">
      <c r="A4">
        <v>41</v>
      </c>
      <c r="B4" s="151" t="s">
        <v>301</v>
      </c>
      <c r="C4" s="217" t="s">
        <v>495</v>
      </c>
      <c r="D4" s="217"/>
      <c r="E4" s="218">
        <v>500000000</v>
      </c>
      <c r="F4" s="218">
        <v>300000000</v>
      </c>
      <c r="G4" s="218"/>
      <c r="H4" s="218">
        <v>100000000</v>
      </c>
    </row>
    <row r="5" spans="1:8" ht="14.4" x14ac:dyDescent="0.3">
      <c r="A5">
        <v>128</v>
      </c>
      <c r="B5" s="151" t="s">
        <v>326</v>
      </c>
      <c r="C5" s="151" t="s">
        <v>327</v>
      </c>
      <c r="D5" s="217"/>
      <c r="E5" s="218">
        <v>425000000</v>
      </c>
      <c r="F5" s="218">
        <v>150000000</v>
      </c>
      <c r="G5" s="218"/>
      <c r="H5" s="218">
        <v>150000000</v>
      </c>
    </row>
    <row r="6" spans="1:8" ht="14.4" x14ac:dyDescent="0.3">
      <c r="A6">
        <v>131</v>
      </c>
      <c r="B6" s="151" t="s">
        <v>328</v>
      </c>
      <c r="C6" s="151" t="s">
        <v>329</v>
      </c>
      <c r="D6" s="217"/>
      <c r="E6" s="218"/>
      <c r="F6" s="218">
        <v>50000000</v>
      </c>
      <c r="G6" s="218"/>
      <c r="H6" s="218">
        <v>50000000</v>
      </c>
    </row>
    <row r="8" spans="1:8" x14ac:dyDescent="0.25">
      <c r="B8" s="8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30"/>
  <sheetViews>
    <sheetView topLeftCell="B1" workbookViewId="0">
      <selection activeCell="C13" sqref="C13"/>
    </sheetView>
  </sheetViews>
  <sheetFormatPr defaultRowHeight="18.75" customHeight="1" x14ac:dyDescent="0.3"/>
  <cols>
    <col min="1" max="1" width="29.44140625" bestFit="1" customWidth="1"/>
    <col min="2" max="2" width="5.109375" bestFit="1" customWidth="1"/>
    <col min="3" max="3" width="83.44140625" style="152" customWidth="1"/>
    <col min="4" max="4" width="10.77734375" style="152" bestFit="1" customWidth="1"/>
    <col min="5" max="5" width="92.109375" style="176" customWidth="1"/>
  </cols>
  <sheetData>
    <row r="1" spans="1:5" ht="18.75" customHeight="1" thickBot="1" x14ac:dyDescent="0.35">
      <c r="A1" s="1" t="s">
        <v>336</v>
      </c>
      <c r="B1" s="1" t="s">
        <v>337</v>
      </c>
      <c r="C1" s="153" t="s">
        <v>338</v>
      </c>
      <c r="D1" s="190">
        <v>45968</v>
      </c>
      <c r="E1" s="172"/>
    </row>
    <row r="2" spans="1:5" ht="18.75" customHeight="1" x14ac:dyDescent="0.3">
      <c r="A2" s="154" t="s">
        <v>339</v>
      </c>
      <c r="B2" s="155"/>
      <c r="C2" s="156"/>
      <c r="D2" s="156" t="s">
        <v>469</v>
      </c>
      <c r="E2" s="173"/>
    </row>
    <row r="3" spans="1:5" ht="18.75" customHeight="1" x14ac:dyDescent="0.3">
      <c r="A3" s="5"/>
      <c r="B3">
        <v>1</v>
      </c>
      <c r="C3" s="157" t="s">
        <v>340</v>
      </c>
      <c r="D3" s="157" t="s">
        <v>461</v>
      </c>
      <c r="E3" s="174"/>
    </row>
    <row r="4" spans="1:5" ht="34.200000000000003" customHeight="1" x14ac:dyDescent="0.3">
      <c r="A4" s="5"/>
      <c r="B4">
        <v>2</v>
      </c>
      <c r="C4" s="157" t="s">
        <v>341</v>
      </c>
      <c r="D4" s="157" t="s">
        <v>460</v>
      </c>
      <c r="E4" s="174"/>
    </row>
    <row r="5" spans="1:5" ht="14.4" x14ac:dyDescent="0.3">
      <c r="A5" s="5"/>
      <c r="B5">
        <v>3</v>
      </c>
      <c r="C5" s="157" t="s">
        <v>342</v>
      </c>
      <c r="D5" s="157" t="s">
        <v>460</v>
      </c>
      <c r="E5" s="174"/>
    </row>
    <row r="6" spans="1:5" ht="14.4" x14ac:dyDescent="0.3">
      <c r="A6" s="5"/>
      <c r="B6" t="s">
        <v>343</v>
      </c>
      <c r="C6" s="157" t="s">
        <v>344</v>
      </c>
      <c r="D6" s="157" t="s">
        <v>460</v>
      </c>
      <c r="E6" s="174"/>
    </row>
    <row r="7" spans="1:5" ht="18.75" customHeight="1" x14ac:dyDescent="0.3">
      <c r="A7" s="5"/>
      <c r="B7" t="s">
        <v>345</v>
      </c>
      <c r="C7" s="157" t="s">
        <v>346</v>
      </c>
      <c r="D7" s="157" t="s">
        <v>460</v>
      </c>
      <c r="E7" s="174"/>
    </row>
    <row r="8" spans="1:5" ht="18.75" customHeight="1" x14ac:dyDescent="0.3">
      <c r="A8" s="5"/>
      <c r="B8" t="s">
        <v>347</v>
      </c>
      <c r="C8" s="157" t="s">
        <v>348</v>
      </c>
      <c r="D8" s="157" t="s">
        <v>470</v>
      </c>
      <c r="E8" s="174"/>
    </row>
    <row r="9" spans="1:5" ht="18.75" customHeight="1" x14ac:dyDescent="0.3">
      <c r="A9" s="5"/>
      <c r="B9" t="s">
        <v>349</v>
      </c>
      <c r="C9" s="157" t="s">
        <v>350</v>
      </c>
      <c r="D9" s="157" t="s">
        <v>471</v>
      </c>
      <c r="E9" s="181"/>
    </row>
    <row r="10" spans="1:5" ht="18.75" customHeight="1" x14ac:dyDescent="0.3">
      <c r="A10" s="5"/>
      <c r="B10" t="s">
        <v>351</v>
      </c>
      <c r="C10" s="157" t="s">
        <v>352</v>
      </c>
      <c r="D10" s="157" t="s">
        <v>471</v>
      </c>
      <c r="E10" s="181"/>
    </row>
    <row r="11" spans="1:5" ht="18.75" customHeight="1" x14ac:dyDescent="0.3">
      <c r="A11" s="5"/>
      <c r="B11" t="s">
        <v>353</v>
      </c>
      <c r="C11" s="157" t="s">
        <v>354</v>
      </c>
      <c r="D11" s="157" t="s">
        <v>471</v>
      </c>
      <c r="E11" s="174"/>
    </row>
    <row r="12" spans="1:5" ht="18.75" customHeight="1" x14ac:dyDescent="0.3">
      <c r="A12" s="5"/>
      <c r="B12" t="s">
        <v>355</v>
      </c>
      <c r="C12" s="157" t="s">
        <v>356</v>
      </c>
      <c r="D12" s="157" t="s">
        <v>471</v>
      </c>
      <c r="E12" s="174"/>
    </row>
    <row r="13" spans="1:5" ht="18.75" customHeight="1" x14ac:dyDescent="0.3">
      <c r="A13" s="5"/>
      <c r="B13" t="s">
        <v>357</v>
      </c>
      <c r="C13" s="157" t="s">
        <v>358</v>
      </c>
      <c r="D13" s="157" t="s">
        <v>471</v>
      </c>
      <c r="E13" s="174"/>
    </row>
    <row r="14" spans="1:5" ht="31.5" customHeight="1" x14ac:dyDescent="0.3">
      <c r="A14" s="5"/>
      <c r="B14" t="s">
        <v>359</v>
      </c>
      <c r="C14" s="157" t="s">
        <v>360</v>
      </c>
      <c r="D14" s="157" t="s">
        <v>460</v>
      </c>
      <c r="E14" s="174"/>
    </row>
    <row r="15" spans="1:5" ht="18.75" customHeight="1" x14ac:dyDescent="0.3">
      <c r="A15" s="5"/>
      <c r="B15" t="s">
        <v>361</v>
      </c>
      <c r="C15" s="157" t="s">
        <v>472</v>
      </c>
      <c r="D15" s="157" t="s">
        <v>473</v>
      </c>
      <c r="E15" s="174"/>
    </row>
    <row r="16" spans="1:5" ht="18.75" customHeight="1" x14ac:dyDescent="0.3">
      <c r="A16" s="5"/>
      <c r="B16" t="s">
        <v>362</v>
      </c>
      <c r="C16" s="157" t="s">
        <v>363</v>
      </c>
      <c r="D16" s="157" t="s">
        <v>473</v>
      </c>
      <c r="E16" s="174"/>
    </row>
    <row r="17" spans="1:5" ht="30" customHeight="1" x14ac:dyDescent="0.3">
      <c r="A17" s="5"/>
      <c r="B17" t="s">
        <v>364</v>
      </c>
      <c r="C17" s="157" t="s">
        <v>365</v>
      </c>
      <c r="D17" s="157" t="s">
        <v>473</v>
      </c>
      <c r="E17" s="174"/>
    </row>
    <row r="18" spans="1:5" ht="18.75" customHeight="1" x14ac:dyDescent="0.3">
      <c r="A18" s="5"/>
      <c r="B18" t="s">
        <v>366</v>
      </c>
      <c r="C18" s="157" t="s">
        <v>367</v>
      </c>
      <c r="D18" s="157" t="s">
        <v>460</v>
      </c>
      <c r="E18" s="174"/>
    </row>
    <row r="19" spans="1:5" ht="18.75" customHeight="1" x14ac:dyDescent="0.3">
      <c r="A19" s="5"/>
      <c r="B19" t="s">
        <v>368</v>
      </c>
      <c r="C19" s="157" t="s">
        <v>369</v>
      </c>
      <c r="D19" s="157" t="s">
        <v>460</v>
      </c>
      <c r="E19" s="174"/>
    </row>
    <row r="20" spans="1:5" ht="18.75" customHeight="1" x14ac:dyDescent="0.3">
      <c r="A20" s="5"/>
      <c r="B20" t="s">
        <v>370</v>
      </c>
      <c r="C20" s="157" t="s">
        <v>371</v>
      </c>
      <c r="D20" s="157" t="s">
        <v>460</v>
      </c>
      <c r="E20" s="174"/>
    </row>
    <row r="21" spans="1:5" ht="27.75" customHeight="1" x14ac:dyDescent="0.3">
      <c r="A21" s="5"/>
      <c r="B21" t="s">
        <v>372</v>
      </c>
      <c r="C21" s="157" t="s">
        <v>373</v>
      </c>
      <c r="D21" s="157" t="s">
        <v>460</v>
      </c>
      <c r="E21" s="182"/>
    </row>
    <row r="22" spans="1:5" ht="18.75" customHeight="1" thickBot="1" x14ac:dyDescent="0.35">
      <c r="A22" s="6"/>
      <c r="B22" s="12" t="s">
        <v>374</v>
      </c>
      <c r="C22" s="158" t="s">
        <v>375</v>
      </c>
      <c r="D22" s="158" t="s">
        <v>460</v>
      </c>
      <c r="E22" s="175"/>
    </row>
    <row r="23" spans="1:5" ht="18.75" customHeight="1" thickBot="1" x14ac:dyDescent="0.35"/>
    <row r="24" spans="1:5" ht="18.75" customHeight="1" thickBot="1" x14ac:dyDescent="0.35">
      <c r="A24" s="154" t="s">
        <v>376</v>
      </c>
      <c r="B24" s="155"/>
      <c r="C24" s="156"/>
      <c r="D24" s="156"/>
      <c r="E24" s="173"/>
    </row>
    <row r="25" spans="1:5" ht="18.75" customHeight="1" x14ac:dyDescent="0.3">
      <c r="A25" s="219" t="s">
        <v>377</v>
      </c>
      <c r="B25" s="19"/>
      <c r="C25" s="159"/>
      <c r="D25" s="159"/>
      <c r="E25" s="177"/>
    </row>
    <row r="26" spans="1:5" ht="18.75" customHeight="1" x14ac:dyDescent="0.3">
      <c r="A26" s="220"/>
      <c r="B26" t="s">
        <v>343</v>
      </c>
      <c r="C26" s="157" t="s">
        <v>378</v>
      </c>
      <c r="D26" s="157"/>
      <c r="E26" s="174"/>
    </row>
    <row r="27" spans="1:5" ht="18.75" customHeight="1" x14ac:dyDescent="0.3">
      <c r="A27" s="220"/>
      <c r="B27" t="s">
        <v>345</v>
      </c>
      <c r="C27" s="157" t="s">
        <v>379</v>
      </c>
      <c r="D27" s="157"/>
      <c r="E27" s="174"/>
    </row>
    <row r="28" spans="1:5" ht="18.75" customHeight="1" x14ac:dyDescent="0.3">
      <c r="A28" s="220"/>
      <c r="B28" t="s">
        <v>347</v>
      </c>
      <c r="C28" s="157" t="s">
        <v>380</v>
      </c>
      <c r="D28" s="157"/>
      <c r="E28" s="174"/>
    </row>
    <row r="29" spans="1:5" ht="18.75" customHeight="1" x14ac:dyDescent="0.3">
      <c r="A29" s="220"/>
      <c r="B29" t="s">
        <v>349</v>
      </c>
      <c r="C29" s="157" t="s">
        <v>381</v>
      </c>
      <c r="D29" s="157"/>
      <c r="E29" s="174"/>
    </row>
    <row r="30" spans="1:5" ht="18.75" customHeight="1" x14ac:dyDescent="0.3">
      <c r="A30" s="220"/>
      <c r="B30" t="s">
        <v>351</v>
      </c>
      <c r="C30" s="157" t="s">
        <v>382</v>
      </c>
      <c r="D30" s="157"/>
      <c r="E30" s="174"/>
    </row>
    <row r="31" spans="1:5" ht="18.75" customHeight="1" x14ac:dyDescent="0.3">
      <c r="A31" s="220"/>
      <c r="B31" t="s">
        <v>353</v>
      </c>
      <c r="C31" s="157" t="s">
        <v>383</v>
      </c>
      <c r="D31" s="157"/>
      <c r="E31" s="174"/>
    </row>
    <row r="32" spans="1:5" ht="18.75" customHeight="1" thickBot="1" x14ac:dyDescent="0.35">
      <c r="A32" s="221"/>
      <c r="B32" s="12" t="s">
        <v>355</v>
      </c>
      <c r="C32" s="158" t="s">
        <v>384</v>
      </c>
      <c r="D32" s="158"/>
      <c r="E32" s="175"/>
    </row>
    <row r="33" spans="1:5" ht="18.75" customHeight="1" thickBot="1" x14ac:dyDescent="0.35"/>
    <row r="34" spans="1:5" ht="18.75" customHeight="1" x14ac:dyDescent="0.3">
      <c r="A34" s="219" t="s">
        <v>385</v>
      </c>
      <c r="B34" s="19" t="s">
        <v>343</v>
      </c>
      <c r="C34" s="159" t="s">
        <v>386</v>
      </c>
      <c r="D34" s="159"/>
      <c r="E34" s="177"/>
    </row>
    <row r="35" spans="1:5" ht="18.75" customHeight="1" x14ac:dyDescent="0.3">
      <c r="A35" s="220"/>
      <c r="B35" t="s">
        <v>345</v>
      </c>
      <c r="C35" s="157" t="s">
        <v>22</v>
      </c>
      <c r="D35" s="157"/>
      <c r="E35" s="174"/>
    </row>
    <row r="36" spans="1:5" ht="18.75" customHeight="1" x14ac:dyDescent="0.3">
      <c r="A36" s="220"/>
      <c r="B36" t="s">
        <v>347</v>
      </c>
      <c r="C36" s="157" t="s">
        <v>119</v>
      </c>
      <c r="D36" s="157"/>
      <c r="E36" s="174"/>
    </row>
    <row r="37" spans="1:5" ht="18.75" customHeight="1" x14ac:dyDescent="0.3">
      <c r="A37" s="220"/>
      <c r="B37" t="s">
        <v>351</v>
      </c>
      <c r="C37" s="157" t="s">
        <v>387</v>
      </c>
      <c r="D37" s="157"/>
      <c r="E37" s="174"/>
    </row>
    <row r="38" spans="1:5" ht="18.75" customHeight="1" x14ac:dyDescent="0.3">
      <c r="A38" s="220"/>
      <c r="B38" t="s">
        <v>353</v>
      </c>
      <c r="C38" s="157" t="s">
        <v>388</v>
      </c>
      <c r="D38" s="157"/>
      <c r="E38" s="174"/>
    </row>
    <row r="39" spans="1:5" ht="18.75" customHeight="1" x14ac:dyDescent="0.3">
      <c r="A39" s="220"/>
      <c r="B39" t="s">
        <v>355</v>
      </c>
      <c r="C39" s="157" t="s">
        <v>25</v>
      </c>
      <c r="D39" s="157"/>
      <c r="E39" s="174"/>
    </row>
    <row r="40" spans="1:5" ht="18.75" customHeight="1" x14ac:dyDescent="0.3">
      <c r="A40" s="220"/>
      <c r="B40" t="s">
        <v>357</v>
      </c>
      <c r="C40" s="157" t="s">
        <v>26</v>
      </c>
      <c r="D40" s="157"/>
      <c r="E40" s="174"/>
    </row>
    <row r="41" spans="1:5" ht="18.75" customHeight="1" x14ac:dyDescent="0.3">
      <c r="A41" s="220"/>
      <c r="B41" t="s">
        <v>359</v>
      </c>
      <c r="C41" s="157" t="s">
        <v>389</v>
      </c>
      <c r="D41" s="157"/>
      <c r="E41" s="174"/>
    </row>
    <row r="42" spans="1:5" ht="18.75" customHeight="1" x14ac:dyDescent="0.3">
      <c r="A42" s="220"/>
      <c r="B42" t="s">
        <v>361</v>
      </c>
      <c r="C42" s="157" t="s">
        <v>390</v>
      </c>
      <c r="D42" s="157"/>
      <c r="E42" s="174"/>
    </row>
    <row r="43" spans="1:5" ht="18.75" customHeight="1" x14ac:dyDescent="0.3">
      <c r="A43" s="220"/>
      <c r="B43" t="s">
        <v>362</v>
      </c>
      <c r="C43" s="157" t="s">
        <v>391</v>
      </c>
      <c r="D43" s="157"/>
      <c r="E43" s="174"/>
    </row>
    <row r="44" spans="1:5" ht="18.75" customHeight="1" x14ac:dyDescent="0.3">
      <c r="A44" s="220"/>
      <c r="B44" t="s">
        <v>392</v>
      </c>
      <c r="C44" s="157" t="s">
        <v>222</v>
      </c>
      <c r="D44" s="157"/>
      <c r="E44" s="174"/>
    </row>
    <row r="45" spans="1:5" ht="18.75" customHeight="1" x14ac:dyDescent="0.3">
      <c r="A45" s="220"/>
      <c r="B45" t="s">
        <v>364</v>
      </c>
      <c r="C45" s="157" t="s">
        <v>393</v>
      </c>
      <c r="D45" s="157"/>
      <c r="E45" s="174"/>
    </row>
    <row r="46" spans="1:5" ht="18.75" customHeight="1" thickBot="1" x14ac:dyDescent="0.35">
      <c r="A46" s="221"/>
      <c r="B46" s="12" t="s">
        <v>366</v>
      </c>
      <c r="C46" s="158" t="s">
        <v>394</v>
      </c>
      <c r="D46" s="158"/>
      <c r="E46" s="175"/>
    </row>
    <row r="48" spans="1:5" ht="18.75" customHeight="1" thickBot="1" x14ac:dyDescent="0.35"/>
    <row r="49" spans="1:5" ht="18.75" customHeight="1" thickBot="1" x14ac:dyDescent="0.35">
      <c r="A49" s="160" t="s">
        <v>395</v>
      </c>
      <c r="B49" s="161">
        <v>1</v>
      </c>
      <c r="C49" s="162" t="s">
        <v>396</v>
      </c>
      <c r="D49" s="162"/>
      <c r="E49" s="178"/>
    </row>
    <row r="50" spans="1:5" ht="18.75" customHeight="1" thickBot="1" x14ac:dyDescent="0.35"/>
    <row r="51" spans="1:5" ht="18.75" customHeight="1" x14ac:dyDescent="0.3">
      <c r="A51" s="222" t="s">
        <v>397</v>
      </c>
      <c r="B51" s="19"/>
      <c r="C51" s="159"/>
      <c r="D51" s="159"/>
      <c r="E51" s="177"/>
    </row>
    <row r="52" spans="1:5" ht="18.75" customHeight="1" thickBot="1" x14ac:dyDescent="0.35">
      <c r="A52" s="223"/>
      <c r="B52" s="12">
        <v>1</v>
      </c>
      <c r="C52" s="158" t="s">
        <v>398</v>
      </c>
      <c r="D52" s="158"/>
      <c r="E52" s="175"/>
    </row>
    <row r="54" spans="1:5" ht="18.75" customHeight="1" thickBot="1" x14ac:dyDescent="0.35"/>
    <row r="55" spans="1:5" ht="18.75" customHeight="1" x14ac:dyDescent="0.3">
      <c r="A55" s="219" t="s">
        <v>399</v>
      </c>
      <c r="B55" s="19">
        <v>1</v>
      </c>
      <c r="C55" s="159" t="s">
        <v>400</v>
      </c>
      <c r="D55" s="159"/>
      <c r="E55" s="177"/>
    </row>
    <row r="56" spans="1:5" ht="18.75" customHeight="1" x14ac:dyDescent="0.3">
      <c r="A56" s="220"/>
      <c r="B56">
        <v>2</v>
      </c>
      <c r="C56" s="157" t="s">
        <v>401</v>
      </c>
      <c r="D56" s="157"/>
      <c r="E56" s="174"/>
    </row>
    <row r="57" spans="1:5" ht="18.75" customHeight="1" x14ac:dyDescent="0.3">
      <c r="A57" s="220"/>
      <c r="B57">
        <v>3</v>
      </c>
      <c r="C57" s="157" t="s">
        <v>402</v>
      </c>
      <c r="D57" s="157"/>
      <c r="E57" s="174"/>
    </row>
    <row r="58" spans="1:5" ht="18.75" customHeight="1" x14ac:dyDescent="0.3">
      <c r="A58" s="220"/>
      <c r="B58">
        <v>4</v>
      </c>
      <c r="C58" s="157" t="s">
        <v>403</v>
      </c>
      <c r="D58" s="157"/>
      <c r="E58" s="174"/>
    </row>
    <row r="59" spans="1:5" ht="18.75" customHeight="1" x14ac:dyDescent="0.3">
      <c r="A59" s="220"/>
      <c r="B59" t="s">
        <v>343</v>
      </c>
      <c r="C59" s="157" t="s">
        <v>123</v>
      </c>
      <c r="D59" s="157"/>
      <c r="E59" s="174"/>
    </row>
    <row r="60" spans="1:5" ht="18.75" customHeight="1" x14ac:dyDescent="0.3">
      <c r="A60" s="220"/>
      <c r="B60" t="s">
        <v>345</v>
      </c>
      <c r="C60" s="157" t="s">
        <v>124</v>
      </c>
      <c r="D60" s="157"/>
      <c r="E60" s="174"/>
    </row>
    <row r="61" spans="1:5" ht="18.75" customHeight="1" x14ac:dyDescent="0.3">
      <c r="A61" s="220"/>
      <c r="B61" t="s">
        <v>347</v>
      </c>
      <c r="C61" s="157" t="s">
        <v>125</v>
      </c>
      <c r="D61" s="157"/>
      <c r="E61" s="174"/>
    </row>
    <row r="62" spans="1:5" ht="18.75" customHeight="1" x14ac:dyDescent="0.3">
      <c r="A62" s="220"/>
      <c r="B62" t="s">
        <v>349</v>
      </c>
      <c r="C62" s="157" t="s">
        <v>2</v>
      </c>
      <c r="D62" s="157"/>
      <c r="E62" s="174"/>
    </row>
    <row r="63" spans="1:5" ht="18.75" customHeight="1" x14ac:dyDescent="0.3">
      <c r="A63" s="220"/>
      <c r="B63" t="s">
        <v>351</v>
      </c>
      <c r="C63" s="157" t="s">
        <v>404</v>
      </c>
      <c r="D63" s="157"/>
      <c r="E63" s="174"/>
    </row>
    <row r="64" spans="1:5" ht="18.75" customHeight="1" x14ac:dyDescent="0.3">
      <c r="A64" s="220"/>
      <c r="B64" t="s">
        <v>353</v>
      </c>
      <c r="C64" s="157" t="s">
        <v>405</v>
      </c>
      <c r="D64" s="157"/>
      <c r="E64" s="174"/>
    </row>
    <row r="65" spans="1:5" ht="18.75" customHeight="1" x14ac:dyDescent="0.3">
      <c r="A65" s="220"/>
      <c r="B65" t="s">
        <v>355</v>
      </c>
      <c r="C65" s="157" t="s">
        <v>406</v>
      </c>
      <c r="D65" s="157"/>
      <c r="E65" s="174"/>
    </row>
    <row r="66" spans="1:5" ht="18.75" customHeight="1" x14ac:dyDescent="0.3">
      <c r="A66" s="220"/>
      <c r="B66" t="s">
        <v>357</v>
      </c>
      <c r="C66" s="157" t="s">
        <v>407</v>
      </c>
      <c r="D66" s="157"/>
      <c r="E66" s="174"/>
    </row>
    <row r="67" spans="1:5" ht="18.75" customHeight="1" x14ac:dyDescent="0.3">
      <c r="A67" s="220"/>
      <c r="B67" t="s">
        <v>359</v>
      </c>
      <c r="C67" s="157" t="s">
        <v>174</v>
      </c>
      <c r="D67" s="157"/>
      <c r="E67" s="174"/>
    </row>
    <row r="68" spans="1:5" ht="18.75" customHeight="1" x14ac:dyDescent="0.3">
      <c r="A68" s="220"/>
      <c r="B68" t="s">
        <v>361</v>
      </c>
      <c r="C68" s="157" t="s">
        <v>408</v>
      </c>
      <c r="D68" s="157"/>
      <c r="E68" s="174"/>
    </row>
    <row r="69" spans="1:5" ht="18.75" customHeight="1" x14ac:dyDescent="0.3">
      <c r="A69" s="220"/>
      <c r="B69" t="s">
        <v>362</v>
      </c>
      <c r="C69" s="157" t="s">
        <v>168</v>
      </c>
      <c r="D69" s="157"/>
      <c r="E69" s="174"/>
    </row>
    <row r="70" spans="1:5" ht="18.75" customHeight="1" x14ac:dyDescent="0.3">
      <c r="A70" s="220"/>
      <c r="B70" t="s">
        <v>392</v>
      </c>
      <c r="C70" s="157" t="s">
        <v>170</v>
      </c>
      <c r="D70" s="157"/>
      <c r="E70" s="174"/>
    </row>
    <row r="71" spans="1:5" ht="18.75" customHeight="1" x14ac:dyDescent="0.3">
      <c r="A71" s="220"/>
      <c r="B71" t="s">
        <v>364</v>
      </c>
      <c r="C71" s="157" t="s">
        <v>409</v>
      </c>
      <c r="D71" s="157"/>
      <c r="E71" s="174"/>
    </row>
    <row r="72" spans="1:5" ht="18.75" customHeight="1" x14ac:dyDescent="0.3">
      <c r="A72" s="220"/>
      <c r="B72" t="s">
        <v>366</v>
      </c>
      <c r="C72" s="157" t="s">
        <v>410</v>
      </c>
      <c r="D72" s="157"/>
      <c r="E72" s="174"/>
    </row>
    <row r="73" spans="1:5" ht="18.75" customHeight="1" x14ac:dyDescent="0.3">
      <c r="A73" s="220"/>
      <c r="B73" t="s">
        <v>368</v>
      </c>
      <c r="C73" s="157" t="s">
        <v>5</v>
      </c>
      <c r="D73" s="157"/>
      <c r="E73" s="174"/>
    </row>
    <row r="74" spans="1:5" ht="18.75" customHeight="1" x14ac:dyDescent="0.3">
      <c r="A74" s="220"/>
      <c r="B74" t="s">
        <v>370</v>
      </c>
      <c r="C74" s="157" t="s">
        <v>411</v>
      </c>
      <c r="D74" s="157"/>
      <c r="E74" s="174"/>
    </row>
    <row r="75" spans="1:5" ht="18.75" customHeight="1" x14ac:dyDescent="0.3">
      <c r="A75" s="220"/>
      <c r="B75" t="s">
        <v>372</v>
      </c>
      <c r="C75" s="157" t="s">
        <v>136</v>
      </c>
      <c r="D75" s="157"/>
      <c r="E75" s="174"/>
    </row>
    <row r="76" spans="1:5" ht="18.75" customHeight="1" x14ac:dyDescent="0.3">
      <c r="A76" s="220"/>
      <c r="B76" t="s">
        <v>374</v>
      </c>
      <c r="C76" s="157" t="s">
        <v>137</v>
      </c>
      <c r="D76" s="157"/>
      <c r="E76" s="174"/>
    </row>
    <row r="77" spans="1:5" ht="18.75" customHeight="1" x14ac:dyDescent="0.3">
      <c r="A77" s="220"/>
      <c r="B77" t="s">
        <v>412</v>
      </c>
      <c r="C77" s="157" t="s">
        <v>413</v>
      </c>
      <c r="D77" s="157"/>
      <c r="E77" s="174"/>
    </row>
    <row r="78" spans="1:5" ht="18.75" customHeight="1" x14ac:dyDescent="0.3">
      <c r="A78" s="220"/>
      <c r="B78" t="s">
        <v>414</v>
      </c>
      <c r="C78" s="157" t="s">
        <v>139</v>
      </c>
      <c r="D78" s="157"/>
      <c r="E78" s="174"/>
    </row>
    <row r="79" spans="1:5" ht="18.75" customHeight="1" x14ac:dyDescent="0.3">
      <c r="A79" s="220"/>
      <c r="B79" t="s">
        <v>415</v>
      </c>
      <c r="C79" s="157" t="s">
        <v>140</v>
      </c>
      <c r="D79" s="157"/>
      <c r="E79" s="174"/>
    </row>
    <row r="80" spans="1:5" ht="18.75" customHeight="1" thickBot="1" x14ac:dyDescent="0.35">
      <c r="A80" s="221"/>
      <c r="B80" s="12" t="s">
        <v>416</v>
      </c>
      <c r="C80" s="158" t="s">
        <v>167</v>
      </c>
      <c r="D80" s="158"/>
      <c r="E80" s="175"/>
    </row>
    <row r="82" spans="1:3" ht="18.75" customHeight="1" x14ac:dyDescent="0.3">
      <c r="A82" t="s">
        <v>417</v>
      </c>
    </row>
    <row r="83" spans="1:3" ht="18.75" customHeight="1" x14ac:dyDescent="0.3">
      <c r="B83">
        <v>1</v>
      </c>
      <c r="C83" s="152" t="s">
        <v>418</v>
      </c>
    </row>
    <row r="85" spans="1:3" ht="18.75" customHeight="1" x14ac:dyDescent="0.3">
      <c r="A85" t="s">
        <v>419</v>
      </c>
      <c r="B85">
        <v>1</v>
      </c>
      <c r="C85" s="152" t="s">
        <v>420</v>
      </c>
    </row>
    <row r="86" spans="1:3" ht="18.75" customHeight="1" x14ac:dyDescent="0.3">
      <c r="B86">
        <v>2</v>
      </c>
      <c r="C86" s="152" t="s">
        <v>421</v>
      </c>
    </row>
    <row r="87" spans="1:3" ht="18.75" customHeight="1" x14ac:dyDescent="0.3">
      <c r="B87" t="s">
        <v>343</v>
      </c>
      <c r="C87" s="152" t="s">
        <v>422</v>
      </c>
    </row>
    <row r="88" spans="1:3" ht="18.75" customHeight="1" x14ac:dyDescent="0.3">
      <c r="B88" t="s">
        <v>345</v>
      </c>
      <c r="C88" s="152" t="s">
        <v>423</v>
      </c>
    </row>
    <row r="89" spans="1:3" ht="18.75" customHeight="1" x14ac:dyDescent="0.3">
      <c r="B89" t="s">
        <v>347</v>
      </c>
      <c r="C89" s="152" t="s">
        <v>424</v>
      </c>
    </row>
    <row r="90" spans="1:3" ht="18.75" customHeight="1" x14ac:dyDescent="0.3">
      <c r="B90" t="s">
        <v>349</v>
      </c>
      <c r="C90" s="152" t="s">
        <v>425</v>
      </c>
    </row>
    <row r="92" spans="1:3" ht="18.75" customHeight="1" x14ac:dyDescent="0.3">
      <c r="A92" t="s">
        <v>426</v>
      </c>
    </row>
    <row r="93" spans="1:3" ht="18.75" customHeight="1" x14ac:dyDescent="0.3">
      <c r="A93" t="s">
        <v>54</v>
      </c>
      <c r="B93">
        <v>1</v>
      </c>
      <c r="C93" s="152" t="s">
        <v>427</v>
      </c>
    </row>
    <row r="94" spans="1:3" ht="18.75" customHeight="1" x14ac:dyDescent="0.3">
      <c r="B94" t="s">
        <v>343</v>
      </c>
      <c r="C94" s="152" t="s">
        <v>20</v>
      </c>
    </row>
    <row r="95" spans="1:3" ht="18.75" customHeight="1" x14ac:dyDescent="0.3">
      <c r="B95" t="s">
        <v>345</v>
      </c>
      <c r="C95" s="152" t="s">
        <v>78</v>
      </c>
    </row>
    <row r="96" spans="1:3" ht="18.75" customHeight="1" x14ac:dyDescent="0.3">
      <c r="B96" t="s">
        <v>347</v>
      </c>
      <c r="C96" s="152" t="s">
        <v>428</v>
      </c>
    </row>
    <row r="97" spans="1:3" ht="18.75" customHeight="1" x14ac:dyDescent="0.3">
      <c r="B97">
        <v>2</v>
      </c>
      <c r="C97" s="152" t="s">
        <v>429</v>
      </c>
    </row>
    <row r="99" spans="1:3" ht="18.75" customHeight="1" x14ac:dyDescent="0.3">
      <c r="A99" t="s">
        <v>430</v>
      </c>
      <c r="B99">
        <v>1</v>
      </c>
      <c r="C99" s="152" t="s">
        <v>431</v>
      </c>
    </row>
    <row r="100" spans="1:3" ht="18.75" customHeight="1" x14ac:dyDescent="0.3">
      <c r="B100">
        <v>2</v>
      </c>
      <c r="C100" s="152" t="s">
        <v>432</v>
      </c>
    </row>
    <row r="101" spans="1:3" ht="18.75" customHeight="1" x14ac:dyDescent="0.3">
      <c r="B101">
        <v>3</v>
      </c>
      <c r="C101" s="152" t="s">
        <v>433</v>
      </c>
    </row>
    <row r="102" spans="1:3" ht="18.75" customHeight="1" x14ac:dyDescent="0.3">
      <c r="B102">
        <v>4</v>
      </c>
      <c r="C102" s="152" t="s">
        <v>434</v>
      </c>
    </row>
    <row r="104" spans="1:3" ht="18.75" customHeight="1" x14ac:dyDescent="0.3">
      <c r="A104" t="s">
        <v>435</v>
      </c>
      <c r="B104">
        <v>1</v>
      </c>
      <c r="C104" s="152" t="s">
        <v>436</v>
      </c>
    </row>
    <row r="105" spans="1:3" ht="18.75" customHeight="1" x14ac:dyDescent="0.3">
      <c r="B105">
        <v>2</v>
      </c>
      <c r="C105" s="152" t="s">
        <v>437</v>
      </c>
    </row>
    <row r="106" spans="1:3" ht="18.75" customHeight="1" x14ac:dyDescent="0.3">
      <c r="B106">
        <v>3</v>
      </c>
      <c r="C106" s="152" t="s">
        <v>438</v>
      </c>
    </row>
    <row r="108" spans="1:3" ht="18.75" customHeight="1" x14ac:dyDescent="0.3">
      <c r="A108" t="s">
        <v>439</v>
      </c>
      <c r="B108">
        <v>1</v>
      </c>
      <c r="C108" s="152" t="s">
        <v>440</v>
      </c>
    </row>
    <row r="111" spans="1:3" ht="18.75" customHeight="1" x14ac:dyDescent="0.3">
      <c r="A111" t="s">
        <v>441</v>
      </c>
      <c r="B111">
        <v>1</v>
      </c>
      <c r="C111" s="152" t="s">
        <v>442</v>
      </c>
    </row>
    <row r="112" spans="1:3" ht="18.75" customHeight="1" x14ac:dyDescent="0.3">
      <c r="B112">
        <v>2</v>
      </c>
      <c r="C112" s="152" t="s">
        <v>443</v>
      </c>
    </row>
    <row r="113" spans="1:3" ht="18.75" customHeight="1" x14ac:dyDescent="0.3">
      <c r="B113">
        <v>3</v>
      </c>
      <c r="C113" s="152" t="s">
        <v>444</v>
      </c>
    </row>
    <row r="115" spans="1:3" ht="18.75" customHeight="1" x14ac:dyDescent="0.3">
      <c r="A115" t="s">
        <v>445</v>
      </c>
      <c r="B115">
        <v>1</v>
      </c>
      <c r="C115" s="152" t="s">
        <v>446</v>
      </c>
    </row>
    <row r="117" spans="1:3" ht="18.75" customHeight="1" x14ac:dyDescent="0.3">
      <c r="A117" t="s">
        <v>447</v>
      </c>
      <c r="B117">
        <v>1</v>
      </c>
      <c r="C117" s="152" t="s">
        <v>448</v>
      </c>
    </row>
    <row r="118" spans="1:3" ht="18.75" customHeight="1" x14ac:dyDescent="0.3">
      <c r="B118">
        <v>2</v>
      </c>
      <c r="C118" s="152" t="s">
        <v>448</v>
      </c>
    </row>
    <row r="120" spans="1:3" ht="18.75" customHeight="1" x14ac:dyDescent="0.3">
      <c r="A120" t="s">
        <v>449</v>
      </c>
      <c r="B120">
        <v>1</v>
      </c>
      <c r="C120" s="152" t="s">
        <v>450</v>
      </c>
    </row>
    <row r="121" spans="1:3" ht="18.75" customHeight="1" x14ac:dyDescent="0.3">
      <c r="B121">
        <v>2</v>
      </c>
      <c r="C121" s="152" t="s">
        <v>451</v>
      </c>
    </row>
    <row r="122" spans="1:3" ht="18.75" customHeight="1" x14ac:dyDescent="0.3">
      <c r="B122">
        <v>3</v>
      </c>
      <c r="C122" s="152" t="s">
        <v>452</v>
      </c>
    </row>
    <row r="123" spans="1:3" ht="18.75" customHeight="1" x14ac:dyDescent="0.3">
      <c r="B123">
        <v>4</v>
      </c>
      <c r="C123" s="152" t="s">
        <v>453</v>
      </c>
    </row>
    <row r="125" spans="1:3" ht="18.75" customHeight="1" x14ac:dyDescent="0.3">
      <c r="A125" t="s">
        <v>200</v>
      </c>
      <c r="B125">
        <v>1</v>
      </c>
      <c r="C125" s="152" t="s">
        <v>454</v>
      </c>
    </row>
    <row r="127" spans="1:3" ht="18.75" customHeight="1" x14ac:dyDescent="0.3">
      <c r="A127" t="s">
        <v>455</v>
      </c>
      <c r="B127">
        <v>1</v>
      </c>
      <c r="C127" s="152" t="s">
        <v>456</v>
      </c>
    </row>
    <row r="128" spans="1:3" ht="18.75" customHeight="1" x14ac:dyDescent="0.3">
      <c r="B128">
        <v>2</v>
      </c>
      <c r="C128" s="152" t="s">
        <v>457</v>
      </c>
    </row>
    <row r="130" spans="1:3" ht="18.75" customHeight="1" x14ac:dyDescent="0.3">
      <c r="A130" t="s">
        <v>458</v>
      </c>
      <c r="B130">
        <v>1</v>
      </c>
      <c r="C130" s="152" t="s">
        <v>459</v>
      </c>
    </row>
  </sheetData>
  <mergeCells count="4">
    <mergeCell ref="A25:A32"/>
    <mergeCell ref="A34:A46"/>
    <mergeCell ref="A51:A52"/>
    <mergeCell ref="A55:A8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6"/>
  <sheetViews>
    <sheetView topLeftCell="AI1" zoomScale="90" zoomScaleNormal="90" workbookViewId="0">
      <selection activeCell="AL21" sqref="AL21"/>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4" customWidth="1"/>
    <col min="7" max="7" width="8.6640625" customWidth="1"/>
    <col min="8" max="8" width="9.5546875" style="84" customWidth="1"/>
    <col min="9" max="9" width="19.88671875" customWidth="1"/>
    <col min="10" max="10" width="7.5546875" customWidth="1"/>
    <col min="11" max="11" width="11.33203125" customWidth="1"/>
    <col min="12" max="13" width="20.6640625" style="202" customWidth="1"/>
    <col min="14" max="14" width="8.44140625" customWidth="1"/>
    <col min="15" max="15" width="18.6640625" customWidth="1"/>
    <col min="16" max="16" width="15.5546875" style="85" customWidth="1"/>
    <col min="17" max="17" width="21.6640625" style="85" customWidth="1"/>
    <col min="18" max="18" width="10.109375" customWidth="1"/>
    <col min="19" max="19" width="8" customWidth="1"/>
    <col min="20" max="20" width="19.6640625" customWidth="1"/>
    <col min="21" max="21" width="14.44140625" style="87" customWidth="1"/>
    <col min="22" max="22" width="16.88671875" customWidth="1"/>
    <col min="23" max="23" width="20.6640625" style="17" customWidth="1"/>
    <col min="24" max="24" width="15.6640625" customWidth="1"/>
    <col min="25" max="25" width="15.44140625" style="17" customWidth="1"/>
    <col min="26" max="26" width="19.5546875" style="89" customWidth="1"/>
    <col min="27" max="27" width="18" customWidth="1"/>
    <col min="28" max="28" width="17.33203125" customWidth="1"/>
    <col min="29" max="29" width="8.88671875" style="92" customWidth="1"/>
    <col min="30" max="30" width="10.6640625" style="84" customWidth="1"/>
    <col min="31" max="31" width="18.44140625" style="84" customWidth="1"/>
    <col min="32" max="32" width="25.88671875" style="84" customWidth="1"/>
    <col min="33" max="33" width="10.5546875" style="84" customWidth="1"/>
    <col min="34" max="34" width="19.6640625" style="84" customWidth="1"/>
    <col min="35" max="35" width="29" customWidth="1"/>
    <col min="36" max="36" width="36.5546875" style="84" customWidth="1"/>
    <col min="37" max="37" width="17.5546875" style="84" customWidth="1"/>
    <col min="38" max="38" width="23.5546875" style="84" customWidth="1"/>
    <col min="39" max="39" width="21" style="84" customWidth="1"/>
    <col min="40" max="40" width="10.88671875" customWidth="1"/>
    <col min="41" max="41" width="13.6640625" customWidth="1"/>
    <col min="42" max="42" width="16.5546875" style="84" customWidth="1"/>
    <col min="43" max="43" width="13.33203125" style="84" customWidth="1"/>
    <col min="44" max="44" width="9.109375" style="84" customWidth="1"/>
    <col min="45" max="45" width="19.33203125" style="84" customWidth="1"/>
    <col min="46" max="46" width="25.77734375" bestFit="1" customWidth="1"/>
  </cols>
  <sheetData>
    <row r="1" spans="1:48" s="216" customFormat="1" ht="15" thickBot="1" x14ac:dyDescent="0.35">
      <c r="A1" s="204" t="s">
        <v>58</v>
      </c>
      <c r="B1" s="205" t="s">
        <v>0</v>
      </c>
      <c r="C1" s="206" t="s">
        <v>60</v>
      </c>
      <c r="D1" s="206" t="s">
        <v>123</v>
      </c>
      <c r="E1" s="206" t="s">
        <v>124</v>
      </c>
      <c r="F1" s="206" t="s">
        <v>125</v>
      </c>
      <c r="G1" s="205" t="s">
        <v>126</v>
      </c>
      <c r="H1" s="205" t="s">
        <v>127</v>
      </c>
      <c r="I1" s="206" t="s">
        <v>2</v>
      </c>
      <c r="J1" s="205" t="s">
        <v>3</v>
      </c>
      <c r="K1" s="206" t="s">
        <v>62</v>
      </c>
      <c r="L1" s="117" t="s">
        <v>63</v>
      </c>
      <c r="M1" s="117" t="s">
        <v>65</v>
      </c>
      <c r="N1" s="205" t="s">
        <v>4</v>
      </c>
      <c r="O1" s="205" t="s">
        <v>66</v>
      </c>
      <c r="P1" s="207" t="s">
        <v>68</v>
      </c>
      <c r="Q1" s="207" t="s">
        <v>71</v>
      </c>
      <c r="R1" s="208" t="s">
        <v>174</v>
      </c>
      <c r="S1" s="205" t="s">
        <v>128</v>
      </c>
      <c r="T1" s="206" t="s">
        <v>72</v>
      </c>
      <c r="U1" s="209" t="s">
        <v>168</v>
      </c>
      <c r="V1" s="210" t="s">
        <v>169</v>
      </c>
      <c r="W1" s="211" t="s">
        <v>170</v>
      </c>
      <c r="X1" s="210" t="s">
        <v>171</v>
      </c>
      <c r="Y1" s="210" t="s">
        <v>172</v>
      </c>
      <c r="Z1" s="212" t="s">
        <v>229</v>
      </c>
      <c r="AA1" s="206" t="s">
        <v>132</v>
      </c>
      <c r="AB1" s="210" t="s">
        <v>133</v>
      </c>
      <c r="AC1" s="213" t="s">
        <v>5</v>
      </c>
      <c r="AD1" s="210" t="s">
        <v>73</v>
      </c>
      <c r="AE1" s="210" t="s">
        <v>74</v>
      </c>
      <c r="AF1" s="210" t="s">
        <v>75</v>
      </c>
      <c r="AG1" s="210" t="s">
        <v>76</v>
      </c>
      <c r="AH1" s="210" t="s">
        <v>134</v>
      </c>
      <c r="AI1" s="214" t="s">
        <v>135</v>
      </c>
      <c r="AJ1" s="214" t="s">
        <v>136</v>
      </c>
      <c r="AK1" s="214" t="s">
        <v>137</v>
      </c>
      <c r="AL1" s="214" t="s">
        <v>138</v>
      </c>
      <c r="AM1" s="214" t="s">
        <v>139</v>
      </c>
      <c r="AN1" s="214" t="s">
        <v>140</v>
      </c>
      <c r="AO1" s="215" t="s">
        <v>167</v>
      </c>
      <c r="AP1" s="210" t="s">
        <v>173</v>
      </c>
      <c r="AQ1" s="210" t="s">
        <v>181</v>
      </c>
      <c r="AR1" s="210" t="s">
        <v>215</v>
      </c>
      <c r="AS1" s="210" t="s">
        <v>216</v>
      </c>
    </row>
    <row r="2" spans="1:48" s="183" customFormat="1" x14ac:dyDescent="0.3">
      <c r="A2" t="s">
        <v>332</v>
      </c>
      <c r="B2" t="s">
        <v>333</v>
      </c>
      <c r="C2" t="str">
        <f>VLOOKUP(K2,'ILS Data pull'!$B:$H,2,0)</f>
        <v>CB-Baldwin Re Ltd. Series 2023-1 Class A Reset 2025</v>
      </c>
      <c r="D2" s="84" t="str">
        <f t="shared" ref="D2:D4" si="0">MID(C2,FIND("Series",C2)+7,FIND("Class",C2)-FIND("Series",C2)-8)</f>
        <v>2023-1</v>
      </c>
      <c r="E2" s="84" t="str">
        <f t="shared" ref="E2:E4" si="1">IF(ISNUMBER(FIND("Reset",C2)),MID(C2,FIND("Class",C2),FIND("Reset",C2)-FIND("Class",C2)-1),TRIM(MID(C2,FIND("Class",C2),LEN(C2)-FIND("Class",C2)+1)))</f>
        <v>Class A</v>
      </c>
      <c r="F2" s="84" t="str">
        <f t="shared" ref="F2:F4" si="2">IF(ISNUMBER(FIND("Reset",C2)), MID(C2,FIND("Reset",C2)+6,4), "")</f>
        <v>2025</v>
      </c>
      <c r="H2" s="84" t="s">
        <v>226</v>
      </c>
      <c r="I2" s="80" t="str">
        <f>VLOOKUP(K2,'ETF Portfolio'!$A$8:$K$17,9,0)</f>
        <v>Vermont Mutual</v>
      </c>
      <c r="K2" s="80" t="s">
        <v>301</v>
      </c>
      <c r="L2" s="80" t="str" cm="1">
        <f t="array" ref="L2:M2">VLOOKUP(K2,'ETF Portfolio'!$A$8:$M$17,{12,13},0)</f>
        <v>6/28/2023</v>
      </c>
      <c r="M2" s="80" t="str">
        <v>7/7/2027</v>
      </c>
      <c r="O2" s="84" t="str">
        <f>VLOOKUP(K2,'ETF Portfolio'!$A$8:$B$17,2,0)</f>
        <v>CAT Bond</v>
      </c>
      <c r="P2" s="85">
        <f>VLOOKUP(C2,'ILS Data pull'!$C:$H,2,0)</f>
        <v>0</v>
      </c>
      <c r="Q2" s="85">
        <f>VLOOKUP(C2,'ILS Data pull'!$C:$H,4,0)</f>
        <v>300000000</v>
      </c>
      <c r="R2" s="91">
        <f>VLOOKUP(K2,'ETF Portfolio'!$A$7:$U$17,21,0)</f>
        <v>250000</v>
      </c>
      <c r="T2" s="199">
        <f>VLOOKUP(K2,'ETF Portfolio'!$A$8:$T$17,20,0)</f>
        <v>102.2</v>
      </c>
      <c r="U2" s="86">
        <f>VLOOKUP(K2,'ETF Portfolio'!$A$8:$R$17,18,0)</f>
        <v>8.9099999999999999E-2</v>
      </c>
      <c r="V2" s="84" t="str">
        <f>VLOOKUP(K2,'ETF Portfolio'!$A$8:$C$17,3,0)</f>
        <v>Buy</v>
      </c>
      <c r="W2" s="80">
        <f>VLOOKUP(K2,'ETF Portfolio'!$A$8:$E$17,4,0)</f>
        <v>45756</v>
      </c>
      <c r="X2" s="184"/>
      <c r="Y2" s="184"/>
      <c r="Z2" s="90">
        <f>R2/VLOOKUP(K2,'ILS Data pull'!$B:$H,7,0)</f>
        <v>2.5000000000000001E-3</v>
      </c>
      <c r="AA2" s="185">
        <f>VLOOKUP(K2,'ETF Portfolio'!$A$8:$Q$17,17,0)</f>
        <v>5.043372257801014E-2</v>
      </c>
      <c r="AB2" s="84">
        <v>0</v>
      </c>
      <c r="AC2" s="185">
        <f>VLOOKUP(K2,'ETF Portfolio'!$A$8:$AD$17,30,0)</f>
        <v>8.1303790000000001E-2</v>
      </c>
      <c r="AD2" s="84">
        <v>0</v>
      </c>
      <c r="AE2" s="84">
        <v>0</v>
      </c>
      <c r="AF2" s="84">
        <v>0</v>
      </c>
      <c r="AG2" s="84">
        <v>0</v>
      </c>
      <c r="AH2" s="84">
        <v>0</v>
      </c>
      <c r="AI2" s="80">
        <f t="shared" ref="AI2:AI3" si="3">W2</f>
        <v>45756</v>
      </c>
      <c r="AJ2" s="80">
        <f t="shared" ref="AJ2:AJ3" si="4">AI2</f>
        <v>45756</v>
      </c>
      <c r="AK2" s="80">
        <f t="shared" ref="AK2:AK3" si="5">AJ2</f>
        <v>45756</v>
      </c>
      <c r="AL2" s="80">
        <f t="shared" ref="AL2:AL3" si="6">AK2</f>
        <v>45756</v>
      </c>
      <c r="AM2" s="80">
        <f t="shared" ref="AM2:AM3" si="7">AL2</f>
        <v>45756</v>
      </c>
      <c r="AN2" s="80" t="str">
        <f>VLOOKUP(K2,'ETF Portfolio'!$A$8:$K$17,11,0)</f>
        <v>Indemnity</v>
      </c>
      <c r="AO2" s="80" t="str">
        <f>VLOOKUP(K2,'ETF Portfolio'!$A$8:$K$17,10,0)</f>
        <v>Occurrence</v>
      </c>
      <c r="AP2" s="84">
        <v>0</v>
      </c>
      <c r="AQ2" s="84">
        <v>0</v>
      </c>
      <c r="AR2" s="84">
        <v>0</v>
      </c>
      <c r="AS2" s="84">
        <v>1</v>
      </c>
      <c r="AV2" s="186"/>
    </row>
    <row r="3" spans="1:48" s="183" customFormat="1" x14ac:dyDescent="0.3">
      <c r="A3" t="s">
        <v>334</v>
      </c>
      <c r="B3" t="s">
        <v>335</v>
      </c>
      <c r="C3" t="str">
        <f>VLOOKUP(K3,'ILS Data pull'!$B:$H,2,0)</f>
        <v>CB-Lightning Re Ltd. Series 2023-1 Class A Reset 2025</v>
      </c>
      <c r="D3" s="84" t="str">
        <f t="shared" si="0"/>
        <v>2023-1</v>
      </c>
      <c r="E3" s="84" t="str">
        <f t="shared" si="1"/>
        <v>Class A</v>
      </c>
      <c r="F3" s="84" t="str">
        <f t="shared" si="2"/>
        <v>2025</v>
      </c>
      <c r="H3" s="84" t="s">
        <v>226</v>
      </c>
      <c r="I3" s="80" t="str">
        <f>VLOOKUP(K3,'ETF Portfolio'!$A$8:$K$17,9,0)</f>
        <v>FL Citizens</v>
      </c>
      <c r="K3" s="80" t="s">
        <v>307</v>
      </c>
      <c r="L3" s="80" t="str" cm="1">
        <f t="array" ref="L3:M3">VLOOKUP(K3,'ETF Portfolio'!$A$8:$M$17,{12,13},0)</f>
        <v>3/24/2023</v>
      </c>
      <c r="M3" s="80" t="str">
        <v>3/31/2026</v>
      </c>
      <c r="O3" s="84" t="str">
        <f>VLOOKUP(K3,'ETF Portfolio'!$A$8:$B$17,2,0)</f>
        <v>CAT Bond</v>
      </c>
      <c r="P3" s="85">
        <f>VLOOKUP(C3,'ILS Data pull'!$C:$H,2,0)</f>
        <v>0</v>
      </c>
      <c r="Q3" s="85">
        <f>VLOOKUP(C3,'ILS Data pull'!$C:$H,4,0)</f>
        <v>16626000000</v>
      </c>
      <c r="R3" s="91">
        <f>VLOOKUP(K3,'ETF Portfolio'!$A$7:$U$17,21,0)</f>
        <v>250000</v>
      </c>
      <c r="T3" s="199">
        <f>VLOOKUP(K3,'ETF Portfolio'!$A$8:$T$17,20,0)</f>
        <v>102.8</v>
      </c>
      <c r="U3" s="86">
        <f>VLOOKUP(K3,'ETF Portfolio'!$A$8:$R$17,18,0)</f>
        <v>0.14878453999999999</v>
      </c>
      <c r="V3" s="84" t="str">
        <f>VLOOKUP(K3,'ETF Portfolio'!$A$8:$C$17,3,0)</f>
        <v>Buy</v>
      </c>
      <c r="W3" s="80">
        <f>VLOOKUP(K3,'ETF Portfolio'!$A$8:$E$17,4,0)</f>
        <v>45789</v>
      </c>
      <c r="X3" s="184"/>
      <c r="Y3" s="184"/>
      <c r="Z3" s="90">
        <f>R3/VLOOKUP(K3,'ILS Data pull'!$B:$H,7,0)</f>
        <v>5.0000000000000001E-4</v>
      </c>
      <c r="AA3" s="185">
        <f>VLOOKUP(K3,'ETF Portfolio'!$A$8:$Q$17,17,0)</f>
        <v>0.107284063065</v>
      </c>
      <c r="AB3" s="84">
        <v>0</v>
      </c>
      <c r="AC3" s="185">
        <f>VLOOKUP(K3,'ETF Portfolio'!$A$8:$AD$17,30,0)</f>
        <v>0.11713435</v>
      </c>
      <c r="AD3" s="84">
        <v>0</v>
      </c>
      <c r="AE3" s="84">
        <v>0</v>
      </c>
      <c r="AF3" s="84">
        <v>0</v>
      </c>
      <c r="AG3" s="84">
        <v>0</v>
      </c>
      <c r="AH3" s="84">
        <v>0</v>
      </c>
      <c r="AI3" s="80">
        <f t="shared" si="3"/>
        <v>45789</v>
      </c>
      <c r="AJ3" s="80">
        <f t="shared" si="4"/>
        <v>45789</v>
      </c>
      <c r="AK3" s="80">
        <f t="shared" si="5"/>
        <v>45789</v>
      </c>
      <c r="AL3" s="80">
        <f t="shared" si="6"/>
        <v>45789</v>
      </c>
      <c r="AM3" s="80">
        <f t="shared" si="7"/>
        <v>45789</v>
      </c>
      <c r="AN3" s="80" t="str">
        <f>VLOOKUP(K3,'ETF Portfolio'!$A$8:$K$17,11,0)</f>
        <v>Industry Loss Index</v>
      </c>
      <c r="AO3" s="80" t="str">
        <f>VLOOKUP(K3,'ETF Portfolio'!$A$8:$K$17,10,0)</f>
        <v>Aggregate</v>
      </c>
      <c r="AP3" s="84">
        <v>0</v>
      </c>
      <c r="AQ3" s="84">
        <v>0</v>
      </c>
      <c r="AR3" s="84">
        <v>0</v>
      </c>
      <c r="AS3" s="84">
        <v>1</v>
      </c>
      <c r="AV3" s="186"/>
    </row>
    <row r="4" spans="1:48" x14ac:dyDescent="0.3">
      <c r="A4" t="s">
        <v>474</v>
      </c>
      <c r="B4" t="s">
        <v>475</v>
      </c>
      <c r="C4" t="str">
        <f>VLOOKUP(K4,'ILS Data pull'!$B:$H,2,0)</f>
        <v>CB-Black Kite Re Ltd. Series 2025-1 Class A</v>
      </c>
      <c r="D4" t="str">
        <f t="shared" si="0"/>
        <v>2025-1</v>
      </c>
      <c r="E4" t="str">
        <f t="shared" si="1"/>
        <v>Class A</v>
      </c>
      <c r="F4" s="84" t="str">
        <f t="shared" si="2"/>
        <v/>
      </c>
      <c r="H4" s="84" t="s">
        <v>226</v>
      </c>
      <c r="I4" s="80" t="str">
        <f>VLOOKUP(K4,'ETF Portfolio'!$A$8:$K$17,9,0)</f>
        <v>Peak Re</v>
      </c>
      <c r="J4" s="183"/>
      <c r="K4" s="80" t="s">
        <v>328</v>
      </c>
      <c r="L4" s="80" t="str" cm="1">
        <f t="array" ref="L4:M4">VLOOKUP(K4,'ETF Portfolio'!$A$8:$M$17,{12,13},0)</f>
        <v>4/29/2025</v>
      </c>
      <c r="M4" s="80" t="str">
        <v>5/8/2028</v>
      </c>
      <c r="O4" s="84" t="str">
        <f>VLOOKUP(K4,'ETF Portfolio'!$A$8:$B$17,2,0)</f>
        <v>CAT Bond</v>
      </c>
      <c r="P4" s="85">
        <f>VLOOKUP(C4,'ILS Data pull'!$C:$H,2,0)</f>
        <v>0</v>
      </c>
      <c r="Q4" s="85">
        <f>VLOOKUP(C4,'ILS Data pull'!$C:$H,4,0)</f>
        <v>50000000</v>
      </c>
      <c r="R4" s="91">
        <f>VLOOKUP(K4,'ETF Portfolio'!$A$7:$U$17,21,0)</f>
        <v>250000</v>
      </c>
      <c r="T4" s="199">
        <f>VLOOKUP(K4,'ETF Portfolio'!$A$8:$T$17,20,0)</f>
        <v>104.65</v>
      </c>
      <c r="U4" s="86">
        <f>VLOOKUP(K4,'ETF Portfolio'!$A$8:$R$17,18,0)</f>
        <v>0.11890000000000001</v>
      </c>
      <c r="V4" s="84" t="str">
        <f>VLOOKUP(K4,'ETF Portfolio'!$A$8:$C$17,3,0)</f>
        <v>Buy</v>
      </c>
      <c r="W4" s="80">
        <f>VLOOKUP(K4,'ETF Portfolio'!$A$8:$E$17,4,0)</f>
        <v>45918</v>
      </c>
      <c r="Y4" s="184"/>
      <c r="Z4" s="90">
        <f>R4/VLOOKUP(K4,'ILS Data pull'!$B:$H,7,0)</f>
        <v>5.0000000000000001E-3</v>
      </c>
      <c r="AA4" s="185">
        <f>VLOOKUP(K4,'ETF Portfolio'!$A$8:$Q$17,17,0)</f>
        <v>7.9826155574328886E-2</v>
      </c>
      <c r="AB4" s="84">
        <v>0</v>
      </c>
      <c r="AC4" s="185">
        <f>VLOOKUP(K4,'ETF Portfolio'!$A$8:$AD$17,30,0)</f>
        <v>9.9497470000000005E-2</v>
      </c>
      <c r="AD4" s="84">
        <v>0</v>
      </c>
      <c r="AE4" s="84">
        <v>0</v>
      </c>
      <c r="AF4" s="84">
        <v>0</v>
      </c>
      <c r="AG4" s="84">
        <v>0</v>
      </c>
      <c r="AH4" s="84">
        <v>0</v>
      </c>
      <c r="AI4" s="80">
        <f t="shared" ref="AI4" si="8">W4</f>
        <v>45918</v>
      </c>
      <c r="AJ4" s="80">
        <f t="shared" ref="AJ4" si="9">AI4</f>
        <v>45918</v>
      </c>
      <c r="AK4" s="80">
        <f t="shared" ref="AK4" si="10">AJ4</f>
        <v>45918</v>
      </c>
      <c r="AL4" s="80">
        <f t="shared" ref="AL4" si="11">AK4</f>
        <v>45918</v>
      </c>
      <c r="AM4" s="80">
        <f t="shared" ref="AM4" si="12">AL4</f>
        <v>45918</v>
      </c>
      <c r="AN4" s="80" t="str">
        <f>VLOOKUP(K4,'ETF Portfolio'!$A$8:$K$17,11,0)</f>
        <v>Industry Loss Index</v>
      </c>
      <c r="AO4" s="80" t="str">
        <f>VLOOKUP(K4,'ETF Portfolio'!$A$8:$K$17,10,0)</f>
        <v>Occurrence</v>
      </c>
      <c r="AP4" s="84">
        <v>0</v>
      </c>
      <c r="AQ4" s="84">
        <v>0</v>
      </c>
      <c r="AR4" s="84">
        <v>0</v>
      </c>
      <c r="AS4" s="84">
        <v>1</v>
      </c>
      <c r="AT4" s="183"/>
      <c r="AU4" s="183"/>
    </row>
    <row r="5" spans="1:48" x14ac:dyDescent="0.3">
      <c r="A5" t="s">
        <v>489</v>
      </c>
      <c r="B5" t="s">
        <v>491</v>
      </c>
      <c r="C5" t="str">
        <f>VLOOKUP(K5,'ILS Data pull'!$B:$H,2,0)</f>
        <v>CB-Veraison Re Ltd. Series 2025-1 Class B</v>
      </c>
      <c r="D5" t="str">
        <f t="shared" ref="D5:D6" si="13">MID(C5,FIND("Series",C5)+7,FIND("Class",C5)-FIND("Series",C5)-8)</f>
        <v>2025-1</v>
      </c>
      <c r="E5" t="str">
        <f t="shared" ref="E5:E6" si="14">IF(ISNUMBER(FIND("Reset",C5)),MID(C5,FIND("Class",C5),FIND("Reset",C5)-FIND("Class",C5)-1),TRIM(MID(C5,FIND("Class",C5),LEN(C5)-FIND("Class",C5)+1)))</f>
        <v>Class B</v>
      </c>
      <c r="F5" s="84" t="str">
        <f t="shared" ref="F5:F6" si="15">IF(ISNUMBER(FIND("Reset",C5)), MID(C5,FIND("Reset",C5)+6,4), "")</f>
        <v/>
      </c>
      <c r="H5" s="84" t="s">
        <v>226</v>
      </c>
      <c r="I5" s="80" t="str">
        <f>VLOOKUP(K5,'ETF Portfolio'!$A$8:$K$17,9,0)</f>
        <v>GeoVera</v>
      </c>
      <c r="K5" t="s">
        <v>326</v>
      </c>
      <c r="L5" s="80" t="str" cm="1">
        <f t="array" ref="L5:M5">VLOOKUP(K5,'ETF Portfolio'!$A$8:$M$17,{12,13},0)</f>
        <v>2/5/2025</v>
      </c>
      <c r="M5" s="80" t="str">
        <v>3/8/2028</v>
      </c>
      <c r="O5" s="84" t="str">
        <f>VLOOKUP(K5,'ETF Portfolio'!$A$8:$B$17,2,0)</f>
        <v>CAT Bond</v>
      </c>
      <c r="P5" s="85">
        <f>VLOOKUP(C5,'ILS Data pull'!$C:$H,2,0)</f>
        <v>0</v>
      </c>
      <c r="Q5" s="85">
        <f>VLOOKUP(C5,'ILS Data pull'!$C:$H,4,0)</f>
        <v>150000000</v>
      </c>
      <c r="R5" s="91">
        <f>VLOOKUP(K5,'ETF Portfolio'!$A$7:$U$17,21,0)</f>
        <v>250000</v>
      </c>
      <c r="T5" s="199">
        <f>VLOOKUP(K5,'ETF Portfolio'!$A$8:$T$17,20,0)</f>
        <v>101.25</v>
      </c>
      <c r="U5" s="86">
        <f>VLOOKUP(K5,'ETF Portfolio'!$A$8:$R$17,18,0)</f>
        <v>8.8784539999999995E-2</v>
      </c>
      <c r="V5" s="84" t="str">
        <f>VLOOKUP(K5,'ETF Portfolio'!$A$8:$C$17,3,0)</f>
        <v>Buy</v>
      </c>
      <c r="W5" s="80">
        <f>VLOOKUP(K5,'ETF Portfolio'!$A$8:$E$17,4,0)</f>
        <v>45957</v>
      </c>
      <c r="Y5" s="184"/>
      <c r="Z5" s="90">
        <f>R5/VLOOKUP(K5,'ILS Data pull'!$B:$H,7,0)</f>
        <v>1.6666666666666668E-3</v>
      </c>
      <c r="AA5" s="185">
        <f>VLOOKUP(K5,'ETF Portfolio'!$A$8:$Q$17,17,0)</f>
        <v>4.9959879564915204E-2</v>
      </c>
      <c r="AB5" s="84">
        <v>0</v>
      </c>
      <c r="AC5" s="185">
        <f>VLOOKUP(K5,'ETF Portfolio'!$A$8:$AD$17,30,0)</f>
        <v>8.3334779999999997E-2</v>
      </c>
      <c r="AD5" s="84">
        <v>0</v>
      </c>
      <c r="AE5" s="84">
        <v>0</v>
      </c>
      <c r="AF5" s="84">
        <v>0</v>
      </c>
      <c r="AG5" s="84">
        <v>0</v>
      </c>
      <c r="AH5" s="84">
        <v>0</v>
      </c>
      <c r="AI5" s="80">
        <f t="shared" ref="AI5:AI6" si="16">W5</f>
        <v>45957</v>
      </c>
      <c r="AJ5" s="80">
        <f t="shared" ref="AJ5:AJ6" si="17">AI5</f>
        <v>45957</v>
      </c>
      <c r="AK5" s="80">
        <f t="shared" ref="AK5:AK6" si="18">AJ5</f>
        <v>45957</v>
      </c>
      <c r="AL5" s="80">
        <f t="shared" ref="AL5:AL6" si="19">AK5</f>
        <v>45957</v>
      </c>
      <c r="AM5" s="80">
        <f t="shared" ref="AM5:AM6" si="20">AL5</f>
        <v>45957</v>
      </c>
      <c r="AN5" s="80" t="str">
        <f>VLOOKUP(K5,'ETF Portfolio'!$A$8:$K$17,11,0)</f>
        <v>Indemnity</v>
      </c>
      <c r="AO5" s="80" t="str">
        <f>VLOOKUP(K5,'ETF Portfolio'!$A$8:$K$17,10,0)</f>
        <v>Occurrence</v>
      </c>
      <c r="AP5" s="84">
        <v>0</v>
      </c>
      <c r="AQ5" s="84">
        <v>0</v>
      </c>
      <c r="AR5" s="84">
        <v>0</v>
      </c>
      <c r="AS5" s="84">
        <v>1</v>
      </c>
      <c r="AT5" s="183"/>
      <c r="AU5" s="183"/>
    </row>
    <row r="6" spans="1:48" x14ac:dyDescent="0.3">
      <c r="A6" t="s">
        <v>490</v>
      </c>
      <c r="B6" t="s">
        <v>492</v>
      </c>
      <c r="C6" t="str">
        <f>VLOOKUP(K6,'ILS Data pull'!$B:$H,2,0)</f>
        <v>CB-Bonanza Re Ltd. Series 2024-1 Class C</v>
      </c>
      <c r="D6" t="str">
        <f t="shared" si="13"/>
        <v>2024-1</v>
      </c>
      <c r="E6" t="str">
        <f t="shared" si="14"/>
        <v>Class C</v>
      </c>
      <c r="F6" s="84" t="str">
        <f t="shared" si="15"/>
        <v/>
      </c>
      <c r="H6" s="84" t="s">
        <v>226</v>
      </c>
      <c r="I6" s="80" t="str">
        <f>VLOOKUP(K6,'ETF Portfolio'!$A$8:$K$17,9,0)</f>
        <v>Progressive</v>
      </c>
      <c r="K6" t="s">
        <v>330</v>
      </c>
      <c r="L6" s="80" t="str" cm="1">
        <f t="array" ref="L6:M6">VLOOKUP(K6,'ETF Portfolio'!$A$8:$M$17,{12,13},0)</f>
        <v>12/19/2024</v>
      </c>
      <c r="M6" s="80" t="str">
        <v>12/19/2027</v>
      </c>
      <c r="O6" s="84" t="str">
        <f>VLOOKUP(K6,'ETF Portfolio'!$A$8:$B$17,2,0)</f>
        <v>CAT Bond</v>
      </c>
      <c r="P6" s="85">
        <f>VLOOKUP(C6,'ILS Data pull'!$C:$H,2,0)</f>
        <v>0</v>
      </c>
      <c r="Q6" s="85">
        <f>VLOOKUP(C6,'ILS Data pull'!$C:$H,4,0)</f>
        <v>200000000</v>
      </c>
      <c r="R6" s="91">
        <f>VLOOKUP(K6,'ETF Portfolio'!$A$7:$U$17,21,0)</f>
        <v>500000</v>
      </c>
      <c r="T6" s="199">
        <f>VLOOKUP(K6,'ETF Portfolio'!$A$8:$T$17,20,0)</f>
        <v>102.9</v>
      </c>
      <c r="U6" s="86">
        <f>VLOOKUP(K6,'ETF Portfolio'!$A$8:$R$17,18,0)</f>
        <v>9.35E-2</v>
      </c>
      <c r="V6" s="84" t="str">
        <f>VLOOKUP(K6,'ETF Portfolio'!$A$8:$C$17,3,0)</f>
        <v>Buy</v>
      </c>
      <c r="W6" s="80">
        <f>VLOOKUP(K6,'ETF Portfolio'!$A$8:$E$17,4,0)</f>
        <v>45966</v>
      </c>
      <c r="Y6" s="184"/>
      <c r="Z6" s="90">
        <f>R6/VLOOKUP(K6,'ILS Data pull'!$B:$H,7,0)</f>
        <v>2.5000000000000001E-3</v>
      </c>
      <c r="AA6" s="185">
        <f>VLOOKUP(K6,'ETF Portfolio'!$A$8:$Q$17,17,0)</f>
        <v>5.610743814497457E-2</v>
      </c>
      <c r="AB6" s="84">
        <v>0</v>
      </c>
      <c r="AC6" s="185">
        <f>VLOOKUP(K6,'ETF Portfolio'!$A$8:$AD$17,30,0)</f>
        <v>7.9524259999999999E-2</v>
      </c>
      <c r="AD6" s="84">
        <v>0</v>
      </c>
      <c r="AE6" s="84">
        <v>0</v>
      </c>
      <c r="AF6" s="84">
        <v>0</v>
      </c>
      <c r="AG6" s="84">
        <v>0</v>
      </c>
      <c r="AH6" s="84">
        <v>0</v>
      </c>
      <c r="AI6" s="80">
        <f t="shared" si="16"/>
        <v>45966</v>
      </c>
      <c r="AJ6" s="80">
        <f t="shared" si="17"/>
        <v>45966</v>
      </c>
      <c r="AK6" s="80">
        <f t="shared" si="18"/>
        <v>45966</v>
      </c>
      <c r="AL6" s="80">
        <f t="shared" si="19"/>
        <v>45966</v>
      </c>
      <c r="AM6" s="80">
        <f t="shared" si="20"/>
        <v>45966</v>
      </c>
      <c r="AN6" s="80" t="str">
        <f>VLOOKUP(K6,'ETF Portfolio'!$A$8:$K$17,11,0)</f>
        <v>Indemnity</v>
      </c>
      <c r="AO6" s="80" t="str">
        <f>VLOOKUP(K6,'ETF Portfolio'!$A$8:$K$17,10,0)</f>
        <v>Occurrence</v>
      </c>
      <c r="AP6" s="84">
        <v>0</v>
      </c>
      <c r="AQ6" s="84">
        <v>0</v>
      </c>
      <c r="AR6" s="84">
        <v>0</v>
      </c>
      <c r="AS6" s="84">
        <v>1</v>
      </c>
      <c r="AT6" s="183"/>
      <c r="AU6" s="183"/>
    </row>
  </sheetData>
  <phoneticPr fontId="18" type="noConversion"/>
  <pageMargins left="0.7" right="0.7" top="0.75" bottom="0.75" header="0.3" footer="0.3"/>
  <pageSetup orientation="portrait" horizontalDpi="90" verticalDpi="9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zoomScale="85" zoomScaleNormal="85" workbookViewId="0">
      <selection activeCell="C20" sqref="C20"/>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183</v>
      </c>
      <c r="C1" s="8" t="s">
        <v>1</v>
      </c>
      <c r="D1" s="8" t="s">
        <v>97</v>
      </c>
      <c r="E1" s="8" t="s">
        <v>201</v>
      </c>
      <c r="F1" s="8" t="s">
        <v>46</v>
      </c>
      <c r="G1" s="8" t="s">
        <v>78</v>
      </c>
      <c r="H1" s="9" t="s">
        <v>70</v>
      </c>
      <c r="AB1" t="s">
        <v>202</v>
      </c>
    </row>
    <row r="2" spans="1:28" ht="15" thickBot="1" x14ac:dyDescent="0.35">
      <c r="A2" s="6">
        <v>1</v>
      </c>
      <c r="B2" s="12" t="s">
        <v>184</v>
      </c>
      <c r="C2" s="12" t="s">
        <v>476</v>
      </c>
      <c r="D2" s="73">
        <v>17000000</v>
      </c>
      <c r="E2" s="73">
        <v>12079741.700000001</v>
      </c>
      <c r="F2" s="12" t="s">
        <v>28</v>
      </c>
      <c r="G2" s="16">
        <v>45947</v>
      </c>
      <c r="H2" s="13"/>
      <c r="AB2" t="s">
        <v>184</v>
      </c>
    </row>
    <row r="3" spans="1:28" x14ac:dyDescent="0.3">
      <c r="D3" s="88"/>
    </row>
    <row r="4" spans="1:28" x14ac:dyDescent="0.3">
      <c r="A4" s="4"/>
      <c r="B4" s="4"/>
      <c r="D4" s="1"/>
      <c r="E4" s="4"/>
    </row>
    <row r="5" spans="1:28" x14ac:dyDescent="0.3">
      <c r="A5" t="s">
        <v>256</v>
      </c>
      <c r="D5" s="1"/>
    </row>
    <row r="6" spans="1:28" x14ac:dyDescent="0.3">
      <c r="D6" s="1"/>
    </row>
    <row r="7" spans="1:28" x14ac:dyDescent="0.3">
      <c r="D7" s="1"/>
    </row>
    <row r="8" spans="1:28" x14ac:dyDescent="0.3">
      <c r="D8" s="1"/>
    </row>
    <row r="9" spans="1:28" x14ac:dyDescent="0.3">
      <c r="D9" s="1"/>
    </row>
    <row r="13" spans="1:28" x14ac:dyDescent="0.3">
      <c r="A13" s="1"/>
      <c r="B13" s="1" t="s">
        <v>20</v>
      </c>
    </row>
    <row r="14" spans="1:28" x14ac:dyDescent="0.3">
      <c r="A14" s="1"/>
      <c r="B14" s="1" t="s">
        <v>183</v>
      </c>
      <c r="C14" t="s">
        <v>496</v>
      </c>
    </row>
    <row r="15" spans="1:28" x14ac:dyDescent="0.3">
      <c r="A15" s="1"/>
      <c r="B15" s="1" t="s">
        <v>1</v>
      </c>
      <c r="C15" t="s">
        <v>497</v>
      </c>
    </row>
    <row r="16" spans="1:28" x14ac:dyDescent="0.3">
      <c r="A16" s="1"/>
      <c r="B16" s="1" t="s">
        <v>97</v>
      </c>
      <c r="C16" t="s">
        <v>498</v>
      </c>
    </row>
    <row r="17" spans="1:3" x14ac:dyDescent="0.3">
      <c r="A17" s="1"/>
      <c r="B17" s="1" t="s">
        <v>201</v>
      </c>
      <c r="C17" t="s">
        <v>499</v>
      </c>
    </row>
    <row r="18" spans="1:3" x14ac:dyDescent="0.3">
      <c r="A18" s="1"/>
      <c r="B18" s="1" t="s">
        <v>46</v>
      </c>
    </row>
    <row r="19" spans="1:3" x14ac:dyDescent="0.3">
      <c r="A19" s="1"/>
      <c r="B19" s="1" t="s">
        <v>78</v>
      </c>
      <c r="C19" t="s">
        <v>500</v>
      </c>
    </row>
    <row r="20" spans="1:3" x14ac:dyDescent="0.3">
      <c r="A20" s="1"/>
      <c r="B20" s="1" t="s">
        <v>70</v>
      </c>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G19" sqref="G19"/>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218</v>
      </c>
      <c r="K1" s="28" t="s">
        <v>222</v>
      </c>
      <c r="L1" s="28" t="s">
        <v>220</v>
      </c>
      <c r="M1" s="29" t="s">
        <v>221</v>
      </c>
    </row>
    <row r="2" spans="1:13" ht="15" thickBot="1" x14ac:dyDescent="0.35">
      <c r="A2" s="82">
        <v>1.2E-2</v>
      </c>
      <c r="B2" s="23">
        <v>0</v>
      </c>
      <c r="C2" s="23">
        <v>0</v>
      </c>
      <c r="D2" s="24">
        <v>0</v>
      </c>
      <c r="E2" s="25">
        <v>0</v>
      </c>
      <c r="F2" s="79">
        <v>0</v>
      </c>
      <c r="G2" s="26">
        <v>0</v>
      </c>
      <c r="H2" s="81">
        <v>3.8E-3</v>
      </c>
      <c r="I2" s="13" t="s">
        <v>166</v>
      </c>
      <c r="J2" s="79">
        <v>3.95E-2</v>
      </c>
      <c r="K2" s="26">
        <v>0</v>
      </c>
      <c r="L2" s="26">
        <v>0</v>
      </c>
      <c r="M2" s="83">
        <v>0</v>
      </c>
    </row>
  </sheetData>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279"/>
  <sheetViews>
    <sheetView zoomScaleNormal="100" workbookViewId="0">
      <selection activeCell="B6" sqref="B6"/>
    </sheetView>
  </sheetViews>
  <sheetFormatPr defaultColWidth="24.6640625" defaultRowHeight="14.4" x14ac:dyDescent="0.3"/>
  <cols>
    <col min="1" max="1" width="10" bestFit="1" customWidth="1"/>
    <col min="2" max="2" width="29.109375" bestFit="1" customWidth="1"/>
    <col min="3" max="3" width="57.5546875" bestFit="1" customWidth="1"/>
    <col min="4" max="4" width="57.5546875" customWidth="1"/>
    <col min="5" max="5" width="66" bestFit="1" customWidth="1"/>
  </cols>
  <sheetData>
    <row r="1" spans="1:6" x14ac:dyDescent="0.3">
      <c r="A1" s="1" t="s">
        <v>30</v>
      </c>
      <c r="B1" s="1" t="s">
        <v>111</v>
      </c>
      <c r="C1" s="1" t="s">
        <v>109</v>
      </c>
      <c r="D1" s="1" t="s">
        <v>110</v>
      </c>
      <c r="E1" s="1" t="s">
        <v>76</v>
      </c>
      <c r="F1" s="1"/>
    </row>
    <row r="2" spans="1:6" x14ac:dyDescent="0.3">
      <c r="A2" s="21"/>
      <c r="D2" s="43"/>
    </row>
    <row r="3" spans="1:6" x14ac:dyDescent="0.3">
      <c r="A3" s="21"/>
      <c r="D3" s="43"/>
    </row>
    <row r="4" spans="1:6" x14ac:dyDescent="0.3">
      <c r="A4" s="21"/>
      <c r="D4" s="43"/>
    </row>
    <row r="5" spans="1:6" x14ac:dyDescent="0.3">
      <c r="A5" s="21"/>
      <c r="D5" s="43"/>
    </row>
    <row r="6" spans="1:6" x14ac:dyDescent="0.3">
      <c r="A6" s="21"/>
      <c r="D6" s="43"/>
    </row>
    <row r="7" spans="1:6" x14ac:dyDescent="0.3">
      <c r="A7" s="21"/>
      <c r="D7" s="43"/>
    </row>
    <row r="8" spans="1:6" x14ac:dyDescent="0.3">
      <c r="A8" s="21"/>
      <c r="D8" s="43"/>
    </row>
    <row r="9" spans="1:6" x14ac:dyDescent="0.3">
      <c r="A9" s="21"/>
      <c r="D9" s="43"/>
    </row>
    <row r="10" spans="1:6" x14ac:dyDescent="0.3">
      <c r="A10" s="21"/>
      <c r="D10" s="43"/>
    </row>
    <row r="11" spans="1:6" x14ac:dyDescent="0.3">
      <c r="A11" s="21"/>
      <c r="D11" s="43"/>
    </row>
    <row r="12" spans="1:6" x14ac:dyDescent="0.3">
      <c r="A12" s="21"/>
      <c r="D12" s="43"/>
    </row>
    <row r="13" spans="1:6" x14ac:dyDescent="0.3">
      <c r="A13" s="21"/>
      <c r="D13" s="43"/>
    </row>
    <row r="14" spans="1:6" x14ac:dyDescent="0.3">
      <c r="A14" s="21"/>
      <c r="D14" s="43"/>
    </row>
    <row r="15" spans="1:6" x14ac:dyDescent="0.3">
      <c r="A15" s="21"/>
      <c r="D15" s="43"/>
    </row>
    <row r="16" spans="1:6" x14ac:dyDescent="0.3">
      <c r="A16" s="21"/>
      <c r="D16" s="43"/>
    </row>
    <row r="17" spans="1:4" x14ac:dyDescent="0.3">
      <c r="A17" s="21"/>
      <c r="D17" s="43"/>
    </row>
    <row r="18" spans="1:4" x14ac:dyDescent="0.3">
      <c r="A18" s="21"/>
      <c r="D18" s="43"/>
    </row>
    <row r="19" spans="1:4" x14ac:dyDescent="0.3">
      <c r="A19" s="21"/>
      <c r="D19" s="43"/>
    </row>
    <row r="20" spans="1:4" x14ac:dyDescent="0.3">
      <c r="A20" s="21"/>
      <c r="D20" s="43"/>
    </row>
    <row r="21" spans="1:4" x14ac:dyDescent="0.3">
      <c r="A21" s="21"/>
      <c r="D21" s="43"/>
    </row>
    <row r="22" spans="1:4" x14ac:dyDescent="0.3">
      <c r="A22" s="21"/>
      <c r="D22" s="43"/>
    </row>
    <row r="23" spans="1:4" x14ac:dyDescent="0.3">
      <c r="A23" s="21"/>
      <c r="D23" s="43"/>
    </row>
    <row r="24" spans="1:4" x14ac:dyDescent="0.3">
      <c r="A24" s="21"/>
      <c r="D24" s="43"/>
    </row>
    <row r="25" spans="1:4" x14ac:dyDescent="0.3">
      <c r="A25" s="21"/>
      <c r="D25" s="43"/>
    </row>
    <row r="26" spans="1:4" x14ac:dyDescent="0.3">
      <c r="A26" s="21"/>
      <c r="D26" s="43"/>
    </row>
    <row r="27" spans="1:4" x14ac:dyDescent="0.3">
      <c r="A27" s="21"/>
      <c r="D27" s="43"/>
    </row>
    <row r="28" spans="1:4" x14ac:dyDescent="0.3">
      <c r="A28" s="21"/>
      <c r="D28" s="43"/>
    </row>
    <row r="29" spans="1:4" x14ac:dyDescent="0.3">
      <c r="A29" s="21"/>
      <c r="D29" s="43"/>
    </row>
    <row r="30" spans="1:4" x14ac:dyDescent="0.3">
      <c r="D30" s="74"/>
    </row>
    <row r="31" spans="1:4" x14ac:dyDescent="0.3">
      <c r="D31" s="74"/>
    </row>
    <row r="32" spans="1:4" x14ac:dyDescent="0.3">
      <c r="D32" s="74"/>
    </row>
    <row r="33" spans="4:4" x14ac:dyDescent="0.3">
      <c r="D33" s="74"/>
    </row>
    <row r="34" spans="4:4" x14ac:dyDescent="0.3">
      <c r="D34" s="74"/>
    </row>
    <row r="35" spans="4:4" x14ac:dyDescent="0.3">
      <c r="D35" s="74"/>
    </row>
    <row r="36" spans="4:4" x14ac:dyDescent="0.3">
      <c r="D36" s="74"/>
    </row>
    <row r="37" spans="4:4" x14ac:dyDescent="0.3">
      <c r="D37" s="74"/>
    </row>
    <row r="38" spans="4:4" x14ac:dyDescent="0.3">
      <c r="D38" s="74"/>
    </row>
    <row r="39" spans="4:4" x14ac:dyDescent="0.3">
      <c r="D39" s="74"/>
    </row>
    <row r="40" spans="4:4" x14ac:dyDescent="0.3">
      <c r="D40" s="74"/>
    </row>
    <row r="41" spans="4:4" x14ac:dyDescent="0.3">
      <c r="D41" s="74"/>
    </row>
    <row r="42" spans="4:4" x14ac:dyDescent="0.3">
      <c r="D42" s="74"/>
    </row>
    <row r="43" spans="4:4" x14ac:dyDescent="0.3">
      <c r="D43" s="74"/>
    </row>
    <row r="44" spans="4:4" x14ac:dyDescent="0.3">
      <c r="D44" s="74"/>
    </row>
    <row r="45" spans="4:4" x14ac:dyDescent="0.3">
      <c r="D45" s="74"/>
    </row>
    <row r="46" spans="4:4" x14ac:dyDescent="0.3">
      <c r="D46" s="74"/>
    </row>
    <row r="47" spans="4:4" x14ac:dyDescent="0.3">
      <c r="D47" s="74"/>
    </row>
    <row r="48" spans="4:4" x14ac:dyDescent="0.3">
      <c r="D48" s="74"/>
    </row>
    <row r="49" spans="1:4" x14ac:dyDescent="0.3">
      <c r="D49" s="74"/>
    </row>
    <row r="50" spans="1:4" x14ac:dyDescent="0.3">
      <c r="D50" s="74"/>
    </row>
    <row r="51" spans="1:4" x14ac:dyDescent="0.3">
      <c r="D51" s="74"/>
    </row>
    <row r="52" spans="1:4" x14ac:dyDescent="0.3">
      <c r="D52" s="74"/>
    </row>
    <row r="53" spans="1:4" x14ac:dyDescent="0.3">
      <c r="A53" s="76"/>
      <c r="D53" s="74"/>
    </row>
    <row r="54" spans="1:4" x14ac:dyDescent="0.3">
      <c r="A54" s="76"/>
      <c r="D54" s="74"/>
    </row>
    <row r="55" spans="1:4" x14ac:dyDescent="0.3">
      <c r="A55" s="76"/>
      <c r="D55" s="74"/>
    </row>
    <row r="56" spans="1:4" x14ac:dyDescent="0.3">
      <c r="A56" s="76"/>
      <c r="D56" s="74"/>
    </row>
    <row r="57" spans="1:4" x14ac:dyDescent="0.3">
      <c r="A57" s="76"/>
      <c r="D57" s="74"/>
    </row>
    <row r="58" spans="1:4" x14ac:dyDescent="0.3">
      <c r="A58" s="76"/>
      <c r="D58" s="74"/>
    </row>
    <row r="59" spans="1:4" x14ac:dyDescent="0.3">
      <c r="A59" s="76"/>
      <c r="D59" s="74"/>
    </row>
    <row r="60" spans="1:4" x14ac:dyDescent="0.3">
      <c r="A60" s="76"/>
      <c r="D60" s="74"/>
    </row>
    <row r="61" spans="1:4" x14ac:dyDescent="0.3">
      <c r="D61" s="74"/>
    </row>
    <row r="62" spans="1:4" x14ac:dyDescent="0.3">
      <c r="D62" s="74"/>
    </row>
    <row r="63" spans="1:4" x14ac:dyDescent="0.3">
      <c r="D63" s="74"/>
    </row>
    <row r="64" spans="1:4" x14ac:dyDescent="0.3">
      <c r="D64" s="74"/>
    </row>
    <row r="65" spans="4:4" x14ac:dyDescent="0.3">
      <c r="D65" s="74"/>
    </row>
    <row r="66" spans="4:4" x14ac:dyDescent="0.3">
      <c r="D66" s="74"/>
    </row>
    <row r="67" spans="4:4" x14ac:dyDescent="0.3">
      <c r="D67" s="74"/>
    </row>
    <row r="68" spans="4:4" x14ac:dyDescent="0.3">
      <c r="D68" s="74"/>
    </row>
    <row r="69" spans="4:4" x14ac:dyDescent="0.3">
      <c r="D69" s="74"/>
    </row>
    <row r="70" spans="4:4" x14ac:dyDescent="0.3">
      <c r="D70" s="74"/>
    </row>
    <row r="71" spans="4:4" x14ac:dyDescent="0.3">
      <c r="D71" s="74"/>
    </row>
    <row r="72" spans="4:4" x14ac:dyDescent="0.3">
      <c r="D72" s="74"/>
    </row>
    <row r="73" spans="4:4" x14ac:dyDescent="0.3">
      <c r="D73" s="74"/>
    </row>
    <row r="74" spans="4:4" x14ac:dyDescent="0.3">
      <c r="D74" s="74"/>
    </row>
    <row r="75" spans="4:4" x14ac:dyDescent="0.3">
      <c r="D75" s="74"/>
    </row>
    <row r="76" spans="4:4" x14ac:dyDescent="0.3">
      <c r="D76" s="74"/>
    </row>
    <row r="77" spans="4:4" x14ac:dyDescent="0.3">
      <c r="D77" s="74"/>
    </row>
    <row r="78" spans="4:4" x14ac:dyDescent="0.3">
      <c r="D78" s="74"/>
    </row>
    <row r="79" spans="4:4" x14ac:dyDescent="0.3">
      <c r="D79" s="74"/>
    </row>
    <row r="80" spans="4:4" x14ac:dyDescent="0.3">
      <c r="D80" s="74"/>
    </row>
    <row r="81" spans="4:4" x14ac:dyDescent="0.3">
      <c r="D81" s="74"/>
    </row>
    <row r="82" spans="4:4" x14ac:dyDescent="0.3">
      <c r="D82" s="74"/>
    </row>
    <row r="83" spans="4:4" x14ac:dyDescent="0.3">
      <c r="D83" s="74"/>
    </row>
    <row r="84" spans="4:4" x14ac:dyDescent="0.3">
      <c r="D84" s="74"/>
    </row>
    <row r="85" spans="4:4" x14ac:dyDescent="0.3">
      <c r="D85" s="74"/>
    </row>
    <row r="86" spans="4:4" x14ac:dyDescent="0.3">
      <c r="D86" s="74"/>
    </row>
    <row r="87" spans="4:4" x14ac:dyDescent="0.3">
      <c r="D87" s="74"/>
    </row>
    <row r="88" spans="4:4" x14ac:dyDescent="0.3">
      <c r="D88" s="74"/>
    </row>
    <row r="89" spans="4:4" x14ac:dyDescent="0.3">
      <c r="D89" s="74"/>
    </row>
    <row r="90" spans="4:4" x14ac:dyDescent="0.3">
      <c r="D90" s="74"/>
    </row>
    <row r="91" spans="4:4" x14ac:dyDescent="0.3">
      <c r="D91" s="74"/>
    </row>
    <row r="92" spans="4:4" x14ac:dyDescent="0.3">
      <c r="D92" s="74"/>
    </row>
    <row r="93" spans="4:4" x14ac:dyDescent="0.3">
      <c r="D93" s="74"/>
    </row>
    <row r="94" spans="4:4" x14ac:dyDescent="0.3">
      <c r="D94" s="74"/>
    </row>
    <row r="95" spans="4:4" x14ac:dyDescent="0.3">
      <c r="D95" s="74"/>
    </row>
    <row r="96" spans="4:4" x14ac:dyDescent="0.3">
      <c r="D96" s="74"/>
    </row>
    <row r="97" spans="4:4" x14ac:dyDescent="0.3">
      <c r="D97" s="74"/>
    </row>
    <row r="98" spans="4:4" x14ac:dyDescent="0.3">
      <c r="D98" s="74"/>
    </row>
    <row r="99" spans="4:4" x14ac:dyDescent="0.3">
      <c r="D99" s="74"/>
    </row>
    <row r="100" spans="4:4" x14ac:dyDescent="0.3">
      <c r="D100" s="74"/>
    </row>
    <row r="101" spans="4:4" x14ac:dyDescent="0.3">
      <c r="D101" s="74"/>
    </row>
    <row r="102" spans="4:4" x14ac:dyDescent="0.3">
      <c r="D102" s="74"/>
    </row>
    <row r="103" spans="4:4" x14ac:dyDescent="0.3">
      <c r="D103" s="74"/>
    </row>
    <row r="104" spans="4:4" x14ac:dyDescent="0.3">
      <c r="D104" s="74"/>
    </row>
    <row r="105" spans="4:4" x14ac:dyDescent="0.3">
      <c r="D105" s="74"/>
    </row>
    <row r="106" spans="4:4" x14ac:dyDescent="0.3">
      <c r="D106" s="74"/>
    </row>
    <row r="107" spans="4:4" x14ac:dyDescent="0.3">
      <c r="D107" s="74"/>
    </row>
    <row r="108" spans="4:4" x14ac:dyDescent="0.3">
      <c r="D108" s="74"/>
    </row>
    <row r="109" spans="4:4" x14ac:dyDescent="0.3">
      <c r="D109" s="74"/>
    </row>
    <row r="110" spans="4:4" x14ac:dyDescent="0.3">
      <c r="D110" s="74"/>
    </row>
    <row r="111" spans="4:4" x14ac:dyDescent="0.3">
      <c r="D111" s="74"/>
    </row>
    <row r="112" spans="4:4" x14ac:dyDescent="0.3">
      <c r="D112" s="74"/>
    </row>
    <row r="113" spans="4:4" x14ac:dyDescent="0.3">
      <c r="D113" s="74"/>
    </row>
    <row r="114" spans="4:4" x14ac:dyDescent="0.3">
      <c r="D114" s="74"/>
    </row>
    <row r="115" spans="4:4" x14ac:dyDescent="0.3">
      <c r="D115" s="74"/>
    </row>
    <row r="116" spans="4:4" x14ac:dyDescent="0.3">
      <c r="D116" s="74"/>
    </row>
    <row r="117" spans="4:4" x14ac:dyDescent="0.3">
      <c r="D117" s="74"/>
    </row>
    <row r="118" spans="4:4" x14ac:dyDescent="0.3">
      <c r="D118" s="74"/>
    </row>
    <row r="119" spans="4:4" x14ac:dyDescent="0.3">
      <c r="D119" s="74"/>
    </row>
    <row r="120" spans="4:4" x14ac:dyDescent="0.3">
      <c r="D120" s="74"/>
    </row>
    <row r="121" spans="4:4" x14ac:dyDescent="0.3">
      <c r="D121" s="74"/>
    </row>
    <row r="122" spans="4:4" x14ac:dyDescent="0.3">
      <c r="D122" s="74"/>
    </row>
    <row r="123" spans="4:4" x14ac:dyDescent="0.3">
      <c r="D123" s="74"/>
    </row>
    <row r="124" spans="4:4" x14ac:dyDescent="0.3">
      <c r="D124" s="74"/>
    </row>
    <row r="125" spans="4:4" x14ac:dyDescent="0.3">
      <c r="D125" s="74"/>
    </row>
    <row r="126" spans="4:4" x14ac:dyDescent="0.3">
      <c r="D126" s="74"/>
    </row>
    <row r="127" spans="4:4" x14ac:dyDescent="0.3">
      <c r="D127" s="74"/>
    </row>
    <row r="128" spans="4:4" x14ac:dyDescent="0.3">
      <c r="D128" s="74"/>
    </row>
    <row r="129" spans="4:4" x14ac:dyDescent="0.3">
      <c r="D129" s="74"/>
    </row>
    <row r="130" spans="4:4" x14ac:dyDescent="0.3">
      <c r="D130" s="74"/>
    </row>
    <row r="131" spans="4:4" x14ac:dyDescent="0.3">
      <c r="D131" s="74"/>
    </row>
    <row r="132" spans="4:4" x14ac:dyDescent="0.3">
      <c r="D132" s="74"/>
    </row>
    <row r="133" spans="4:4" x14ac:dyDescent="0.3">
      <c r="D133" s="74"/>
    </row>
    <row r="134" spans="4:4" x14ac:dyDescent="0.3">
      <c r="D134" s="74"/>
    </row>
    <row r="135" spans="4:4" x14ac:dyDescent="0.3">
      <c r="D135" s="74"/>
    </row>
    <row r="136" spans="4:4" x14ac:dyDescent="0.3">
      <c r="D136" s="74"/>
    </row>
    <row r="137" spans="4:4" x14ac:dyDescent="0.3">
      <c r="D137" s="74"/>
    </row>
    <row r="138" spans="4:4" x14ac:dyDescent="0.3">
      <c r="D138" s="74"/>
    </row>
    <row r="139" spans="4:4" x14ac:dyDescent="0.3">
      <c r="D139" s="74"/>
    </row>
    <row r="140" spans="4:4" x14ac:dyDescent="0.3">
      <c r="D140" s="74"/>
    </row>
    <row r="141" spans="4:4" x14ac:dyDescent="0.3">
      <c r="D141" s="74"/>
    </row>
    <row r="142" spans="4:4" x14ac:dyDescent="0.3">
      <c r="D142" s="74"/>
    </row>
    <row r="143" spans="4:4" x14ac:dyDescent="0.3">
      <c r="D143" s="74"/>
    </row>
    <row r="144" spans="4:4" x14ac:dyDescent="0.3">
      <c r="D144" s="74"/>
    </row>
    <row r="145" spans="4:4" x14ac:dyDescent="0.3">
      <c r="D145" s="74"/>
    </row>
    <row r="146" spans="4:4" x14ac:dyDescent="0.3">
      <c r="D146" s="74"/>
    </row>
    <row r="147" spans="4:4" x14ac:dyDescent="0.3">
      <c r="D147" s="74"/>
    </row>
    <row r="148" spans="4:4" x14ac:dyDescent="0.3">
      <c r="D148" s="74"/>
    </row>
    <row r="149" spans="4:4" x14ac:dyDescent="0.3">
      <c r="D149" s="74"/>
    </row>
    <row r="150" spans="4:4" x14ac:dyDescent="0.3">
      <c r="D150" s="74"/>
    </row>
    <row r="151" spans="4:4" x14ac:dyDescent="0.3">
      <c r="D151" s="74"/>
    </row>
    <row r="152" spans="4:4" x14ac:dyDescent="0.3">
      <c r="D152" s="74"/>
    </row>
    <row r="153" spans="4:4" x14ac:dyDescent="0.3">
      <c r="D153" s="74"/>
    </row>
    <row r="154" spans="4:4" x14ac:dyDescent="0.3">
      <c r="D154" s="74"/>
    </row>
    <row r="155" spans="4:4" x14ac:dyDescent="0.3">
      <c r="D155" s="74"/>
    </row>
    <row r="156" spans="4:4" x14ac:dyDescent="0.3">
      <c r="D156" s="74"/>
    </row>
    <row r="157" spans="4:4" x14ac:dyDescent="0.3">
      <c r="D157" s="74"/>
    </row>
    <row r="158" spans="4:4" x14ac:dyDescent="0.3">
      <c r="D158" s="74"/>
    </row>
    <row r="159" spans="4:4" x14ac:dyDescent="0.3">
      <c r="D159" s="74"/>
    </row>
    <row r="160" spans="4:4" x14ac:dyDescent="0.3">
      <c r="D160" s="74"/>
    </row>
    <row r="161" spans="4:4" x14ac:dyDescent="0.3">
      <c r="D161" s="74"/>
    </row>
    <row r="162" spans="4:4" x14ac:dyDescent="0.3">
      <c r="D162" s="74"/>
    </row>
    <row r="163" spans="4:4" x14ac:dyDescent="0.3">
      <c r="D163" s="74"/>
    </row>
    <row r="164" spans="4:4" x14ac:dyDescent="0.3">
      <c r="D164" s="74"/>
    </row>
    <row r="165" spans="4:4" x14ac:dyDescent="0.3">
      <c r="D165" s="74"/>
    </row>
    <row r="166" spans="4:4" x14ac:dyDescent="0.3">
      <c r="D166" s="74"/>
    </row>
    <row r="167" spans="4:4" x14ac:dyDescent="0.3">
      <c r="D167" s="74"/>
    </row>
    <row r="168" spans="4:4" x14ac:dyDescent="0.3">
      <c r="D168" s="74"/>
    </row>
    <row r="169" spans="4:4" x14ac:dyDescent="0.3">
      <c r="D169" s="74"/>
    </row>
    <row r="170" spans="4:4" x14ac:dyDescent="0.3">
      <c r="D170" s="74"/>
    </row>
    <row r="171" spans="4:4" x14ac:dyDescent="0.3">
      <c r="D171" s="74"/>
    </row>
    <row r="172" spans="4:4" x14ac:dyDescent="0.3">
      <c r="D172" s="74"/>
    </row>
    <row r="173" spans="4:4" x14ac:dyDescent="0.3">
      <c r="D173" s="74"/>
    </row>
    <row r="174" spans="4:4" x14ac:dyDescent="0.3">
      <c r="D174" s="74"/>
    </row>
    <row r="175" spans="4:4" x14ac:dyDescent="0.3">
      <c r="D175" s="74"/>
    </row>
    <row r="176" spans="4:4" x14ac:dyDescent="0.3">
      <c r="D176" s="74"/>
    </row>
    <row r="177" spans="4:4" x14ac:dyDescent="0.3">
      <c r="D177" s="74"/>
    </row>
    <row r="178" spans="4:4" x14ac:dyDescent="0.3">
      <c r="D178" s="74"/>
    </row>
    <row r="179" spans="4:4" x14ac:dyDescent="0.3">
      <c r="D179" s="74"/>
    </row>
    <row r="180" spans="4:4" x14ac:dyDescent="0.3">
      <c r="D180" s="74"/>
    </row>
    <row r="181" spans="4:4" x14ac:dyDescent="0.3">
      <c r="D181" s="74"/>
    </row>
    <row r="182" spans="4:4" x14ac:dyDescent="0.3">
      <c r="D182" s="74"/>
    </row>
    <row r="183" spans="4:4" x14ac:dyDescent="0.3">
      <c r="D183" s="74"/>
    </row>
    <row r="184" spans="4:4" x14ac:dyDescent="0.3">
      <c r="D184" s="74"/>
    </row>
    <row r="185" spans="4:4" x14ac:dyDescent="0.3">
      <c r="D185" s="74"/>
    </row>
    <row r="186" spans="4:4" x14ac:dyDescent="0.3">
      <c r="D186" s="74"/>
    </row>
    <row r="187" spans="4:4" x14ac:dyDescent="0.3">
      <c r="D187" s="74"/>
    </row>
    <row r="188" spans="4:4" x14ac:dyDescent="0.3">
      <c r="D188" s="74"/>
    </row>
    <row r="189" spans="4:4" x14ac:dyDescent="0.3">
      <c r="D189" s="74"/>
    </row>
    <row r="190" spans="4:4" x14ac:dyDescent="0.3">
      <c r="D190" s="74"/>
    </row>
    <row r="191" spans="4:4" x14ac:dyDescent="0.3">
      <c r="D191" s="74"/>
    </row>
    <row r="192" spans="4:4" x14ac:dyDescent="0.3">
      <c r="D192" s="74"/>
    </row>
    <row r="193" spans="4:4" x14ac:dyDescent="0.3">
      <c r="D193" s="74"/>
    </row>
    <row r="194" spans="4:4" x14ac:dyDescent="0.3">
      <c r="D194" s="74"/>
    </row>
    <row r="195" spans="4:4" x14ac:dyDescent="0.3">
      <c r="D195" s="74"/>
    </row>
    <row r="196" spans="4:4" x14ac:dyDescent="0.3">
      <c r="D196" s="74"/>
    </row>
    <row r="197" spans="4:4" x14ac:dyDescent="0.3">
      <c r="D197" s="74"/>
    </row>
    <row r="198" spans="4:4" x14ac:dyDescent="0.3">
      <c r="D198" s="74"/>
    </row>
    <row r="199" spans="4:4" x14ac:dyDescent="0.3">
      <c r="D199" s="74"/>
    </row>
    <row r="200" spans="4:4" x14ac:dyDescent="0.3">
      <c r="D200" s="74"/>
    </row>
    <row r="201" spans="4:4" x14ac:dyDescent="0.3">
      <c r="D201" s="74"/>
    </row>
    <row r="202" spans="4:4" x14ac:dyDescent="0.3">
      <c r="D202" s="74"/>
    </row>
    <row r="203" spans="4:4" x14ac:dyDescent="0.3">
      <c r="D203" s="74"/>
    </row>
    <row r="204" spans="4:4" x14ac:dyDescent="0.3">
      <c r="D204" s="74"/>
    </row>
    <row r="205" spans="4:4" x14ac:dyDescent="0.3">
      <c r="D205" s="74"/>
    </row>
    <row r="206" spans="4:4" x14ac:dyDescent="0.3">
      <c r="D206" s="74"/>
    </row>
    <row r="207" spans="4:4" x14ac:dyDescent="0.3">
      <c r="D207" s="74"/>
    </row>
    <row r="208" spans="4:4" x14ac:dyDescent="0.3">
      <c r="D208" s="74"/>
    </row>
    <row r="209" spans="1:4" x14ac:dyDescent="0.3">
      <c r="D209" s="74"/>
    </row>
    <row r="210" spans="1:4" x14ac:dyDescent="0.3">
      <c r="D210" s="74"/>
    </row>
    <row r="211" spans="1:4" x14ac:dyDescent="0.3">
      <c r="D211" s="74"/>
    </row>
    <row r="212" spans="1:4" x14ac:dyDescent="0.3">
      <c r="D212" s="74"/>
    </row>
    <row r="213" spans="1:4" x14ac:dyDescent="0.3">
      <c r="D213" s="74"/>
    </row>
    <row r="214" spans="1:4" x14ac:dyDescent="0.3">
      <c r="D214" s="74"/>
    </row>
    <row r="215" spans="1:4" x14ac:dyDescent="0.3">
      <c r="D215" s="74"/>
    </row>
    <row r="216" spans="1:4" x14ac:dyDescent="0.3">
      <c r="D216" s="74"/>
    </row>
    <row r="217" spans="1:4" x14ac:dyDescent="0.3">
      <c r="D217" s="74"/>
    </row>
    <row r="218" spans="1:4" x14ac:dyDescent="0.3">
      <c r="D218" s="74"/>
    </row>
    <row r="219" spans="1:4" x14ac:dyDescent="0.3">
      <c r="D219" s="74"/>
    </row>
    <row r="220" spans="1:4" x14ac:dyDescent="0.3">
      <c r="D220" s="74"/>
    </row>
    <row r="221" spans="1:4" x14ac:dyDescent="0.3">
      <c r="A221" s="21"/>
      <c r="B221" s="5"/>
      <c r="D221" s="69"/>
    </row>
    <row r="222" spans="1:4" x14ac:dyDescent="0.3">
      <c r="A222" s="21"/>
      <c r="B222" s="5"/>
      <c r="D222" s="69"/>
    </row>
    <row r="223" spans="1:4" x14ac:dyDescent="0.3">
      <c r="A223" s="21"/>
      <c r="B223" s="5"/>
      <c r="D223" s="69"/>
    </row>
    <row r="224" spans="1:4" x14ac:dyDescent="0.3">
      <c r="A224" s="21"/>
      <c r="B224" s="5"/>
      <c r="D224" s="69"/>
    </row>
    <row r="225" spans="1:4" x14ac:dyDescent="0.3">
      <c r="A225" s="21"/>
      <c r="B225" s="5"/>
      <c r="D225" s="69"/>
    </row>
    <row r="226" spans="1:4" x14ac:dyDescent="0.3">
      <c r="A226" s="21"/>
      <c r="B226" s="5"/>
      <c r="D226" s="69"/>
    </row>
    <row r="227" spans="1:4" x14ac:dyDescent="0.3">
      <c r="A227" s="21"/>
      <c r="B227" s="5"/>
      <c r="D227" s="69"/>
    </row>
    <row r="228" spans="1:4" x14ac:dyDescent="0.3">
      <c r="A228" s="21"/>
      <c r="B228" s="5"/>
      <c r="D228" s="69"/>
    </row>
    <row r="229" spans="1:4" x14ac:dyDescent="0.3">
      <c r="B229" s="5"/>
      <c r="D229" s="70"/>
    </row>
    <row r="230" spans="1:4" x14ac:dyDescent="0.3">
      <c r="B230" s="5"/>
      <c r="D230" s="70"/>
    </row>
    <row r="231" spans="1:4" x14ac:dyDescent="0.3">
      <c r="B231" s="5"/>
      <c r="D231" s="70"/>
    </row>
    <row r="232" spans="1:4" x14ac:dyDescent="0.3">
      <c r="B232" s="5"/>
      <c r="D232" s="70"/>
    </row>
    <row r="233" spans="1:4" x14ac:dyDescent="0.3">
      <c r="B233" s="5"/>
      <c r="D233" s="70"/>
    </row>
    <row r="234" spans="1:4" x14ac:dyDescent="0.3">
      <c r="B234" s="5"/>
      <c r="D234" s="70"/>
    </row>
    <row r="235" spans="1:4" x14ac:dyDescent="0.3">
      <c r="B235" s="5"/>
      <c r="D235" s="70"/>
    </row>
    <row r="236" spans="1:4" x14ac:dyDescent="0.3">
      <c r="B236" s="5"/>
      <c r="D236" s="70"/>
    </row>
    <row r="237" spans="1:4" x14ac:dyDescent="0.3">
      <c r="B237" s="5"/>
      <c r="D237" s="70"/>
    </row>
    <row r="238" spans="1:4" x14ac:dyDescent="0.3">
      <c r="B238" s="5"/>
      <c r="D238" s="70"/>
    </row>
    <row r="239" spans="1:4" x14ac:dyDescent="0.3">
      <c r="B239" s="5"/>
      <c r="D239" s="70"/>
    </row>
    <row r="240" spans="1:4" x14ac:dyDescent="0.3">
      <c r="B240" s="5"/>
      <c r="D240" s="70"/>
    </row>
    <row r="241" spans="1:4" x14ac:dyDescent="0.3">
      <c r="B241" s="5"/>
      <c r="D241" s="70"/>
    </row>
    <row r="242" spans="1:4" x14ac:dyDescent="0.3">
      <c r="B242" s="5"/>
      <c r="D242" s="70"/>
    </row>
    <row r="243" spans="1:4" x14ac:dyDescent="0.3">
      <c r="B243" s="5"/>
      <c r="D243" s="70"/>
    </row>
    <row r="244" spans="1:4" x14ac:dyDescent="0.3">
      <c r="B244" s="5"/>
      <c r="D244" s="70"/>
    </row>
    <row r="245" spans="1:4" x14ac:dyDescent="0.3">
      <c r="B245" s="5"/>
      <c r="D245" s="70"/>
    </row>
    <row r="246" spans="1:4" x14ac:dyDescent="0.3">
      <c r="B246" s="5"/>
      <c r="D246" s="70"/>
    </row>
    <row r="247" spans="1:4" x14ac:dyDescent="0.3">
      <c r="B247" s="5"/>
      <c r="D247" s="70"/>
    </row>
    <row r="248" spans="1:4" x14ac:dyDescent="0.3">
      <c r="B248" s="5"/>
      <c r="D248" s="70"/>
    </row>
    <row r="249" spans="1:4" x14ac:dyDescent="0.3">
      <c r="B249" s="5"/>
      <c r="D249" s="70"/>
    </row>
    <row r="250" spans="1:4" x14ac:dyDescent="0.3">
      <c r="B250" s="71"/>
      <c r="D250" s="70"/>
    </row>
    <row r="251" spans="1:4" x14ac:dyDescent="0.3">
      <c r="B251" s="71"/>
      <c r="D251" s="70"/>
    </row>
    <row r="252" spans="1:4" ht="15" thickBot="1" x14ac:dyDescent="0.35">
      <c r="B252" s="72"/>
      <c r="D252" s="70"/>
    </row>
    <row r="253" spans="1:4" x14ac:dyDescent="0.3">
      <c r="A253" s="21"/>
      <c r="B253" t="s">
        <v>204</v>
      </c>
      <c r="C253" t="s">
        <v>210</v>
      </c>
      <c r="D253" s="75">
        <v>0</v>
      </c>
    </row>
    <row r="254" spans="1:4" x14ac:dyDescent="0.3">
      <c r="A254" s="21"/>
      <c r="B254" t="s">
        <v>204</v>
      </c>
      <c r="C254" t="s">
        <v>211</v>
      </c>
      <c r="D254" s="75">
        <v>0</v>
      </c>
    </row>
    <row r="255" spans="1:4" x14ac:dyDescent="0.3">
      <c r="A255" s="21"/>
      <c r="B255" t="s">
        <v>204</v>
      </c>
      <c r="C255" t="s">
        <v>207</v>
      </c>
      <c r="D255" s="75">
        <v>0</v>
      </c>
    </row>
    <row r="256" spans="1:4" x14ac:dyDescent="0.3">
      <c r="B256" t="s">
        <v>204</v>
      </c>
      <c r="C256" t="s">
        <v>209</v>
      </c>
      <c r="D256" s="75">
        <v>0</v>
      </c>
    </row>
    <row r="257" spans="2:4" x14ac:dyDescent="0.3">
      <c r="B257" t="s">
        <v>204</v>
      </c>
      <c r="C257" t="s">
        <v>208</v>
      </c>
      <c r="D257" s="75">
        <v>0</v>
      </c>
    </row>
    <row r="258" spans="2:4" x14ac:dyDescent="0.3">
      <c r="B258" t="s">
        <v>204</v>
      </c>
      <c r="C258" t="s">
        <v>212</v>
      </c>
      <c r="D258" s="75">
        <v>0</v>
      </c>
    </row>
    <row r="259" spans="2:4" x14ac:dyDescent="0.3">
      <c r="B259" t="s">
        <v>204</v>
      </c>
      <c r="C259" t="s">
        <v>213</v>
      </c>
      <c r="D259" s="75">
        <v>0</v>
      </c>
    </row>
    <row r="260" spans="2:4" x14ac:dyDescent="0.3">
      <c r="B260" t="s">
        <v>204</v>
      </c>
      <c r="C260" t="s">
        <v>214</v>
      </c>
      <c r="D260" s="75">
        <v>0</v>
      </c>
    </row>
    <row r="261" spans="2:4" x14ac:dyDescent="0.3">
      <c r="B261" t="s">
        <v>205</v>
      </c>
      <c r="C261" t="s">
        <v>210</v>
      </c>
      <c r="D261" s="75">
        <v>1</v>
      </c>
    </row>
    <row r="262" spans="2:4" x14ac:dyDescent="0.3">
      <c r="B262" t="s">
        <v>205</v>
      </c>
      <c r="C262" t="s">
        <v>211</v>
      </c>
      <c r="D262" s="75">
        <v>1</v>
      </c>
    </row>
    <row r="263" spans="2:4" x14ac:dyDescent="0.3">
      <c r="B263" t="s">
        <v>205</v>
      </c>
      <c r="C263" t="s">
        <v>207</v>
      </c>
      <c r="D263" s="75">
        <v>1</v>
      </c>
    </row>
    <row r="264" spans="2:4" x14ac:dyDescent="0.3">
      <c r="B264" t="s">
        <v>205</v>
      </c>
      <c r="C264" t="s">
        <v>209</v>
      </c>
      <c r="D264" s="75">
        <v>1</v>
      </c>
    </row>
    <row r="265" spans="2:4" x14ac:dyDescent="0.3">
      <c r="B265" t="s">
        <v>205</v>
      </c>
      <c r="C265" t="s">
        <v>208</v>
      </c>
      <c r="D265" s="75">
        <v>1</v>
      </c>
    </row>
    <row r="266" spans="2:4" x14ac:dyDescent="0.3">
      <c r="B266" t="s">
        <v>205</v>
      </c>
      <c r="C266" t="s">
        <v>212</v>
      </c>
      <c r="D266" s="75">
        <v>1</v>
      </c>
    </row>
    <row r="267" spans="2:4" x14ac:dyDescent="0.3">
      <c r="B267" t="s">
        <v>205</v>
      </c>
      <c r="C267" t="s">
        <v>213</v>
      </c>
      <c r="D267" s="75">
        <v>1</v>
      </c>
    </row>
    <row r="268" spans="2:4" x14ac:dyDescent="0.3">
      <c r="B268" t="s">
        <v>205</v>
      </c>
      <c r="C268" t="s">
        <v>214</v>
      </c>
      <c r="D268" s="75">
        <v>0</v>
      </c>
    </row>
    <row r="269" spans="2:4" x14ac:dyDescent="0.3">
      <c r="B269" t="s">
        <v>206</v>
      </c>
      <c r="C269" t="s">
        <v>210</v>
      </c>
      <c r="D269" s="75">
        <v>1</v>
      </c>
    </row>
    <row r="270" spans="2:4" x14ac:dyDescent="0.3">
      <c r="B270" t="s">
        <v>206</v>
      </c>
      <c r="C270" t="s">
        <v>211</v>
      </c>
      <c r="D270" s="75">
        <v>1</v>
      </c>
    </row>
    <row r="271" spans="2:4" x14ac:dyDescent="0.3">
      <c r="B271" t="s">
        <v>206</v>
      </c>
      <c r="C271" t="s">
        <v>207</v>
      </c>
      <c r="D271" s="75">
        <v>1</v>
      </c>
    </row>
    <row r="272" spans="2:4" x14ac:dyDescent="0.3">
      <c r="B272" t="s">
        <v>206</v>
      </c>
      <c r="C272" t="s">
        <v>209</v>
      </c>
      <c r="D272" s="75">
        <v>1</v>
      </c>
    </row>
    <row r="273" spans="2:4" x14ac:dyDescent="0.3">
      <c r="B273" t="s">
        <v>206</v>
      </c>
      <c r="C273" t="s">
        <v>208</v>
      </c>
      <c r="D273" s="75">
        <v>1</v>
      </c>
    </row>
    <row r="274" spans="2:4" x14ac:dyDescent="0.3">
      <c r="B274" t="s">
        <v>206</v>
      </c>
      <c r="C274" t="s">
        <v>212</v>
      </c>
      <c r="D274" s="75">
        <v>1</v>
      </c>
    </row>
    <row r="275" spans="2:4" x14ac:dyDescent="0.3">
      <c r="B275" t="s">
        <v>206</v>
      </c>
      <c r="C275" t="s">
        <v>213</v>
      </c>
      <c r="D275" s="75">
        <v>1</v>
      </c>
    </row>
    <row r="276" spans="2:4" x14ac:dyDescent="0.3">
      <c r="B276" t="s">
        <v>206</v>
      </c>
      <c r="C276" t="s">
        <v>214</v>
      </c>
      <c r="D276" s="75">
        <v>0</v>
      </c>
    </row>
    <row r="277" spans="2:4" x14ac:dyDescent="0.3">
      <c r="D277" s="69"/>
    </row>
    <row r="278" spans="2:4" x14ac:dyDescent="0.3">
      <c r="D278" s="69"/>
    </row>
    <row r="279" spans="2:4" x14ac:dyDescent="0.3">
      <c r="D279" s="69"/>
    </row>
  </sheetData>
  <dataValidations count="1">
    <dataValidation type="list" allowBlank="1" showInputMessage="1" showErrorMessage="1" sqref="B280:B1048576 A2:A1048576" xr:uid="{00000000-0002-0000-0800-000000000000}">
      <formula1>#REF!</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80"/>
  <sheetViews>
    <sheetView workbookViewId="0">
      <selection activeCell="I19" sqref="I19"/>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 min="12" max="12" width="12.44140625" bestFit="1" customWidth="1"/>
  </cols>
  <sheetData>
    <row r="1" spans="1:20" ht="15" thickBot="1" x14ac:dyDescent="0.35">
      <c r="A1" s="38" t="s">
        <v>85</v>
      </c>
      <c r="B1" s="32" t="s">
        <v>91</v>
      </c>
      <c r="C1" s="32" t="s">
        <v>92</v>
      </c>
      <c r="D1" s="32" t="s">
        <v>90</v>
      </c>
      <c r="E1" s="32" t="s">
        <v>86</v>
      </c>
      <c r="F1" s="40" t="s">
        <v>89</v>
      </c>
      <c r="J1" s="37" t="s">
        <v>186</v>
      </c>
      <c r="K1" s="38"/>
      <c r="L1" s="32" t="s">
        <v>187</v>
      </c>
      <c r="M1" s="39" t="s">
        <v>188</v>
      </c>
      <c r="N1" s="40" t="s">
        <v>189</v>
      </c>
      <c r="P1" s="37" t="s">
        <v>190</v>
      </c>
      <c r="Q1" s="38" t="s">
        <v>191</v>
      </c>
      <c r="R1" s="41" t="s">
        <v>187</v>
      </c>
      <c r="S1" s="41" t="s">
        <v>188</v>
      </c>
      <c r="T1" s="42" t="s">
        <v>189</v>
      </c>
    </row>
    <row r="2" spans="1:20" x14ac:dyDescent="0.3">
      <c r="A2" s="5" t="s">
        <v>83</v>
      </c>
      <c r="B2" t="s">
        <v>33</v>
      </c>
      <c r="D2">
        <f>IF(BoundPortfolio!$A$2=1,Guidelines!L12,Guidelines!R12)</f>
        <v>0.15</v>
      </c>
      <c r="F2" s="11"/>
      <c r="K2" s="5" t="s">
        <v>8</v>
      </c>
      <c r="L2" s="43">
        <v>0.05</v>
      </c>
      <c r="M2" s="44">
        <v>0</v>
      </c>
      <c r="N2" s="45">
        <v>0.5</v>
      </c>
      <c r="Q2" s="5" t="s">
        <v>8</v>
      </c>
      <c r="R2" s="46">
        <v>7.4999999999999997E-2</v>
      </c>
      <c r="S2" s="46">
        <v>0</v>
      </c>
      <c r="T2" s="47">
        <v>0.5</v>
      </c>
    </row>
    <row r="3" spans="1:20" x14ac:dyDescent="0.3">
      <c r="A3" s="5" t="s">
        <v>83</v>
      </c>
      <c r="B3" t="s">
        <v>34</v>
      </c>
      <c r="D3">
        <f>IF(BoundPortfolio!$A$2=1,Guidelines!L13,Guidelines!R13)</f>
        <v>0.3</v>
      </c>
      <c r="F3" s="11"/>
      <c r="K3" s="5" t="s">
        <v>41</v>
      </c>
      <c r="L3" s="48">
        <v>2.5000000000000001E-2</v>
      </c>
      <c r="M3" s="44">
        <v>0</v>
      </c>
      <c r="N3" s="45">
        <v>0.3</v>
      </c>
      <c r="Q3" s="5" t="s">
        <v>41</v>
      </c>
      <c r="R3" s="46">
        <v>0.05</v>
      </c>
      <c r="S3" s="46">
        <v>0</v>
      </c>
      <c r="T3" s="47">
        <v>0.3</v>
      </c>
    </row>
    <row r="4" spans="1:20" x14ac:dyDescent="0.3">
      <c r="A4" s="5" t="s">
        <v>2</v>
      </c>
      <c r="B4" t="s">
        <v>8</v>
      </c>
      <c r="D4">
        <f>IF(BoundPortfolio!$A$2=1,Guidelines!L16,Guidelines!R16)</f>
        <v>0.1</v>
      </c>
      <c r="F4" s="11"/>
      <c r="K4" s="5" t="s">
        <v>7</v>
      </c>
      <c r="L4" s="43">
        <v>0.4</v>
      </c>
      <c r="M4" s="44">
        <v>0</v>
      </c>
      <c r="N4" s="45">
        <v>0.7</v>
      </c>
      <c r="Q4" s="5" t="s">
        <v>7</v>
      </c>
      <c r="R4" s="46">
        <v>0.4</v>
      </c>
      <c r="S4" s="46">
        <v>0</v>
      </c>
      <c r="T4" s="47">
        <v>0.7</v>
      </c>
    </row>
    <row r="5" spans="1:20" x14ac:dyDescent="0.3">
      <c r="A5" s="5" t="s">
        <v>2</v>
      </c>
      <c r="B5" t="s">
        <v>40</v>
      </c>
      <c r="D5">
        <f>IF(BoundPortfolio!$A$2=1,Guidelines!L17,Guidelines!R17)</f>
        <v>0.3</v>
      </c>
      <c r="F5" s="11"/>
      <c r="K5" s="5" t="s">
        <v>43</v>
      </c>
      <c r="L5" s="43">
        <v>0.4</v>
      </c>
      <c r="M5" s="44">
        <v>0</v>
      </c>
      <c r="N5" s="45">
        <v>0.7</v>
      </c>
      <c r="Q5" s="5" t="s">
        <v>43</v>
      </c>
      <c r="R5" s="46">
        <v>0.4</v>
      </c>
      <c r="S5" s="46">
        <v>0</v>
      </c>
      <c r="T5" s="47">
        <v>0.7</v>
      </c>
    </row>
    <row r="6" spans="1:20" x14ac:dyDescent="0.3">
      <c r="A6" s="5" t="s">
        <v>2</v>
      </c>
      <c r="B6" t="s">
        <v>41</v>
      </c>
      <c r="D6">
        <f>IF(BoundPortfolio!$A$2=1,Guidelines!L18,Guidelines!R18)</f>
        <v>0.3</v>
      </c>
      <c r="F6" s="11"/>
      <c r="K6" s="5" t="s">
        <v>42</v>
      </c>
      <c r="L6" s="43">
        <v>0.05</v>
      </c>
      <c r="M6" s="44">
        <v>0</v>
      </c>
      <c r="N6" s="45">
        <v>0.3</v>
      </c>
      <c r="Q6" s="5" t="s">
        <v>42</v>
      </c>
      <c r="R6" s="46">
        <v>0.1</v>
      </c>
      <c r="S6" s="46">
        <v>0</v>
      </c>
      <c r="T6" s="47">
        <v>0.5</v>
      </c>
    </row>
    <row r="7" spans="1:20" x14ac:dyDescent="0.3">
      <c r="A7" s="5" t="s">
        <v>2</v>
      </c>
      <c r="B7" t="s">
        <v>7</v>
      </c>
      <c r="D7">
        <f>IF(BoundPortfolio!$A$2=1,Guidelines!L19,Guidelines!R19)</f>
        <v>0.3</v>
      </c>
      <c r="F7" s="11"/>
      <c r="K7" s="5" t="s">
        <v>29</v>
      </c>
      <c r="L7" s="43">
        <v>0.1</v>
      </c>
      <c r="M7" s="44">
        <v>0.1</v>
      </c>
      <c r="N7" s="49">
        <v>0.75</v>
      </c>
      <c r="Q7" s="5" t="s">
        <v>29</v>
      </c>
      <c r="R7" s="46">
        <v>0.1</v>
      </c>
      <c r="S7" s="46">
        <v>0.1</v>
      </c>
      <c r="T7" s="47">
        <v>0.75</v>
      </c>
    </row>
    <row r="8" spans="1:20" x14ac:dyDescent="0.3">
      <c r="A8" s="5" t="s">
        <v>2</v>
      </c>
      <c r="B8" t="s">
        <v>42</v>
      </c>
      <c r="D8">
        <f>IF(BoundPortfolio!$A$2=1,Guidelines!L20,Guidelines!R20)</f>
        <v>0.3</v>
      </c>
      <c r="F8" s="11"/>
      <c r="K8" s="5" t="s">
        <v>40</v>
      </c>
      <c r="L8" s="43">
        <v>0.1</v>
      </c>
      <c r="M8" s="44">
        <v>-0.3</v>
      </c>
      <c r="N8" s="50">
        <v>0.15</v>
      </c>
      <c r="Q8" s="5" t="s">
        <v>40</v>
      </c>
      <c r="R8" s="46">
        <v>0.1</v>
      </c>
      <c r="S8" s="46">
        <v>-0.3</v>
      </c>
      <c r="T8" s="47">
        <v>0.15</v>
      </c>
    </row>
    <row r="9" spans="1:20" ht="15" thickBot="1" x14ac:dyDescent="0.35">
      <c r="A9" s="5" t="s">
        <v>2</v>
      </c>
      <c r="B9" t="s">
        <v>43</v>
      </c>
      <c r="D9">
        <f>IF(BoundPortfolio!$A$2=1,Guidelines!L21,Guidelines!R21)</f>
        <v>0.3</v>
      </c>
      <c r="F9" s="11"/>
      <c r="K9" s="6" t="s">
        <v>32</v>
      </c>
      <c r="L9" s="12"/>
      <c r="M9" s="51">
        <v>2.5000000000000001E-2</v>
      </c>
      <c r="N9" s="13"/>
      <c r="Q9" s="6" t="s">
        <v>32</v>
      </c>
      <c r="R9" s="51"/>
      <c r="S9" s="51">
        <v>2.5000000000000001E-2</v>
      </c>
      <c r="T9" s="52"/>
    </row>
    <row r="10" spans="1:20" x14ac:dyDescent="0.3">
      <c r="A10" s="5" t="s">
        <v>2</v>
      </c>
      <c r="B10" t="s">
        <v>35</v>
      </c>
      <c r="D10">
        <f>IF(BoundPortfolio!$A$2=1,Guidelines!L22,Guidelines!R22)</f>
        <v>0.3</v>
      </c>
      <c r="F10" s="11"/>
      <c r="L10" s="44"/>
      <c r="M10" s="44"/>
      <c r="N10" s="44"/>
      <c r="R10" s="44"/>
      <c r="S10" s="44"/>
      <c r="T10" s="44"/>
    </row>
    <row r="11" spans="1:20" ht="15" thickBot="1" x14ac:dyDescent="0.35">
      <c r="A11" s="5" t="s">
        <v>2</v>
      </c>
      <c r="B11" t="s">
        <v>29</v>
      </c>
      <c r="D11">
        <f>IF(BoundPortfolio!$A$2=1,Guidelines!L23,Guidelines!R23)</f>
        <v>0.3</v>
      </c>
      <c r="F11" s="11"/>
      <c r="K11" t="s">
        <v>192</v>
      </c>
      <c r="L11" t="s">
        <v>193</v>
      </c>
      <c r="Q11" t="s">
        <v>194</v>
      </c>
      <c r="R11" s="44" t="s">
        <v>193</v>
      </c>
      <c r="S11" s="44"/>
      <c r="T11" s="44"/>
    </row>
    <row r="12" spans="1:20" x14ac:dyDescent="0.3">
      <c r="A12" s="5" t="s">
        <v>93</v>
      </c>
      <c r="B12" t="s">
        <v>8</v>
      </c>
      <c r="D12">
        <f>IF(BoundPortfolio!$A$2=1,Guidelines!L2,Guidelines!R2)</f>
        <v>0.05</v>
      </c>
      <c r="F12" s="11"/>
      <c r="K12" s="18" t="s">
        <v>33</v>
      </c>
      <c r="L12" s="53">
        <v>0.15</v>
      </c>
      <c r="Q12" s="18" t="s">
        <v>33</v>
      </c>
      <c r="R12" s="54">
        <v>0.15</v>
      </c>
      <c r="S12" s="44"/>
      <c r="T12" s="44"/>
    </row>
    <row r="13" spans="1:20" ht="15" thickBot="1" x14ac:dyDescent="0.35">
      <c r="A13" s="5" t="s">
        <v>93</v>
      </c>
      <c r="B13" t="s">
        <v>41</v>
      </c>
      <c r="D13">
        <f>IF(BoundPortfolio!$A$2=1,Guidelines!L3,Guidelines!R3)</f>
        <v>2.5000000000000001E-2</v>
      </c>
      <c r="F13" s="11"/>
      <c r="K13" s="6" t="s">
        <v>34</v>
      </c>
      <c r="L13" s="55">
        <v>0.3</v>
      </c>
      <c r="Q13" s="6" t="s">
        <v>34</v>
      </c>
      <c r="R13" s="52">
        <v>0.3</v>
      </c>
      <c r="S13" s="44"/>
      <c r="T13" s="44"/>
    </row>
    <row r="14" spans="1:20" ht="15" thickBot="1" x14ac:dyDescent="0.35">
      <c r="A14" s="5" t="s">
        <v>93</v>
      </c>
      <c r="B14" t="s">
        <v>7</v>
      </c>
      <c r="D14">
        <f>IF(BoundPortfolio!$A$2=1,Guidelines!L4,Guidelines!R4)</f>
        <v>0.4</v>
      </c>
      <c r="F14" s="11"/>
      <c r="L14" s="43"/>
      <c r="R14" s="44"/>
      <c r="S14" s="44"/>
      <c r="T14" s="44"/>
    </row>
    <row r="15" spans="1:20" x14ac:dyDescent="0.3">
      <c r="A15" s="5" t="s">
        <v>93</v>
      </c>
      <c r="B15" t="s">
        <v>43</v>
      </c>
      <c r="D15">
        <f>IF(BoundPortfolio!$A$2=1,Guidelines!L5,Guidelines!R5)</f>
        <v>0.4</v>
      </c>
      <c r="F15" s="11"/>
      <c r="K15" s="38" t="s">
        <v>195</v>
      </c>
      <c r="L15" s="53" t="s">
        <v>193</v>
      </c>
      <c r="Q15" s="38" t="s">
        <v>195</v>
      </c>
      <c r="R15" s="42" t="s">
        <v>193</v>
      </c>
      <c r="S15" s="44"/>
      <c r="T15" s="44"/>
    </row>
    <row r="16" spans="1:20" x14ac:dyDescent="0.3">
      <c r="A16" s="5" t="s">
        <v>93</v>
      </c>
      <c r="B16" t="s">
        <v>42</v>
      </c>
      <c r="D16">
        <f>IF(BoundPortfolio!$A$2=1,Guidelines!L6,Guidelines!R6)</f>
        <v>0.05</v>
      </c>
      <c r="F16" s="11"/>
      <c r="K16" s="5" t="s">
        <v>8</v>
      </c>
      <c r="L16" s="49">
        <v>0.1</v>
      </c>
      <c r="Q16" s="5" t="s">
        <v>8</v>
      </c>
      <c r="R16" s="47">
        <v>0.15</v>
      </c>
      <c r="S16" s="44"/>
      <c r="T16" s="44"/>
    </row>
    <row r="17" spans="1:20" x14ac:dyDescent="0.3">
      <c r="A17" s="5" t="s">
        <v>93</v>
      </c>
      <c r="B17" t="s">
        <v>29</v>
      </c>
      <c r="D17">
        <f>IF(BoundPortfolio!$A$2=1,Guidelines!L7,Guidelines!R7)</f>
        <v>0.1</v>
      </c>
      <c r="F17" s="11"/>
      <c r="K17" s="5" t="s">
        <v>40</v>
      </c>
      <c r="L17" s="49">
        <v>0.3</v>
      </c>
      <c r="Q17" s="5" t="s">
        <v>40</v>
      </c>
      <c r="R17" s="47">
        <v>0.15</v>
      </c>
      <c r="S17" s="44"/>
      <c r="T17" s="44"/>
    </row>
    <row r="18" spans="1:20" x14ac:dyDescent="0.3">
      <c r="A18" s="5" t="s">
        <v>93</v>
      </c>
      <c r="B18" t="s">
        <v>40</v>
      </c>
      <c r="D18">
        <f>IF(BoundPortfolio!$A$2=1,Guidelines!L8,Guidelines!R8)</f>
        <v>0.1</v>
      </c>
      <c r="F18" s="11"/>
      <c r="K18" s="5" t="s">
        <v>41</v>
      </c>
      <c r="L18" s="49">
        <v>0.3</v>
      </c>
      <c r="Q18" s="5" t="s">
        <v>41</v>
      </c>
      <c r="R18" s="47">
        <v>0.15</v>
      </c>
      <c r="S18" s="44"/>
      <c r="T18" s="44"/>
    </row>
    <row r="19" spans="1:20" x14ac:dyDescent="0.3">
      <c r="A19" s="5" t="s">
        <v>93</v>
      </c>
      <c r="B19" t="s">
        <v>32</v>
      </c>
      <c r="D19">
        <f>IF(BoundPortfolio!$A$2=1,Guidelines!L9,Guidelines!R9)</f>
        <v>0</v>
      </c>
      <c r="F19" s="11"/>
      <c r="K19" s="5" t="s">
        <v>7</v>
      </c>
      <c r="L19" s="49">
        <v>0.3</v>
      </c>
      <c r="Q19" s="5" t="s">
        <v>7</v>
      </c>
      <c r="R19" s="47">
        <v>0.3</v>
      </c>
      <c r="S19" s="44"/>
      <c r="T19" s="44"/>
    </row>
    <row r="20" spans="1:20" x14ac:dyDescent="0.3">
      <c r="A20" s="5" t="s">
        <v>84</v>
      </c>
      <c r="B20" t="s">
        <v>13</v>
      </c>
      <c r="D20">
        <f>IF(BoundPortfolio!$A$2=1,Guidelines!L27,Guidelines!R27)</f>
        <v>0.35</v>
      </c>
      <c r="E20" t="s">
        <v>87</v>
      </c>
      <c r="F20" s="11">
        <v>100</v>
      </c>
      <c r="K20" s="5" t="s">
        <v>42</v>
      </c>
      <c r="L20" s="49">
        <v>0.3</v>
      </c>
      <c r="Q20" s="5" t="s">
        <v>29</v>
      </c>
      <c r="R20" s="47">
        <v>0.3</v>
      </c>
      <c r="S20" s="44"/>
      <c r="T20" s="44"/>
    </row>
    <row r="21" spans="1:20" x14ac:dyDescent="0.3">
      <c r="A21" s="5" t="s">
        <v>84</v>
      </c>
      <c r="B21" t="s">
        <v>16</v>
      </c>
      <c r="D21">
        <f>IF(BoundPortfolio!$A$2=1,Guidelines!L28,Guidelines!R28)</f>
        <v>0.3</v>
      </c>
      <c r="E21" t="s">
        <v>87</v>
      </c>
      <c r="F21" s="11">
        <v>100</v>
      </c>
      <c r="K21" s="5" t="s">
        <v>43</v>
      </c>
      <c r="L21" s="49">
        <v>0.3</v>
      </c>
      <c r="Q21" s="5" t="s">
        <v>42</v>
      </c>
      <c r="R21" s="47">
        <v>0.15</v>
      </c>
      <c r="S21" s="44"/>
      <c r="T21" s="44"/>
    </row>
    <row r="22" spans="1:20" x14ac:dyDescent="0.3">
      <c r="A22" s="5" t="s">
        <v>84</v>
      </c>
      <c r="B22" t="s">
        <v>12</v>
      </c>
      <c r="D22">
        <f>IF(BoundPortfolio!$A$2=1,Guidelines!L29,Guidelines!R29)</f>
        <v>0.3</v>
      </c>
      <c r="E22" t="s">
        <v>87</v>
      </c>
      <c r="F22" s="11">
        <v>100</v>
      </c>
      <c r="K22" s="5" t="s">
        <v>35</v>
      </c>
      <c r="L22" s="49">
        <v>0.3</v>
      </c>
      <c r="Q22" s="5" t="s">
        <v>35</v>
      </c>
      <c r="R22" s="47">
        <v>0.3</v>
      </c>
      <c r="S22" s="44"/>
      <c r="T22" s="44"/>
    </row>
    <row r="23" spans="1:20" ht="15" thickBot="1" x14ac:dyDescent="0.35">
      <c r="A23" s="5" t="s">
        <v>84</v>
      </c>
      <c r="B23" t="s">
        <v>18</v>
      </c>
      <c r="D23">
        <f>IF(BoundPortfolio!$A$2=1,Guidelines!L30,Guidelines!R30)</f>
        <v>0.3</v>
      </c>
      <c r="E23" t="s">
        <v>87</v>
      </c>
      <c r="F23" s="11">
        <v>100</v>
      </c>
      <c r="K23" s="6" t="s">
        <v>29</v>
      </c>
      <c r="L23" s="56">
        <v>0.3</v>
      </c>
      <c r="M23" s="44"/>
      <c r="N23" s="44"/>
      <c r="Q23" s="6" t="s">
        <v>43</v>
      </c>
      <c r="R23" s="52">
        <v>0.3</v>
      </c>
      <c r="S23" s="44"/>
      <c r="T23" s="57"/>
    </row>
    <row r="24" spans="1:20" ht="15" thickBot="1" x14ac:dyDescent="0.35">
      <c r="A24" s="5" t="s">
        <v>84</v>
      </c>
      <c r="B24" t="s">
        <v>19</v>
      </c>
      <c r="D24">
        <f>IF(BoundPortfolio!$A$2=1,Guidelines!L31,Guidelines!R31)</f>
        <v>0.3</v>
      </c>
      <c r="E24" t="s">
        <v>87</v>
      </c>
      <c r="F24" s="11">
        <v>100</v>
      </c>
      <c r="L24" s="44"/>
      <c r="M24" s="44"/>
      <c r="N24" s="44"/>
      <c r="R24" s="44"/>
      <c r="S24" s="44"/>
      <c r="T24" s="44"/>
    </row>
    <row r="25" spans="1:20" x14ac:dyDescent="0.3">
      <c r="A25" s="5" t="s">
        <v>84</v>
      </c>
      <c r="B25" t="s">
        <v>17</v>
      </c>
      <c r="D25">
        <f>IF(BoundPortfolio!$A$2=1,Guidelines!L32,Guidelines!R32)</f>
        <v>0.3</v>
      </c>
      <c r="E25" t="s">
        <v>87</v>
      </c>
      <c r="F25" s="11">
        <v>100</v>
      </c>
      <c r="K25" s="18"/>
      <c r="L25" s="41" t="s">
        <v>196</v>
      </c>
      <c r="M25" s="42" t="s">
        <v>197</v>
      </c>
      <c r="N25" s="57"/>
      <c r="Q25" s="18"/>
      <c r="R25" s="41" t="s">
        <v>196</v>
      </c>
      <c r="S25" s="42" t="s">
        <v>197</v>
      </c>
      <c r="T25" s="44"/>
    </row>
    <row r="26" spans="1:20" ht="15" thickBot="1" x14ac:dyDescent="0.35">
      <c r="A26" s="5" t="s">
        <v>84</v>
      </c>
      <c r="B26" t="s">
        <v>15</v>
      </c>
      <c r="D26">
        <f>IF(BoundPortfolio!$A$2=1,Guidelines!L33,Guidelines!R33)</f>
        <v>0.2</v>
      </c>
      <c r="E26" t="s">
        <v>87</v>
      </c>
      <c r="F26" s="11">
        <v>100</v>
      </c>
      <c r="K26" s="5"/>
      <c r="L26" s="57" t="s">
        <v>198</v>
      </c>
      <c r="M26" s="58" t="s">
        <v>199</v>
      </c>
      <c r="N26" s="57"/>
      <c r="Q26" s="59" t="s">
        <v>200</v>
      </c>
      <c r="R26" s="57" t="s">
        <v>198</v>
      </c>
      <c r="S26" s="58" t="s">
        <v>199</v>
      </c>
      <c r="T26" s="57"/>
    </row>
    <row r="27" spans="1:20" x14ac:dyDescent="0.3">
      <c r="A27" s="5" t="s">
        <v>84</v>
      </c>
      <c r="B27" t="s">
        <v>14</v>
      </c>
      <c r="D27">
        <f>IF(BoundPortfolio!$A$2=1,Guidelines!L34,Guidelines!R34)</f>
        <v>0.2</v>
      </c>
      <c r="E27" t="s">
        <v>87</v>
      </c>
      <c r="F27" s="11">
        <v>100</v>
      </c>
      <c r="K27" s="60" t="s">
        <v>13</v>
      </c>
      <c r="L27" s="61">
        <v>0.35</v>
      </c>
      <c r="M27" s="62">
        <v>0.5</v>
      </c>
      <c r="N27" s="63"/>
      <c r="Q27" s="60" t="s">
        <v>13</v>
      </c>
      <c r="R27" s="61">
        <v>0.45</v>
      </c>
      <c r="S27" s="62">
        <v>0.75</v>
      </c>
      <c r="T27" s="63"/>
    </row>
    <row r="28" spans="1:20" x14ac:dyDescent="0.3">
      <c r="A28" s="5" t="s">
        <v>84</v>
      </c>
      <c r="B28" t="s">
        <v>36</v>
      </c>
      <c r="D28">
        <f>IF(BoundPortfolio!$A$2=1,Guidelines!L35,Guidelines!R35)</f>
        <v>0.3</v>
      </c>
      <c r="E28" t="s">
        <v>87</v>
      </c>
      <c r="F28" s="11">
        <v>100</v>
      </c>
      <c r="K28" s="64" t="s">
        <v>16</v>
      </c>
      <c r="L28" s="65">
        <v>0.3</v>
      </c>
      <c r="M28" s="66">
        <v>0.5</v>
      </c>
      <c r="N28" s="63"/>
      <c r="Q28" s="64" t="s">
        <v>16</v>
      </c>
      <c r="R28" s="65">
        <v>0.4</v>
      </c>
      <c r="S28" s="66">
        <v>0.65</v>
      </c>
      <c r="T28" s="63"/>
    </row>
    <row r="29" spans="1:20" x14ac:dyDescent="0.3">
      <c r="A29" s="5" t="s">
        <v>84</v>
      </c>
      <c r="B29" t="s">
        <v>37</v>
      </c>
      <c r="D29">
        <f>IF(BoundPortfolio!$A$2=1,Guidelines!L36,Guidelines!R36)</f>
        <v>0.2</v>
      </c>
      <c r="E29" t="s">
        <v>87</v>
      </c>
      <c r="F29" s="11">
        <v>100</v>
      </c>
      <c r="K29" s="64" t="s">
        <v>12</v>
      </c>
      <c r="L29" s="65">
        <v>0.3</v>
      </c>
      <c r="M29" s="66">
        <v>0.5</v>
      </c>
      <c r="N29" s="63"/>
      <c r="Q29" s="64" t="s">
        <v>12</v>
      </c>
      <c r="R29" s="65">
        <v>0.4</v>
      </c>
      <c r="S29" s="66">
        <v>0.65</v>
      </c>
      <c r="T29" s="63"/>
    </row>
    <row r="30" spans="1:20" x14ac:dyDescent="0.3">
      <c r="A30" s="5" t="s">
        <v>84</v>
      </c>
      <c r="B30" t="s">
        <v>9</v>
      </c>
      <c r="D30">
        <f>IF(BoundPortfolio!$A$2=1,Guidelines!L37,Guidelines!R37)</f>
        <v>0.15</v>
      </c>
      <c r="E30" t="s">
        <v>87</v>
      </c>
      <c r="F30" s="11">
        <v>100</v>
      </c>
      <c r="K30" s="64" t="s">
        <v>18</v>
      </c>
      <c r="L30" s="65">
        <v>0.3</v>
      </c>
      <c r="M30" s="66">
        <v>0.5</v>
      </c>
      <c r="N30" s="63"/>
      <c r="Q30" s="64" t="s">
        <v>18</v>
      </c>
      <c r="R30" s="65">
        <v>0.3</v>
      </c>
      <c r="S30" s="66">
        <v>0.5</v>
      </c>
      <c r="T30" s="63"/>
    </row>
    <row r="31" spans="1:20" x14ac:dyDescent="0.3">
      <c r="A31" s="5" t="s">
        <v>84</v>
      </c>
      <c r="B31" t="s">
        <v>10</v>
      </c>
      <c r="D31">
        <f>IF(BoundPortfolio!$A$2=1,Guidelines!L38,Guidelines!R38)</f>
        <v>0.15</v>
      </c>
      <c r="E31" t="s">
        <v>87</v>
      </c>
      <c r="F31" s="11">
        <v>100</v>
      </c>
      <c r="K31" s="64" t="s">
        <v>19</v>
      </c>
      <c r="L31" s="65">
        <v>0.3</v>
      </c>
      <c r="M31" s="66">
        <v>0.5</v>
      </c>
      <c r="N31" s="63"/>
      <c r="Q31" s="64" t="s">
        <v>19</v>
      </c>
      <c r="R31" s="65">
        <v>0.45</v>
      </c>
      <c r="S31" s="66">
        <v>0.65</v>
      </c>
      <c r="T31" s="63"/>
    </row>
    <row r="32" spans="1:20" ht="15" thickBot="1" x14ac:dyDescent="0.35">
      <c r="A32" s="5" t="s">
        <v>84</v>
      </c>
      <c r="B32" t="s">
        <v>11</v>
      </c>
      <c r="D32">
        <f>IF(BoundPortfolio!$A$2=1,Guidelines!L39,Guidelines!R39)</f>
        <v>0.15</v>
      </c>
      <c r="E32" t="s">
        <v>87</v>
      </c>
      <c r="F32" s="11">
        <v>100</v>
      </c>
      <c r="K32" s="64" t="s">
        <v>17</v>
      </c>
      <c r="L32" s="65">
        <v>0.3</v>
      </c>
      <c r="M32" s="66">
        <v>0.5</v>
      </c>
      <c r="N32" s="63"/>
      <c r="Q32" s="64" t="s">
        <v>17</v>
      </c>
      <c r="R32" s="65">
        <v>0.4</v>
      </c>
      <c r="S32" s="66">
        <v>0.65</v>
      </c>
      <c r="T32" s="63"/>
    </row>
    <row r="33" spans="1:20" x14ac:dyDescent="0.3">
      <c r="A33" s="5" t="s">
        <v>84</v>
      </c>
      <c r="B33" t="s">
        <v>38</v>
      </c>
      <c r="D33">
        <f>IF(BoundPortfolio!$A$2=1,Guidelines!L40,Guidelines!R40)</f>
        <v>0.15</v>
      </c>
      <c r="E33" t="s">
        <v>87</v>
      </c>
      <c r="F33" s="11">
        <v>100</v>
      </c>
      <c r="K33" s="60" t="s">
        <v>15</v>
      </c>
      <c r="L33" s="65">
        <v>0.2</v>
      </c>
      <c r="M33" s="66">
        <v>0.35</v>
      </c>
      <c r="N33" s="63"/>
      <c r="Q33" s="60" t="s">
        <v>15</v>
      </c>
      <c r="R33" s="65">
        <v>0.3</v>
      </c>
      <c r="S33" s="66">
        <v>0.5</v>
      </c>
      <c r="T33" s="63"/>
    </row>
    <row r="34" spans="1:20" x14ac:dyDescent="0.3">
      <c r="A34" s="5" t="s">
        <v>84</v>
      </c>
      <c r="B34" t="s">
        <v>13</v>
      </c>
      <c r="D34">
        <f>IF(BoundPortfolio!$A$2=1,Guidelines!M27,Guidelines!S27)</f>
        <v>0.5</v>
      </c>
      <c r="E34" t="s">
        <v>88</v>
      </c>
      <c r="F34" s="11">
        <v>500</v>
      </c>
      <c r="K34" s="64" t="s">
        <v>14</v>
      </c>
      <c r="L34" s="65">
        <v>0.2</v>
      </c>
      <c r="M34" s="66">
        <v>0.3</v>
      </c>
      <c r="N34" s="63"/>
      <c r="Q34" s="64" t="s">
        <v>14</v>
      </c>
      <c r="R34" s="65">
        <v>0.3</v>
      </c>
      <c r="S34" s="66">
        <v>0.45</v>
      </c>
      <c r="T34" s="63"/>
    </row>
    <row r="35" spans="1:20" x14ac:dyDescent="0.3">
      <c r="A35" s="5" t="s">
        <v>84</v>
      </c>
      <c r="B35" t="s">
        <v>16</v>
      </c>
      <c r="D35">
        <f>IF(BoundPortfolio!$A$2=1,Guidelines!M28,Guidelines!S28)</f>
        <v>0.5</v>
      </c>
      <c r="E35" t="s">
        <v>88</v>
      </c>
      <c r="F35" s="11">
        <v>500</v>
      </c>
      <c r="K35" s="5" t="s">
        <v>36</v>
      </c>
      <c r="L35" s="65">
        <v>0.3</v>
      </c>
      <c r="M35" s="66">
        <v>0.5</v>
      </c>
      <c r="N35" s="63"/>
      <c r="Q35" s="5" t="s">
        <v>36</v>
      </c>
      <c r="R35" s="65">
        <v>0.45</v>
      </c>
      <c r="S35" s="66">
        <v>0.65</v>
      </c>
      <c r="T35" s="63"/>
    </row>
    <row r="36" spans="1:20" x14ac:dyDescent="0.3">
      <c r="A36" s="5" t="s">
        <v>84</v>
      </c>
      <c r="B36" t="s">
        <v>12</v>
      </c>
      <c r="D36">
        <f>IF(BoundPortfolio!$A$2=1,Guidelines!M29,Guidelines!S29)</f>
        <v>0.5</v>
      </c>
      <c r="E36" t="s">
        <v>88</v>
      </c>
      <c r="F36" s="11">
        <v>500</v>
      </c>
      <c r="K36" s="5" t="s">
        <v>37</v>
      </c>
      <c r="L36" s="65">
        <v>0.2</v>
      </c>
      <c r="M36" s="66">
        <v>0.3</v>
      </c>
      <c r="N36" s="63"/>
      <c r="Q36" s="5" t="s">
        <v>37</v>
      </c>
      <c r="R36" s="65">
        <v>0.3</v>
      </c>
      <c r="S36" s="66">
        <v>0.45</v>
      </c>
      <c r="T36" s="63"/>
    </row>
    <row r="37" spans="1:20" x14ac:dyDescent="0.3">
      <c r="A37" s="5" t="s">
        <v>84</v>
      </c>
      <c r="B37" t="s">
        <v>18</v>
      </c>
      <c r="D37">
        <f>IF(BoundPortfolio!$A$2=1,Guidelines!M30,Guidelines!S30)</f>
        <v>0.5</v>
      </c>
      <c r="E37" t="s">
        <v>88</v>
      </c>
      <c r="F37" s="11">
        <v>500</v>
      </c>
      <c r="K37" s="64" t="s">
        <v>9</v>
      </c>
      <c r="L37" s="65">
        <v>0.15</v>
      </c>
      <c r="M37" s="66">
        <v>0.25</v>
      </c>
      <c r="N37" s="63"/>
      <c r="Q37" s="64" t="s">
        <v>9</v>
      </c>
      <c r="R37" s="65">
        <v>0.2</v>
      </c>
      <c r="S37" s="66">
        <v>0.35</v>
      </c>
      <c r="T37" s="63"/>
    </row>
    <row r="38" spans="1:20" x14ac:dyDescent="0.3">
      <c r="A38" s="5" t="s">
        <v>84</v>
      </c>
      <c r="B38" t="s">
        <v>19</v>
      </c>
      <c r="D38">
        <f>IF(BoundPortfolio!$A$2=1,Guidelines!M31,Guidelines!S31)</f>
        <v>0.5</v>
      </c>
      <c r="E38" t="s">
        <v>88</v>
      </c>
      <c r="F38" s="11">
        <v>500</v>
      </c>
      <c r="K38" s="64" t="s">
        <v>10</v>
      </c>
      <c r="L38" s="65">
        <v>0.15</v>
      </c>
      <c r="M38" s="66">
        <v>0.25</v>
      </c>
      <c r="N38" s="63"/>
      <c r="Q38" s="64" t="s">
        <v>10</v>
      </c>
      <c r="R38" s="65">
        <v>0.2</v>
      </c>
      <c r="S38" s="66">
        <v>0.35</v>
      </c>
      <c r="T38" s="63"/>
    </row>
    <row r="39" spans="1:20" x14ac:dyDescent="0.3">
      <c r="A39" s="5" t="s">
        <v>84</v>
      </c>
      <c r="B39" t="s">
        <v>17</v>
      </c>
      <c r="D39">
        <f>IF(BoundPortfolio!$A$2=1,Guidelines!M32,Guidelines!S32)</f>
        <v>0.5</v>
      </c>
      <c r="E39" t="s">
        <v>88</v>
      </c>
      <c r="F39" s="11">
        <v>500</v>
      </c>
      <c r="K39" s="64" t="s">
        <v>11</v>
      </c>
      <c r="L39" s="65">
        <v>0.15</v>
      </c>
      <c r="M39" s="66">
        <v>0.25</v>
      </c>
      <c r="N39" s="63"/>
      <c r="Q39" s="64" t="s">
        <v>11</v>
      </c>
      <c r="R39" s="65">
        <v>0.2</v>
      </c>
      <c r="S39" s="66">
        <v>0.35</v>
      </c>
      <c r="T39" s="63"/>
    </row>
    <row r="40" spans="1:20" ht="15" thickBot="1" x14ac:dyDescent="0.35">
      <c r="A40" s="5" t="s">
        <v>84</v>
      </c>
      <c r="B40" t="s">
        <v>15</v>
      </c>
      <c r="D40">
        <f>IF(BoundPortfolio!$A$2=1,Guidelines!M33,Guidelines!S33)</f>
        <v>0.35</v>
      </c>
      <c r="E40" t="s">
        <v>88</v>
      </c>
      <c r="F40" s="11">
        <v>500</v>
      </c>
      <c r="K40" s="6" t="s">
        <v>38</v>
      </c>
      <c r="L40" s="67">
        <v>0.15</v>
      </c>
      <c r="M40" s="68">
        <v>0.25</v>
      </c>
      <c r="N40" s="63"/>
      <c r="Q40" s="6" t="s">
        <v>38</v>
      </c>
      <c r="R40" s="67">
        <v>0.2</v>
      </c>
      <c r="S40" s="68">
        <v>0.35</v>
      </c>
      <c r="T40" s="63"/>
    </row>
    <row r="41" spans="1:20" x14ac:dyDescent="0.3">
      <c r="A41" s="5" t="s">
        <v>84</v>
      </c>
      <c r="B41" t="s">
        <v>14</v>
      </c>
      <c r="D41">
        <f>IF(BoundPortfolio!$A$2=1,Guidelines!M34,Guidelines!S34)</f>
        <v>0.3</v>
      </c>
      <c r="E41" t="s">
        <v>88</v>
      </c>
      <c r="F41" s="11">
        <v>500</v>
      </c>
    </row>
    <row r="42" spans="1:20" x14ac:dyDescent="0.3">
      <c r="A42" s="5" t="s">
        <v>84</v>
      </c>
      <c r="B42" t="s">
        <v>36</v>
      </c>
      <c r="D42">
        <f>IF(BoundPortfolio!$A$2=1,Guidelines!M35,Guidelines!S35)</f>
        <v>0.5</v>
      </c>
      <c r="E42" t="s">
        <v>88</v>
      </c>
      <c r="F42" s="11">
        <v>500</v>
      </c>
    </row>
    <row r="43" spans="1:20" x14ac:dyDescent="0.3">
      <c r="A43" s="5" t="s">
        <v>84</v>
      </c>
      <c r="B43" t="s">
        <v>37</v>
      </c>
      <c r="D43">
        <f>IF(BoundPortfolio!$A$2=1,Guidelines!M36,Guidelines!S36)</f>
        <v>0.3</v>
      </c>
      <c r="E43" t="s">
        <v>88</v>
      </c>
      <c r="F43" s="11">
        <v>500</v>
      </c>
    </row>
    <row r="44" spans="1:20" x14ac:dyDescent="0.3">
      <c r="A44" s="5" t="s">
        <v>84</v>
      </c>
      <c r="B44" t="s">
        <v>9</v>
      </c>
      <c r="D44">
        <f>IF(BoundPortfolio!$A$2=1,Guidelines!M37,Guidelines!S37)</f>
        <v>0.25</v>
      </c>
      <c r="E44" t="s">
        <v>88</v>
      </c>
      <c r="F44" s="11">
        <v>500</v>
      </c>
    </row>
    <row r="45" spans="1:20" x14ac:dyDescent="0.3">
      <c r="A45" s="5" t="s">
        <v>84</v>
      </c>
      <c r="B45" t="s">
        <v>10</v>
      </c>
      <c r="D45">
        <f>IF(BoundPortfolio!$A$2=1,Guidelines!M38,Guidelines!S38)</f>
        <v>0.25</v>
      </c>
      <c r="E45" t="s">
        <v>88</v>
      </c>
      <c r="F45" s="11">
        <v>500</v>
      </c>
    </row>
    <row r="46" spans="1:20" x14ac:dyDescent="0.3">
      <c r="A46" s="5" t="s">
        <v>84</v>
      </c>
      <c r="B46" t="s">
        <v>11</v>
      </c>
      <c r="D46">
        <f>IF(BoundPortfolio!$A$2=1,Guidelines!M39,Guidelines!S39)</f>
        <v>0.25</v>
      </c>
      <c r="E46" t="s">
        <v>88</v>
      </c>
      <c r="F46" s="11">
        <v>500</v>
      </c>
    </row>
    <row r="47" spans="1:20" x14ac:dyDescent="0.3">
      <c r="A47" s="5" t="s">
        <v>84</v>
      </c>
      <c r="B47" t="s">
        <v>38</v>
      </c>
      <c r="D47">
        <f>IF(BoundPortfolio!$A$2=1,Guidelines!M40,Guidelines!S40)</f>
        <v>0.25</v>
      </c>
      <c r="E47" t="s">
        <v>88</v>
      </c>
      <c r="F47" s="11">
        <v>500</v>
      </c>
    </row>
    <row r="48" spans="1:20" x14ac:dyDescent="0.3">
      <c r="A48" s="5" t="s">
        <v>84</v>
      </c>
      <c r="B48" t="s">
        <v>230</v>
      </c>
      <c r="D48">
        <v>0.4</v>
      </c>
      <c r="E48" t="s">
        <v>87</v>
      </c>
      <c r="F48" s="11">
        <v>100</v>
      </c>
    </row>
    <row r="49" spans="1:6" x14ac:dyDescent="0.3">
      <c r="A49" s="5" t="s">
        <v>84</v>
      </c>
      <c r="B49" t="s">
        <v>230</v>
      </c>
      <c r="D49">
        <v>0.65</v>
      </c>
      <c r="E49" t="s">
        <v>88</v>
      </c>
      <c r="F49" s="11">
        <v>500</v>
      </c>
    </row>
    <row r="50" spans="1:6" x14ac:dyDescent="0.3">
      <c r="A50" s="5" t="s">
        <v>84</v>
      </c>
      <c r="B50" t="s">
        <v>231</v>
      </c>
      <c r="D50">
        <v>0.65</v>
      </c>
      <c r="E50" t="s">
        <v>88</v>
      </c>
      <c r="F50" s="11">
        <v>500</v>
      </c>
    </row>
    <row r="51" spans="1:6" x14ac:dyDescent="0.3">
      <c r="A51" s="5" t="s">
        <v>84</v>
      </c>
      <c r="B51" t="s">
        <v>231</v>
      </c>
      <c r="D51">
        <v>0.4</v>
      </c>
      <c r="E51" t="s">
        <v>87</v>
      </c>
      <c r="F51" s="11">
        <v>100</v>
      </c>
    </row>
    <row r="52" spans="1:6" x14ac:dyDescent="0.3">
      <c r="A52" s="5" t="s">
        <v>84</v>
      </c>
      <c r="B52" t="s">
        <v>232</v>
      </c>
      <c r="D52">
        <v>0.4</v>
      </c>
      <c r="E52" t="s">
        <v>87</v>
      </c>
      <c r="F52" s="11">
        <v>100</v>
      </c>
    </row>
    <row r="53" spans="1:6" x14ac:dyDescent="0.3">
      <c r="A53" s="5" t="s">
        <v>84</v>
      </c>
      <c r="B53" t="s">
        <v>232</v>
      </c>
      <c r="D53">
        <v>0.65</v>
      </c>
      <c r="E53" t="s">
        <v>88</v>
      </c>
      <c r="F53" s="11">
        <v>500</v>
      </c>
    </row>
    <row r="54" spans="1:6" x14ac:dyDescent="0.3">
      <c r="A54" s="5" t="s">
        <v>84</v>
      </c>
      <c r="B54" t="s">
        <v>233</v>
      </c>
      <c r="D54">
        <v>0.65</v>
      </c>
      <c r="E54" t="s">
        <v>88</v>
      </c>
      <c r="F54" s="11">
        <v>500</v>
      </c>
    </row>
    <row r="55" spans="1:6" x14ac:dyDescent="0.3">
      <c r="A55" s="5" t="s">
        <v>84</v>
      </c>
      <c r="B55" t="s">
        <v>233</v>
      </c>
      <c r="D55">
        <v>0.4</v>
      </c>
      <c r="E55" t="s">
        <v>87</v>
      </c>
      <c r="F55" s="11">
        <v>100</v>
      </c>
    </row>
    <row r="56" spans="1:6" x14ac:dyDescent="0.3">
      <c r="A56" s="5" t="s">
        <v>84</v>
      </c>
      <c r="B56" t="s">
        <v>234</v>
      </c>
      <c r="D56">
        <v>0.3</v>
      </c>
      <c r="E56" t="s">
        <v>87</v>
      </c>
      <c r="F56" s="11">
        <v>100</v>
      </c>
    </row>
    <row r="57" spans="1:6" x14ac:dyDescent="0.3">
      <c r="A57" s="5" t="s">
        <v>84</v>
      </c>
      <c r="B57" t="s">
        <v>234</v>
      </c>
      <c r="D57">
        <v>0.45</v>
      </c>
      <c r="E57" t="s">
        <v>88</v>
      </c>
      <c r="F57" s="11">
        <v>500</v>
      </c>
    </row>
    <row r="58" spans="1:6" x14ac:dyDescent="0.3">
      <c r="A58" s="5" t="s">
        <v>84</v>
      </c>
      <c r="B58" t="s">
        <v>235</v>
      </c>
      <c r="D58">
        <v>0.45</v>
      </c>
      <c r="E58" t="s">
        <v>88</v>
      </c>
      <c r="F58" s="11">
        <v>500</v>
      </c>
    </row>
    <row r="59" spans="1:6" x14ac:dyDescent="0.3">
      <c r="A59" s="5" t="s">
        <v>84</v>
      </c>
      <c r="B59" t="s">
        <v>235</v>
      </c>
      <c r="D59">
        <v>0.3</v>
      </c>
      <c r="E59" t="s">
        <v>87</v>
      </c>
      <c r="F59" s="11">
        <v>100</v>
      </c>
    </row>
    <row r="60" spans="1:6" x14ac:dyDescent="0.3">
      <c r="A60" s="5" t="s">
        <v>84</v>
      </c>
      <c r="B60" t="s">
        <v>236</v>
      </c>
      <c r="D60">
        <v>0.3</v>
      </c>
      <c r="E60" t="s">
        <v>87</v>
      </c>
      <c r="F60" s="11">
        <v>100</v>
      </c>
    </row>
    <row r="61" spans="1:6" x14ac:dyDescent="0.3">
      <c r="A61" s="5" t="s">
        <v>84</v>
      </c>
      <c r="B61" t="s">
        <v>236</v>
      </c>
      <c r="D61">
        <v>0.45</v>
      </c>
      <c r="E61" t="s">
        <v>88</v>
      </c>
      <c r="F61" s="11">
        <v>500</v>
      </c>
    </row>
    <row r="62" spans="1:6" x14ac:dyDescent="0.3">
      <c r="A62" s="5" t="s">
        <v>84</v>
      </c>
      <c r="B62" t="s">
        <v>237</v>
      </c>
      <c r="D62">
        <v>0.3</v>
      </c>
      <c r="E62" t="s">
        <v>87</v>
      </c>
      <c r="F62" s="11">
        <v>100</v>
      </c>
    </row>
    <row r="63" spans="1:6" x14ac:dyDescent="0.3">
      <c r="A63" s="5" t="s">
        <v>84</v>
      </c>
      <c r="B63" t="s">
        <v>238</v>
      </c>
      <c r="D63">
        <v>0.2</v>
      </c>
      <c r="E63" t="s">
        <v>87</v>
      </c>
      <c r="F63" s="11">
        <v>100</v>
      </c>
    </row>
    <row r="64" spans="1:6" x14ac:dyDescent="0.3">
      <c r="A64" s="5" t="s">
        <v>84</v>
      </c>
      <c r="B64" t="s">
        <v>239</v>
      </c>
      <c r="D64">
        <v>0.2</v>
      </c>
      <c r="E64" t="s">
        <v>87</v>
      </c>
      <c r="F64" s="11">
        <v>100</v>
      </c>
    </row>
    <row r="65" spans="1:6" x14ac:dyDescent="0.3">
      <c r="A65" s="5" t="s">
        <v>84</v>
      </c>
      <c r="B65" t="s">
        <v>240</v>
      </c>
      <c r="D65">
        <v>0.2</v>
      </c>
      <c r="E65" t="s">
        <v>87</v>
      </c>
      <c r="F65" s="11">
        <v>100</v>
      </c>
    </row>
    <row r="66" spans="1:6" x14ac:dyDescent="0.3">
      <c r="A66" s="5" t="s">
        <v>84</v>
      </c>
      <c r="B66" t="s">
        <v>241</v>
      </c>
      <c r="D66">
        <v>0.2</v>
      </c>
      <c r="E66" t="s">
        <v>87</v>
      </c>
      <c r="F66" s="11">
        <v>100</v>
      </c>
    </row>
    <row r="67" spans="1:6" x14ac:dyDescent="0.3">
      <c r="A67" s="5" t="s">
        <v>84</v>
      </c>
      <c r="B67" t="s">
        <v>237</v>
      </c>
      <c r="D67">
        <v>0.45</v>
      </c>
      <c r="E67" t="s">
        <v>88</v>
      </c>
      <c r="F67" s="11">
        <v>500</v>
      </c>
    </row>
    <row r="68" spans="1:6" x14ac:dyDescent="0.3">
      <c r="A68" s="5" t="s">
        <v>84</v>
      </c>
      <c r="B68" t="s">
        <v>238</v>
      </c>
      <c r="D68">
        <v>0.35</v>
      </c>
      <c r="E68" t="s">
        <v>88</v>
      </c>
      <c r="F68" s="11">
        <v>500</v>
      </c>
    </row>
    <row r="69" spans="1:6" x14ac:dyDescent="0.3">
      <c r="A69" s="5" t="s">
        <v>84</v>
      </c>
      <c r="B69" t="s">
        <v>239</v>
      </c>
      <c r="D69">
        <v>0.35</v>
      </c>
      <c r="E69" t="s">
        <v>88</v>
      </c>
      <c r="F69" s="11">
        <v>500</v>
      </c>
    </row>
    <row r="70" spans="1:6" x14ac:dyDescent="0.3">
      <c r="A70" s="5" t="s">
        <v>84</v>
      </c>
      <c r="B70" t="s">
        <v>240</v>
      </c>
      <c r="D70">
        <v>0.35</v>
      </c>
      <c r="E70" t="s">
        <v>88</v>
      </c>
      <c r="F70" s="11">
        <v>500</v>
      </c>
    </row>
    <row r="71" spans="1:6" x14ac:dyDescent="0.3">
      <c r="A71" s="5" t="s">
        <v>84</v>
      </c>
      <c r="B71" t="s">
        <v>241</v>
      </c>
      <c r="D71">
        <v>0.35</v>
      </c>
      <c r="E71" t="s">
        <v>88</v>
      </c>
      <c r="F71" s="11">
        <v>500</v>
      </c>
    </row>
    <row r="72" spans="1:6" x14ac:dyDescent="0.3">
      <c r="A72" s="5" t="s">
        <v>84</v>
      </c>
      <c r="B72" t="s">
        <v>242</v>
      </c>
      <c r="D72">
        <v>0.45</v>
      </c>
      <c r="E72" t="s">
        <v>87</v>
      </c>
      <c r="F72" s="11">
        <v>100</v>
      </c>
    </row>
    <row r="73" spans="1:6" x14ac:dyDescent="0.3">
      <c r="A73" s="5" t="s">
        <v>84</v>
      </c>
      <c r="B73" t="s">
        <v>242</v>
      </c>
      <c r="D73">
        <v>0.45</v>
      </c>
      <c r="E73" t="s">
        <v>88</v>
      </c>
      <c r="F73" s="11">
        <v>500</v>
      </c>
    </row>
    <row r="74" spans="1:6" x14ac:dyDescent="0.3">
      <c r="A74" s="5" t="s">
        <v>203</v>
      </c>
      <c r="B74" t="s">
        <v>8</v>
      </c>
      <c r="D74">
        <v>0.5</v>
      </c>
      <c r="F74" s="11"/>
    </row>
    <row r="75" spans="1:6" x14ac:dyDescent="0.3">
      <c r="A75" s="5" t="s">
        <v>203</v>
      </c>
      <c r="B75" t="s">
        <v>41</v>
      </c>
      <c r="D75">
        <v>0.3</v>
      </c>
      <c r="F75" s="11"/>
    </row>
    <row r="76" spans="1:6" x14ac:dyDescent="0.3">
      <c r="A76" s="5" t="s">
        <v>203</v>
      </c>
      <c r="B76" t="s">
        <v>7</v>
      </c>
      <c r="D76">
        <v>0.7</v>
      </c>
      <c r="F76" s="11"/>
    </row>
    <row r="77" spans="1:6" x14ac:dyDescent="0.3">
      <c r="A77" s="5" t="s">
        <v>203</v>
      </c>
      <c r="B77" t="s">
        <v>43</v>
      </c>
      <c r="D77">
        <v>0.7</v>
      </c>
      <c r="F77" s="11"/>
    </row>
    <row r="78" spans="1:6" x14ac:dyDescent="0.3">
      <c r="A78" s="5" t="s">
        <v>203</v>
      </c>
      <c r="B78" t="s">
        <v>42</v>
      </c>
      <c r="D78">
        <v>0.3</v>
      </c>
      <c r="F78" s="11"/>
    </row>
    <row r="79" spans="1:6" x14ac:dyDescent="0.3">
      <c r="A79" s="5" t="s">
        <v>203</v>
      </c>
      <c r="B79" t="s">
        <v>29</v>
      </c>
      <c r="D79">
        <v>0.75</v>
      </c>
      <c r="F79" s="11"/>
    </row>
    <row r="80" spans="1:6" ht="15" thickBot="1" x14ac:dyDescent="0.35">
      <c r="A80" s="6" t="s">
        <v>203</v>
      </c>
      <c r="B80" s="12" t="s">
        <v>40</v>
      </c>
      <c r="C80" s="12"/>
      <c r="D80" s="12">
        <v>0.15</v>
      </c>
      <c r="E80" s="12"/>
      <c r="F80"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18" workbookViewId="0">
      <selection activeCell="G34" sqref="G34"/>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8"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174</v>
      </c>
      <c r="C19" t="s">
        <v>69</v>
      </c>
      <c r="E19" s="34" t="s">
        <v>174</v>
      </c>
      <c r="F19" s="14">
        <v>18</v>
      </c>
      <c r="G19" t="s">
        <v>152</v>
      </c>
    </row>
    <row r="20" spans="2:7" x14ac:dyDescent="0.3">
      <c r="B20" s="5" t="s">
        <v>128</v>
      </c>
      <c r="C20" t="s">
        <v>59</v>
      </c>
      <c r="D20">
        <v>10</v>
      </c>
      <c r="E20" t="s">
        <v>128</v>
      </c>
      <c r="F20" s="14">
        <v>19</v>
      </c>
      <c r="G20" t="s">
        <v>153</v>
      </c>
    </row>
    <row r="21" spans="2:7" x14ac:dyDescent="0.3">
      <c r="B21" s="5" t="s">
        <v>72</v>
      </c>
      <c r="C21" t="s">
        <v>69</v>
      </c>
      <c r="E21" s="33" t="s">
        <v>72</v>
      </c>
      <c r="F21" s="14">
        <v>20</v>
      </c>
      <c r="G21" t="s">
        <v>154</v>
      </c>
    </row>
    <row r="22" spans="2:7" x14ac:dyDescent="0.3">
      <c r="B22" s="5" t="s">
        <v>175</v>
      </c>
      <c r="C22" t="s">
        <v>69</v>
      </c>
      <c r="E22" s="35" t="s">
        <v>168</v>
      </c>
      <c r="F22" s="14">
        <v>21</v>
      </c>
      <c r="G22" s="30"/>
    </row>
    <row r="23" spans="2:7" x14ac:dyDescent="0.3">
      <c r="B23" s="5" t="s">
        <v>176</v>
      </c>
      <c r="C23" t="s">
        <v>59</v>
      </c>
      <c r="D23">
        <v>255</v>
      </c>
      <c r="E23" s="35" t="s">
        <v>169</v>
      </c>
      <c r="F23" s="14">
        <v>22</v>
      </c>
    </row>
    <row r="24" spans="2:7" x14ac:dyDescent="0.3">
      <c r="B24" s="5" t="s">
        <v>177</v>
      </c>
      <c r="C24" t="s">
        <v>59</v>
      </c>
      <c r="E24" s="35" t="s">
        <v>170</v>
      </c>
      <c r="F24" s="14">
        <v>23</v>
      </c>
    </row>
    <row r="25" spans="2:7" x14ac:dyDescent="0.3">
      <c r="B25" s="5" t="s">
        <v>178</v>
      </c>
      <c r="C25" t="s">
        <v>69</v>
      </c>
      <c r="E25" s="35" t="s">
        <v>171</v>
      </c>
      <c r="F25" s="14">
        <v>24</v>
      </c>
    </row>
    <row r="26" spans="2:7" ht="15" thickBot="1" x14ac:dyDescent="0.35">
      <c r="B26" s="5" t="s">
        <v>179</v>
      </c>
      <c r="C26" t="s">
        <v>59</v>
      </c>
      <c r="E26" s="34" t="s">
        <v>172</v>
      </c>
      <c r="F26" s="14">
        <v>25</v>
      </c>
    </row>
    <row r="27" spans="2:7" ht="15" thickBot="1" x14ac:dyDescent="0.35">
      <c r="B27" s="31" t="s">
        <v>229</v>
      </c>
      <c r="C27" t="s">
        <v>69</v>
      </c>
      <c r="E27" s="31" t="s">
        <v>229</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167</v>
      </c>
      <c r="C42" t="s">
        <v>131</v>
      </c>
      <c r="D42">
        <v>255</v>
      </c>
      <c r="E42" s="22" t="s">
        <v>167</v>
      </c>
      <c r="F42" s="14">
        <v>41</v>
      </c>
    </row>
    <row r="43" spans="2:7" x14ac:dyDescent="0.3">
      <c r="B43" s="5" t="s">
        <v>180</v>
      </c>
      <c r="C43" t="s">
        <v>69</v>
      </c>
      <c r="E43" s="36" t="s">
        <v>173</v>
      </c>
      <c r="F43" s="14">
        <v>42</v>
      </c>
    </row>
    <row r="44" spans="2:7" x14ac:dyDescent="0.3">
      <c r="B44" s="5" t="s">
        <v>182</v>
      </c>
      <c r="C44" t="s">
        <v>69</v>
      </c>
      <c r="E44" s="36" t="s">
        <v>181</v>
      </c>
      <c r="F44" s="14">
        <v>43</v>
      </c>
    </row>
    <row r="45" spans="2:7" x14ac:dyDescent="0.3">
      <c r="B45" s="5" t="s">
        <v>215</v>
      </c>
      <c r="C45" t="s">
        <v>59</v>
      </c>
      <c r="E45" s="36"/>
      <c r="F45" s="14">
        <v>44</v>
      </c>
    </row>
    <row r="46" spans="2:7" x14ac:dyDescent="0.3">
      <c r="B46" s="5" t="s">
        <v>216</v>
      </c>
      <c r="C46" t="s">
        <v>69</v>
      </c>
      <c r="E46" t="s">
        <v>216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217</v>
      </c>
      <c r="C60" t="s">
        <v>69</v>
      </c>
      <c r="E60" s="2" t="s">
        <v>218</v>
      </c>
      <c r="F60" s="11">
        <v>10</v>
      </c>
    </row>
    <row r="61" spans="1:7" x14ac:dyDescent="0.3">
      <c r="B61" s="10" t="s">
        <v>223</v>
      </c>
      <c r="C61" t="s">
        <v>69</v>
      </c>
      <c r="E61" s="2" t="s">
        <v>222</v>
      </c>
      <c r="F61" s="11">
        <v>11</v>
      </c>
    </row>
    <row r="62" spans="1:7" x14ac:dyDescent="0.3">
      <c r="B62" s="10" t="s">
        <v>224</v>
      </c>
      <c r="C62" t="s">
        <v>69</v>
      </c>
      <c r="E62" s="2" t="s">
        <v>220</v>
      </c>
      <c r="F62" s="11">
        <v>12</v>
      </c>
    </row>
    <row r="63" spans="1:7" x14ac:dyDescent="0.3">
      <c r="B63" s="10" t="s">
        <v>219</v>
      </c>
      <c r="C63" t="s">
        <v>69</v>
      </c>
      <c r="E63" s="2" t="s">
        <v>221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185</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tabSelected="1" workbookViewId="0">
      <selection activeCell="B23" sqref="B23"/>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7" t="s">
        <v>477</v>
      </c>
      <c r="E7" t="s">
        <v>501</v>
      </c>
      <c r="G7" t="s">
        <v>131</v>
      </c>
    </row>
    <row r="8" spans="1:7" x14ac:dyDescent="0.3">
      <c r="B8" s="5" t="s">
        <v>50</v>
      </c>
      <c r="D8" s="77" t="s">
        <v>227</v>
      </c>
      <c r="E8" t="s">
        <v>502</v>
      </c>
      <c r="G8" t="s">
        <v>131</v>
      </c>
    </row>
    <row r="9" spans="1:7" x14ac:dyDescent="0.3">
      <c r="B9" s="5" t="s">
        <v>51</v>
      </c>
      <c r="D9" s="77"/>
      <c r="G9" t="s">
        <v>59</v>
      </c>
    </row>
    <row r="10" spans="1:7" x14ac:dyDescent="0.3">
      <c r="B10" s="5" t="s">
        <v>52</v>
      </c>
      <c r="D10" s="77"/>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Control Checks</vt:lpstr>
      <vt:lpstr>ETF Portfolio</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2026-06-04T11:45:26Z</dcterms:modified>
</cp:coreProperties>
</file>